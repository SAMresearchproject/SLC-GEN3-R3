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tants" sheetId="1" r:id="rId1"/>
    <sheet name="Shells" sheetId="2" r:id="rId2"/>
    <sheet name="Elements_126" sheetId="3" r:id="rId3"/>
    <sheet name="Isotope_Candidates" sheetId="4" r:id="rId4"/>
    <sheet name="Checks" sheetId="5" r:id="rId5"/>
  </sheets>
  <calcPr calcId="191029" calcMode="auto" fullCalcOnLoad="1" forceFullCalc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5C5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1" topLeftCell="A2" activePane="bottomLeft" state="frozen"/>
      <selection pane="bottomLeft"/>
    </sheetView>
  </sheetViews>
  <cols>
    <col min="1" max="1" width="22" customWidth="1"/>
    <col min="2" max="2" width="24" customWidth="1"/>
    <col min="3" max="3" width="36" customWidth="1"/>
    <col min="4" max="4" width="36" customWidth="1"/>
  </cols>
  <sheetData>
    <row r="1">
      <c r="A1" t="inlineStr" s="1">
        <is>
          <t>Constant</t>
        </is>
      </c>
      <c r="B1" t="inlineStr" s="1">
        <is>
          <t>Value</t>
        </is>
      </c>
      <c r="C1" t="inlineStr" s="1">
        <is>
          <t>Formula / Source</t>
        </is>
      </c>
      <c r="D1" t="inlineStr" s="1">
        <is>
          <t>Role</t>
        </is>
      </c>
    </row>
    <row r="2">
      <c r="A2" t="inlineStr">
        <is>
          <t>R</t>
        </is>
      </c>
      <c r="B2">
        <v>12</v>
      </c>
      <c r="C2" t="inlineStr">
        <is>
          <t>declared constant</t>
        </is>
      </c>
      <c r="D2" t="inlineStr">
        <is>
          <t>radix/native route constant</t>
        </is>
      </c>
    </row>
    <row r="3">
      <c r="A3" t="inlineStr">
        <is>
          <t>D</t>
        </is>
      </c>
      <c r="B3">
        <v>3</v>
      </c>
      <c r="C3" t="inlineStr">
        <is>
          <t>declared constant</t>
        </is>
      </c>
      <c r="D3" t="inlineStr">
        <is>
          <t>dimension/closure depth constant</t>
        </is>
      </c>
    </row>
    <row r="4">
      <c r="A4" t="inlineStr">
        <is>
          <t>alpha_H</t>
        </is>
      </c>
      <c r="B4">
        <v>2</v>
      </c>
      <c r="C4" t="inlineStr">
        <is>
          <t>declared constant</t>
        </is>
      </c>
      <c r="D4" t="inlineStr">
        <is>
          <t>hidden-source bigrade generator</t>
        </is>
      </c>
    </row>
    <row r="5">
      <c r="A5" t="inlineStr">
        <is>
          <t>split</t>
        </is>
      </c>
      <c r="B5">
        <f>2^B3</f>
        <v>8</v>
      </c>
      <c r="C5" t="inlineStr">
        <is>
          <t>=2^D</t>
        </is>
      </c>
      <c r="D5" t="inlineStr">
        <is>
          <t>carrier split</t>
        </is>
      </c>
    </row>
    <row r="6">
      <c r="A6" t="inlineStr">
        <is>
          <t>native_capacity</t>
        </is>
      </c>
      <c r="B6">
        <f>B2^2*(1-1/B5)</f>
        <v>126</v>
      </c>
      <c r="C6" t="inlineStr">
        <is>
          <t>=R^2*(1-2^-D)</t>
        </is>
      </c>
      <c r="D6" t="inlineStr">
        <is>
          <t>element row bound</t>
        </is>
      </c>
    </row>
    <row r="7">
      <c r="A7" t="inlineStr">
        <is>
          <t>proton_qA</t>
        </is>
      </c>
      <c r="B7">
        <f>145/2</f>
        <v>72.5</v>
      </c>
      <c r="C7" t="inlineStr">
        <is>
          <t>=145/2</t>
        </is>
      </c>
      <c r="D7" t="inlineStr">
        <is>
          <t>component write support</t>
        </is>
      </c>
    </row>
    <row r="8">
      <c r="A8" t="inlineStr">
        <is>
          <t>electron_qA</t>
        </is>
      </c>
      <c r="B8">
        <f>145/96</f>
        <v>1.510416666666666666666666666666666666666666666666666666666666666666666666666666666666666666666666667</v>
      </c>
      <c r="C8" t="inlineStr">
        <is>
          <t>=145/96</t>
        </is>
      </c>
      <c r="D8" t="inlineStr">
        <is>
          <t>component write support</t>
        </is>
      </c>
    </row>
    <row r="9">
      <c r="A9" t="inlineStr">
        <is>
          <t>neutron_qA</t>
        </is>
      </c>
      <c r="B9">
        <f>1/8</f>
        <v>0.125</v>
      </c>
      <c r="C9" t="inlineStr">
        <is>
          <t>=1/8</t>
        </is>
      </c>
      <c r="D9" t="inlineStr">
        <is>
          <t>component write support</t>
        </is>
      </c>
    </row>
    <row r="10">
      <c r="A10" t="inlineStr">
        <is>
          <t>charged_pair_qA</t>
        </is>
      </c>
      <c r="B10">
        <f>B7+B8</f>
        <v>74.01041666666666666666666666666666666666666666666666666666666666666666666666666666666666666666666667</v>
      </c>
      <c r="C10" t="inlineStr">
        <is>
          <t>=proton_qA+electron_qA</t>
        </is>
      </c>
      <c r="D10" t="inlineStr">
        <is>
          <t>per-Z charged support</t>
        </is>
      </c>
    </row>
    <row r="11">
      <c r="A11" t="inlineStr">
        <is>
          <t>kappa_floor</t>
        </is>
      </c>
      <c r="B11">
        <f>(B7+B8+B9)/B5</f>
        <v>9.266927083333333333333333333333333333333333333333333333333333333333333333333333333333333333333333333</v>
      </c>
      <c r="C11" t="inlineStr">
        <is>
          <t>=(p+e+n)/split</t>
        </is>
      </c>
      <c r="D11" t="inlineStr">
        <is>
          <t>floor kappa</t>
        </is>
      </c>
    </row>
    <row r="12">
      <c r="A12" t="inlineStr">
        <is>
          <t>neutron_G_unit</t>
        </is>
      </c>
      <c r="B12">
        <f>B9/B5</f>
        <v>0.015625</v>
      </c>
      <c r="C12" t="inlineStr">
        <is>
          <t>=neutron_qA/split</t>
        </is>
      </c>
      <c r="D12" t="inlineStr">
        <is>
          <t>neutron excess G unit</t>
        </is>
      </c>
    </row>
    <row r="13">
      <c r="A13" t="inlineStr">
        <is>
          <t>R_div_D</t>
        </is>
      </c>
      <c r="B13">
        <f>B2/B3</f>
        <v>4</v>
      </c>
      <c r="C13" t="inlineStr">
        <is>
          <t>=R/D</t>
        </is>
      </c>
      <c r="D13" t="inlineStr">
        <is>
          <t>shell path middle term</t>
        </is>
      </c>
    </row>
  </sheetData>
  <autoFilter ref="A1:D1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  <selection pane="bottomLeft"/>
    </sheetView>
  </sheetViews>
  <cols>
    <col min="1" max="1" width="14" customWidth="1"/>
    <col min="2" max="2" width="12" customWidth="1"/>
    <col min="3" max="3" width="14" customWidth="1"/>
    <col min="4" max="4" width="12" customWidth="1"/>
    <col min="5" max="5" width="12" customWidth="1"/>
    <col min="6" max="6" width="34" customWidth="1"/>
  </cols>
  <sheetData>
    <row r="1">
      <c r="A1" t="inlineStr" s="1">
        <is>
          <t>shell_period</t>
        </is>
      </c>
      <c r="B1" t="inlineStr" s="1">
        <is>
          <t>n</t>
        </is>
      </c>
      <c r="C1" t="inlineStr" s="1">
        <is>
          <t>capacity</t>
        </is>
      </c>
      <c r="D1" t="inlineStr" s="1">
        <is>
          <t>start_Z</t>
        </is>
      </c>
      <c r="E1" t="inlineStr" s="1">
        <is>
          <t>end_Z</t>
        </is>
      </c>
      <c r="F1" t="inlineStr" s="1">
        <is>
          <t>n_formula</t>
        </is>
      </c>
    </row>
    <row r="2">
      <c r="A2">
        <v>1</v>
      </c>
      <c r="B2">
        <f>1</f>
        <v>1</v>
      </c>
      <c r="C2">
        <f>2*B2^2</f>
        <v>2</v>
      </c>
      <c r="D2">
        <f>1</f>
        <v>1</v>
      </c>
      <c r="E2">
        <f>SUM($C$2:C2)</f>
        <v>2</v>
      </c>
      <c r="F2" t="inlineStr">
        <is>
          <t>=1</t>
        </is>
      </c>
    </row>
    <row r="3">
      <c r="A3">
        <v>2</v>
      </c>
      <c r="B3">
        <f>Constants!$B$4</f>
        <v>2</v>
      </c>
      <c r="C3">
        <f>2*B3^2</f>
        <v>8</v>
      </c>
      <c r="D3">
        <f>E2+1</f>
        <v>3</v>
      </c>
      <c r="E3">
        <f>SUM($C$2:C3)</f>
        <v>10</v>
      </c>
      <c r="F3" t="inlineStr">
        <is>
          <t>=Constants!$B$4</t>
        </is>
      </c>
    </row>
    <row r="4">
      <c r="A4">
        <v>3</v>
      </c>
      <c r="B4">
        <f>Constants!$B$3</f>
        <v>3</v>
      </c>
      <c r="C4">
        <f>2*B4^2</f>
        <v>18</v>
      </c>
      <c r="D4">
        <f>E3+1</f>
        <v>11</v>
      </c>
      <c r="E4">
        <f>SUM($C$2:C4)</f>
        <v>28</v>
      </c>
      <c r="F4" t="inlineStr">
        <is>
          <t>=Constants!$B$3</t>
        </is>
      </c>
    </row>
    <row r="5">
      <c r="A5">
        <v>4</v>
      </c>
      <c r="B5">
        <f>Constants!$B$2/Constants!$B$3</f>
        <v>4</v>
      </c>
      <c r="C5">
        <f>2*B5^2</f>
        <v>32</v>
      </c>
      <c r="D5">
        <f>E4+1</f>
        <v>29</v>
      </c>
      <c r="E5">
        <f>SUM($C$2:C5)</f>
        <v>60</v>
      </c>
      <c r="F5" t="inlineStr">
        <is>
          <t>=Constants!$B$2/Constants!$B$3</t>
        </is>
      </c>
    </row>
    <row r="6">
      <c r="A6">
        <v>5</v>
      </c>
      <c r="B6">
        <f>Constants!$B$2/Constants!$B$3</f>
        <v>4</v>
      </c>
      <c r="C6">
        <f>2*B6^2</f>
        <v>32</v>
      </c>
      <c r="D6">
        <f>E5+1</f>
        <v>61</v>
      </c>
      <c r="E6">
        <f>SUM($C$2:C6)</f>
        <v>92</v>
      </c>
      <c r="F6" t="inlineStr">
        <is>
          <t>=Constants!$B$2/Constants!$B$3</t>
        </is>
      </c>
    </row>
    <row r="7">
      <c r="A7">
        <v>6</v>
      </c>
      <c r="B7">
        <f>Constants!$B$3</f>
        <v>3</v>
      </c>
      <c r="C7">
        <f>2*B7^2</f>
        <v>18</v>
      </c>
      <c r="D7">
        <f>E6+1</f>
        <v>93</v>
      </c>
      <c r="E7">
        <f>SUM($C$2:C7)</f>
        <v>110</v>
      </c>
      <c r="F7" t="inlineStr">
        <is>
          <t>=Constants!$B$3</t>
        </is>
      </c>
    </row>
    <row r="8">
      <c r="A8">
        <v>7</v>
      </c>
      <c r="B8">
        <f>Constants!$B$4</f>
        <v>2</v>
      </c>
      <c r="C8">
        <f>2*B8^2</f>
        <v>8</v>
      </c>
      <c r="D8">
        <f>E7+1</f>
        <v>111</v>
      </c>
      <c r="E8">
        <f>SUM($C$2:C8)</f>
        <v>118</v>
      </c>
      <c r="F8" t="inlineStr">
        <is>
          <t>=Constants!$B$4</t>
        </is>
      </c>
    </row>
    <row r="9">
      <c r="A9">
        <v>8</v>
      </c>
      <c r="B9">
        <f>Constants!$B$4</f>
        <v>2</v>
      </c>
      <c r="C9">
        <f>2*B9^2</f>
        <v>8</v>
      </c>
      <c r="D9">
        <f>E8+1</f>
        <v>119</v>
      </c>
      <c r="E9">
        <f>SUM($C$2:C9)</f>
        <v>126</v>
      </c>
      <c r="F9" t="inlineStr">
        <is>
          <t>=Constants!$B$4</t>
        </is>
      </c>
    </row>
  </sheetData>
  <autoFilter ref="A1:F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127"/>
  <sheetViews>
    <sheetView workbookViewId="0">
      <pane ySplit="1" topLeftCell="A2" activePane="bottomLeft" state="frozen"/>
      <selection pane="bottomLeft"/>
    </sheetView>
  </sheetViews>
  <cols>
    <col min="1" max="1" width="12" customWidth="1"/>
    <col min="17" max="17" width="18" customWidth="1"/>
    <col min="18" max="18" width="22" customWidth="1"/>
    <col min="26" max="26" width="20" customWidth="1"/>
    <col min="27" max="27" width="20" customWidth="1"/>
    <col min="28" max="28" width="20" customWidth="1"/>
    <col min="29" max="29" width="32" customWidth="1"/>
    <col min="30" max="30" width="32" customWidth="1"/>
  </cols>
  <sheetData>
    <row r="1">
      <c r="A1" t="inlineStr" s="1">
        <is>
          <t>element_id</t>
        </is>
      </c>
      <c r="B1" t="inlineStr" s="1">
        <is>
          <t>Z</t>
        </is>
      </c>
      <c r="C1" t="inlineStr" s="1">
        <is>
          <t>radix_cycle</t>
        </is>
      </c>
      <c r="D1" t="inlineStr" s="1">
        <is>
          <t>radix_slot</t>
        </is>
      </c>
      <c r="E1" t="inlineStr" s="1">
        <is>
          <t>selected_depth</t>
        </is>
      </c>
      <c r="F1" t="inlineStr" s="1">
        <is>
          <t>delta_n</t>
        </is>
      </c>
      <c r="G1" t="inlineStr" s="1">
        <is>
          <t>residual_twelfths</t>
        </is>
      </c>
      <c r="H1" t="inlineStr" s="1">
        <is>
          <t>N</t>
        </is>
      </c>
      <c r="I1" t="inlineStr" s="1">
        <is>
          <t>A</t>
        </is>
      </c>
      <c r="J1" t="inlineStr" s="1">
        <is>
          <t>proton_count</t>
        </is>
      </c>
      <c r="K1" t="inlineStr" s="1">
        <is>
          <t>neutron_count</t>
        </is>
      </c>
      <c r="L1" t="inlineStr" s="1">
        <is>
          <t>electron_count</t>
        </is>
      </c>
      <c r="M1" t="inlineStr" s="1">
        <is>
          <t>total_particle_count</t>
        </is>
      </c>
      <c r="N1" t="inlineStr" s="1">
        <is>
          <t>quark_u_count</t>
        </is>
      </c>
      <c r="O1" t="inlineStr" s="1">
        <is>
          <t>quark_d_count</t>
        </is>
      </c>
      <c r="P1" t="inlineStr" s="1">
        <is>
          <t>quark_e_count</t>
        </is>
      </c>
      <c r="Q1" t="inlineStr" s="1">
        <is>
          <t>P_address</t>
        </is>
      </c>
      <c r="R1" t="inlineStr" s="1">
        <is>
          <t>quark_address</t>
        </is>
      </c>
      <c r="S1" t="inlineStr" s="1">
        <is>
          <t>shell_period</t>
        </is>
      </c>
      <c r="T1" t="inlineStr" s="1">
        <is>
          <t>shell_n</t>
        </is>
      </c>
      <c r="U1" t="inlineStr" s="1">
        <is>
          <t>shell_capacity</t>
        </is>
      </c>
      <c r="V1" t="inlineStr" s="1">
        <is>
          <t>shell_occupancy</t>
        </is>
      </c>
      <c r="W1" t="inlineStr" s="1">
        <is>
          <t>shell_status</t>
        </is>
      </c>
      <c r="X1" t="inlineStr" s="1">
        <is>
          <t>kappa_floor</t>
        </is>
      </c>
      <c r="Y1" t="inlineStr" s="1">
        <is>
          <t>neutron_excess</t>
        </is>
      </c>
      <c r="Z1" t="inlineStr" s="1">
        <is>
          <t>G(P)</t>
        </is>
      </c>
      <c r="AA1" t="inlineStr" s="1">
        <is>
          <t>GR(P)</t>
        </is>
      </c>
      <c r="AB1" t="inlineStr" s="1">
        <is>
          <t>retained_7G</t>
        </is>
      </c>
      <c r="AC1" t="inlineStr" s="1">
        <is>
          <t>surface_status</t>
        </is>
      </c>
      <c r="AD1" t="inlineStr" s="1">
        <is>
          <t>native_lane</t>
        </is>
      </c>
      <c r="AE1" t="inlineStr" s="1">
        <is>
          <t>known_symbol</t>
        </is>
      </c>
      <c r="AF1" t="inlineStr" s="1">
        <is>
          <t>known_name</t>
        </is>
      </c>
      <c r="AG1" t="inlineStr" s="1">
        <is>
          <t>reference_clock</t>
        </is>
      </c>
      <c r="AH1" t="inlineStr" s="1">
        <is>
          <t>card_source</t>
        </is>
      </c>
    </row>
    <row r="2">
      <c r="A2" t="str">
        <f>"E"&amp;TEXT(B2,"000")</f>
        <v>E001</v>
      </c>
      <c r="B2">
        <f>ROW()-1</f>
        <v>1</v>
      </c>
      <c r="C2">
        <f>INT((B2-1)/Constants!$B$2)+1</f>
        <v>1</v>
      </c>
      <c r="D2">
        <f>MOD(B2-1,Constants!$B$2)+1</f>
        <v>1</v>
      </c>
      <c r="E2">
        <f>MAX(0,C2-1)</f>
        <v>0</v>
      </c>
      <c r="F2">
        <f>INT(B2*E2/Constants!$B$2)</f>
        <v>0</v>
      </c>
      <c r="G2">
        <f>MOD(B2*E2,Constants!$B$2)</f>
        <v>0</v>
      </c>
      <c r="H2">
        <f>B2+F2</f>
        <v>1</v>
      </c>
      <c r="I2">
        <f>B2+H2</f>
        <v>2</v>
      </c>
      <c r="J2">
        <f>B2</f>
        <v>1</v>
      </c>
      <c r="K2">
        <f>H2</f>
        <v>1</v>
      </c>
      <c r="L2">
        <f>B2</f>
        <v>1</v>
      </c>
      <c r="M2">
        <f>J2+K2+L2</f>
        <v>3</v>
      </c>
      <c r="N2">
        <f>2*B2+H2</f>
        <v>3</v>
      </c>
      <c r="O2">
        <f>B2+2*H2</f>
        <v>3</v>
      </c>
      <c r="P2">
        <f>B2</f>
        <v>1</v>
      </c>
      <c r="Q2" t="str">
        <f>B2&amp;"p+"&amp;H2&amp;"n+"&amp;B2&amp;"e"</f>
        <v>1p+1n+1e</v>
      </c>
      <c r="R2" t="str">
        <f>N2&amp;"u+"&amp;O2&amp;"d+"&amp;P2&amp;"e"</f>
        <v>3u+3d+1e</v>
      </c>
      <c r="S2">
        <f>COUNTIF(Shells!$E$2:$E$9,"&lt;"&amp;B2)+1</f>
        <v>1</v>
      </c>
      <c r="T2">
        <f>INDEX(Shells!$B$2:$B$9,S2)</f>
        <v>1</v>
      </c>
      <c r="U2">
        <f>INDEX(Shells!$C$2:$C$9,S2)</f>
        <v>2</v>
      </c>
      <c r="V2">
        <f>B2-IF(S2=1,0,INDEX(Shells!$E$2:$E$9,S2-1))</f>
        <v>1</v>
      </c>
      <c r="W2" t="str">
        <f>IF(V2=U2,"CLOSED_SHELL","OPEN_SHELL")</f>
        <v>OPEN_SHELL</v>
      </c>
      <c r="X2">
        <f>Constants!$B$11</f>
        <v>9.266927083333333333333333333333333333333333333333333333333333333333333333333333333333333333333333333</v>
      </c>
      <c r="Y2">
        <f>H2-B2</f>
        <v>0</v>
      </c>
      <c r="Z2">
        <f>B2*Constants!$B$11+Y2*Constants!$B$12</f>
        <v>9.266927083333333333333333333333333333333333333333333333333333333333333333333333333333333333333333333</v>
      </c>
      <c r="AA2">
        <f>Z2*Constants!$B$5</f>
        <v>74.13541666666666666666666666666666666666666666666666666666666666666666666666666666666666666666666667</v>
      </c>
      <c r="AB2">
        <f>Z2*7</f>
        <v>64.86848958333333333333333333333333333333333333333333333333333333333333333333333333333333333333333333</v>
      </c>
      <c r="AC2" t="str">
        <f>IF(B2&gt;Constants!$B$6-Constants!$B$5,"CONSTANT_FRONTIER_TAIL_Z119_Z126","CONSTANT_NATIVE_SURFACE_Z001_Z118")</f>
        <v>CONSTANT_NATIVE_SURFACE_Z001_Z118</v>
      </c>
      <c r="AD2" t="str">
        <f>IF(B2&gt;Constants!$B$6-Constants!$B$5,"CONSTANT_FRONTIER_TAIL_CANDIDATE",IF(G2=0,"CONSTANT_STABLE_ANCHOR_LANE",IF(G2=Constants!$B$2/2,"CONSTANT_HALF_WRITE_LANE","CONSTANT_BOUND_LADDER_LANE")))</f>
        <v>CONSTANT_STABLE_ANCHOR_LANE</v>
      </c>
    </row>
    <row r="3">
      <c r="A3" t="str">
        <f>"E"&amp;TEXT(B3,"000")</f>
        <v>E002</v>
      </c>
      <c r="B3">
        <f>ROW()-1</f>
        <v>2</v>
      </c>
      <c r="C3">
        <f>INT((B3-1)/Constants!$B$2)+1</f>
        <v>1</v>
      </c>
      <c r="D3">
        <f>MOD(B3-1,Constants!$B$2)+1</f>
        <v>2</v>
      </c>
      <c r="E3">
        <f>MAX(0,C3-1)</f>
        <v>0</v>
      </c>
      <c r="F3">
        <f>INT(B3*E3/Constants!$B$2)</f>
        <v>0</v>
      </c>
      <c r="G3">
        <f>MOD(B3*E3,Constants!$B$2)</f>
        <v>0</v>
      </c>
      <c r="H3">
        <f>B3+F3</f>
        <v>2</v>
      </c>
      <c r="I3">
        <f>B3+H3</f>
        <v>4</v>
      </c>
      <c r="J3">
        <f>B3</f>
        <v>2</v>
      </c>
      <c r="K3">
        <f>H3</f>
        <v>2</v>
      </c>
      <c r="L3">
        <f>B3</f>
        <v>2</v>
      </c>
      <c r="M3">
        <f>J3+K3+L3</f>
        <v>6</v>
      </c>
      <c r="N3">
        <f>2*B3+H3</f>
        <v>6</v>
      </c>
      <c r="O3">
        <f>B3+2*H3</f>
        <v>6</v>
      </c>
      <c r="P3">
        <f>B3</f>
        <v>2</v>
      </c>
      <c r="Q3" t="str">
        <f>B3&amp;"p+"&amp;H3&amp;"n+"&amp;B3&amp;"e"</f>
        <v>2p+2n+2e</v>
      </c>
      <c r="R3" t="str">
        <f>N3&amp;"u+"&amp;O3&amp;"d+"&amp;P3&amp;"e"</f>
        <v>6u+6d+2e</v>
      </c>
      <c r="S3">
        <f>COUNTIF(Shells!$E$2:$E$9,"&lt;"&amp;B3)+1</f>
        <v>1</v>
      </c>
      <c r="T3">
        <f>INDEX(Shells!$B$2:$B$9,S3)</f>
        <v>1</v>
      </c>
      <c r="U3">
        <f>INDEX(Shells!$C$2:$C$9,S3)</f>
        <v>2</v>
      </c>
      <c r="V3">
        <f>B3-IF(S3=1,0,INDEX(Shells!$E$2:$E$9,S3-1))</f>
        <v>2</v>
      </c>
      <c r="W3" t="str">
        <f>IF(V3=U3,"CLOSED_SHELL","OPEN_SHELL")</f>
        <v>CLOSED_SHELL</v>
      </c>
      <c r="X3">
        <f>Constants!$B$11</f>
        <v>9.266927083333333333333333333333333333333333333333333333333333333333333333333333333333333333333333333</v>
      </c>
      <c r="Y3">
        <f>H3-B3</f>
        <v>0</v>
      </c>
      <c r="Z3">
        <f>B3*Constants!$B$11+Y3*Constants!$B$12</f>
        <v>18.53385416666666666666666666666666666666666666666666666666666666666666666666666666666666666666666667</v>
      </c>
      <c r="AA3">
        <f>Z3*Constants!$B$5</f>
        <v>148.2708333333333333333333333333333333333333333333333333333333333333333333333333333333333333333333333</v>
      </c>
      <c r="AB3">
        <f>Z3*7</f>
        <v>129.7369791666666666666666666666666666666666666666666666666666666666666666666666666666666666666666667</v>
      </c>
      <c r="AC3" t="str">
        <f>IF(B3&gt;Constants!$B$6-Constants!$B$5,"CONSTANT_FRONTIER_TAIL_Z119_Z126","CONSTANT_NATIVE_SURFACE_Z001_Z118")</f>
        <v>CONSTANT_NATIVE_SURFACE_Z001_Z118</v>
      </c>
      <c r="AD3" t="str">
        <f>IF(B3&gt;Constants!$B$6-Constants!$B$5,"CONSTANT_FRONTIER_TAIL_CANDIDATE",IF(G3=0,"CONSTANT_STABLE_ANCHOR_LANE",IF(G3=Constants!$B$2/2,"CONSTANT_HALF_WRITE_LANE","CONSTANT_BOUND_LADDER_LANE")))</f>
        <v>CONSTANT_STABLE_ANCHOR_LANE</v>
      </c>
    </row>
    <row r="4">
      <c r="A4" t="str">
        <f>"E"&amp;TEXT(B4,"000")</f>
        <v>E003</v>
      </c>
      <c r="B4">
        <f>ROW()-1</f>
        <v>3</v>
      </c>
      <c r="C4">
        <f>INT((B4-1)/Constants!$B$2)+1</f>
        <v>1</v>
      </c>
      <c r="D4">
        <f>MOD(B4-1,Constants!$B$2)+1</f>
        <v>3</v>
      </c>
      <c r="E4">
        <f>MAX(0,C4-1)</f>
        <v>0</v>
      </c>
      <c r="F4">
        <f>INT(B4*E4/Constants!$B$2)</f>
        <v>0</v>
      </c>
      <c r="G4">
        <f>MOD(B4*E4,Constants!$B$2)</f>
        <v>0</v>
      </c>
      <c r="H4">
        <f>B4+F4</f>
        <v>3</v>
      </c>
      <c r="I4">
        <f>B4+H4</f>
        <v>6</v>
      </c>
      <c r="J4">
        <f>B4</f>
        <v>3</v>
      </c>
      <c r="K4">
        <f>H4</f>
        <v>3</v>
      </c>
      <c r="L4">
        <f>B4</f>
        <v>3</v>
      </c>
      <c r="M4">
        <f>J4+K4+L4</f>
        <v>9</v>
      </c>
      <c r="N4">
        <f>2*B4+H4</f>
        <v>9</v>
      </c>
      <c r="O4">
        <f>B4+2*H4</f>
        <v>9</v>
      </c>
      <c r="P4">
        <f>B4</f>
        <v>3</v>
      </c>
      <c r="Q4" t="str">
        <f>B4&amp;"p+"&amp;H4&amp;"n+"&amp;B4&amp;"e"</f>
        <v>3p+3n+3e</v>
      </c>
      <c r="R4" t="str">
        <f>N4&amp;"u+"&amp;O4&amp;"d+"&amp;P4&amp;"e"</f>
        <v>9u+9d+3e</v>
      </c>
      <c r="S4">
        <f>COUNTIF(Shells!$E$2:$E$9,"&lt;"&amp;B4)+1</f>
        <v>2</v>
      </c>
      <c r="T4">
        <f>INDEX(Shells!$B$2:$B$9,S4)</f>
        <v>2</v>
      </c>
      <c r="U4">
        <f>INDEX(Shells!$C$2:$C$9,S4)</f>
        <v>8</v>
      </c>
      <c r="V4">
        <f>B4-IF(S4=1,0,INDEX(Shells!$E$2:$E$9,S4-1))</f>
        <v>1</v>
      </c>
      <c r="W4" t="str">
        <f>IF(V4=U4,"CLOSED_SHELL","OPEN_SHELL")</f>
        <v>OPEN_SHELL</v>
      </c>
      <c r="X4">
        <f>Constants!$B$11</f>
        <v>9.266927083333333333333333333333333333333333333333333333333333333333333333333333333333333333333333333</v>
      </c>
      <c r="Y4">
        <f>H4-B4</f>
        <v>0</v>
      </c>
      <c r="Z4">
        <f>B4*Constants!$B$11+Y4*Constants!$B$12</f>
        <v>27.80078125</v>
      </c>
      <c r="AA4">
        <f>Z4*Constants!$B$5</f>
        <v>222.40625</v>
      </c>
      <c r="AB4">
        <f>Z4*7</f>
        <v>194.60546875</v>
      </c>
      <c r="AC4" t="str">
        <f>IF(B4&gt;Constants!$B$6-Constants!$B$5,"CONSTANT_FRONTIER_TAIL_Z119_Z126","CONSTANT_NATIVE_SURFACE_Z001_Z118")</f>
        <v>CONSTANT_NATIVE_SURFACE_Z001_Z118</v>
      </c>
      <c r="AD4" t="str">
        <f>IF(B4&gt;Constants!$B$6-Constants!$B$5,"CONSTANT_FRONTIER_TAIL_CANDIDATE",IF(G4=0,"CONSTANT_STABLE_ANCHOR_LANE",IF(G4=Constants!$B$2/2,"CONSTANT_HALF_WRITE_LANE","CONSTANT_BOUND_LADDER_LANE")))</f>
        <v>CONSTANT_STABLE_ANCHOR_LANE</v>
      </c>
    </row>
    <row r="5">
      <c r="A5" t="str">
        <f>"E"&amp;TEXT(B5,"000")</f>
        <v>E004</v>
      </c>
      <c r="B5">
        <f>ROW()-1</f>
        <v>4</v>
      </c>
      <c r="C5">
        <f>INT((B5-1)/Constants!$B$2)+1</f>
        <v>1</v>
      </c>
      <c r="D5">
        <f>MOD(B5-1,Constants!$B$2)+1</f>
        <v>4</v>
      </c>
      <c r="E5">
        <f>MAX(0,C5-1)</f>
        <v>0</v>
      </c>
      <c r="F5">
        <f>INT(B5*E5/Constants!$B$2)</f>
        <v>0</v>
      </c>
      <c r="G5">
        <f>MOD(B5*E5,Constants!$B$2)</f>
        <v>0</v>
      </c>
      <c r="H5">
        <f>B5+F5</f>
        <v>4</v>
      </c>
      <c r="I5">
        <f>B5+H5</f>
        <v>8</v>
      </c>
      <c r="J5">
        <f>B5</f>
        <v>4</v>
      </c>
      <c r="K5">
        <f>H5</f>
        <v>4</v>
      </c>
      <c r="L5">
        <f>B5</f>
        <v>4</v>
      </c>
      <c r="M5">
        <f>J5+K5+L5</f>
        <v>12</v>
      </c>
      <c r="N5">
        <f>2*B5+H5</f>
        <v>12</v>
      </c>
      <c r="O5">
        <f>B5+2*H5</f>
        <v>12</v>
      </c>
      <c r="P5">
        <f>B5</f>
        <v>4</v>
      </c>
      <c r="Q5" t="str">
        <f>B5&amp;"p+"&amp;H5&amp;"n+"&amp;B5&amp;"e"</f>
        <v>4p+4n+4e</v>
      </c>
      <c r="R5" t="str">
        <f>N5&amp;"u+"&amp;O5&amp;"d+"&amp;P5&amp;"e"</f>
        <v>12u+12d+4e</v>
      </c>
      <c r="S5">
        <f>COUNTIF(Shells!$E$2:$E$9,"&lt;"&amp;B5)+1</f>
        <v>2</v>
      </c>
      <c r="T5">
        <f>INDEX(Shells!$B$2:$B$9,S5)</f>
        <v>2</v>
      </c>
      <c r="U5">
        <f>INDEX(Shells!$C$2:$C$9,S5)</f>
        <v>8</v>
      </c>
      <c r="V5">
        <f>B5-IF(S5=1,0,INDEX(Shells!$E$2:$E$9,S5-1))</f>
        <v>2</v>
      </c>
      <c r="W5" t="str">
        <f>IF(V5=U5,"CLOSED_SHELL","OPEN_SHELL")</f>
        <v>OPEN_SHELL</v>
      </c>
      <c r="X5">
        <f>Constants!$B$11</f>
        <v>9.266927083333333333333333333333333333333333333333333333333333333333333333333333333333333333333333333</v>
      </c>
      <c r="Y5">
        <f>H5-B5</f>
        <v>0</v>
      </c>
      <c r="Z5">
        <f>B5*Constants!$B$11+Y5*Constants!$B$12</f>
        <v>37.06770833333333333333333333333333333333333333333333333333333333333333333333333333333333333333333333</v>
      </c>
      <c r="AA5">
        <f>Z5*Constants!$B$5</f>
        <v>296.5416666666666666666666666666666666666666666666666666666666666666666666666666666666666666666666667</v>
      </c>
      <c r="AB5">
        <f>Z5*7</f>
        <v>259.4739583333333333333333333333333333333333333333333333333333333333333333333333333333333333333333333</v>
      </c>
      <c r="AC5" t="str">
        <f>IF(B5&gt;Constants!$B$6-Constants!$B$5,"CONSTANT_FRONTIER_TAIL_Z119_Z126","CONSTANT_NATIVE_SURFACE_Z001_Z118")</f>
        <v>CONSTANT_NATIVE_SURFACE_Z001_Z118</v>
      </c>
      <c r="AD5" t="str">
        <f>IF(B5&gt;Constants!$B$6-Constants!$B$5,"CONSTANT_FRONTIER_TAIL_CANDIDATE",IF(G5=0,"CONSTANT_STABLE_ANCHOR_LANE",IF(G5=Constants!$B$2/2,"CONSTANT_HALF_WRITE_LANE","CONSTANT_BOUND_LADDER_LANE")))</f>
        <v>CONSTANT_STABLE_ANCHOR_LANE</v>
      </c>
    </row>
    <row r="6">
      <c r="A6" t="str">
        <f>"E"&amp;TEXT(B6,"000")</f>
        <v>E005</v>
      </c>
      <c r="B6">
        <f>ROW()-1</f>
        <v>5</v>
      </c>
      <c r="C6">
        <f>INT((B6-1)/Constants!$B$2)+1</f>
        <v>1</v>
      </c>
      <c r="D6">
        <f>MOD(B6-1,Constants!$B$2)+1</f>
        <v>5</v>
      </c>
      <c r="E6">
        <f>MAX(0,C6-1)</f>
        <v>0</v>
      </c>
      <c r="F6">
        <f>INT(B6*E6/Constants!$B$2)</f>
        <v>0</v>
      </c>
      <c r="G6">
        <f>MOD(B6*E6,Constants!$B$2)</f>
        <v>0</v>
      </c>
      <c r="H6">
        <f>B6+F6</f>
        <v>5</v>
      </c>
      <c r="I6">
        <f>B6+H6</f>
        <v>10</v>
      </c>
      <c r="J6">
        <f>B6</f>
        <v>5</v>
      </c>
      <c r="K6">
        <f>H6</f>
        <v>5</v>
      </c>
      <c r="L6">
        <f>B6</f>
        <v>5</v>
      </c>
      <c r="M6">
        <f>J6+K6+L6</f>
        <v>15</v>
      </c>
      <c r="N6">
        <f>2*B6+H6</f>
        <v>15</v>
      </c>
      <c r="O6">
        <f>B6+2*H6</f>
        <v>15</v>
      </c>
      <c r="P6">
        <f>B6</f>
        <v>5</v>
      </c>
      <c r="Q6" t="str">
        <f>B6&amp;"p+"&amp;H6&amp;"n+"&amp;B6&amp;"e"</f>
        <v>5p+5n+5e</v>
      </c>
      <c r="R6" t="str">
        <f>N6&amp;"u+"&amp;O6&amp;"d+"&amp;P6&amp;"e"</f>
        <v>15u+15d+5e</v>
      </c>
      <c r="S6">
        <f>COUNTIF(Shells!$E$2:$E$9,"&lt;"&amp;B6)+1</f>
        <v>2</v>
      </c>
      <c r="T6">
        <f>INDEX(Shells!$B$2:$B$9,S6)</f>
        <v>2</v>
      </c>
      <c r="U6">
        <f>INDEX(Shells!$C$2:$C$9,S6)</f>
        <v>8</v>
      </c>
      <c r="V6">
        <f>B6-IF(S6=1,0,INDEX(Shells!$E$2:$E$9,S6-1))</f>
        <v>3</v>
      </c>
      <c r="W6" t="str">
        <f>IF(V6=U6,"CLOSED_SHELL","OPEN_SHELL")</f>
        <v>OPEN_SHELL</v>
      </c>
      <c r="X6">
        <f>Constants!$B$11</f>
        <v>9.266927083333333333333333333333333333333333333333333333333333333333333333333333333333333333333333333</v>
      </c>
      <c r="Y6">
        <f>H6-B6</f>
        <v>0</v>
      </c>
      <c r="Z6">
        <f>B6*Constants!$B$11+Y6*Constants!$B$12</f>
        <v>46.33463541666666666666666666666666666666666666666666666666666666666666666666666666666666666666666667</v>
      </c>
      <c r="AA6">
        <f>Z6*Constants!$B$5</f>
        <v>370.6770833333333333333333333333333333333333333333333333333333333333333333333333333333333333333333333</v>
      </c>
      <c r="AB6">
        <f>Z6*7</f>
        <v>324.3424479166666666666666666666666666666666666666666666666666666666666666666666666666666666666666667</v>
      </c>
      <c r="AC6" t="str">
        <f>IF(B6&gt;Constants!$B$6-Constants!$B$5,"CONSTANT_FRONTIER_TAIL_Z119_Z126","CONSTANT_NATIVE_SURFACE_Z001_Z118")</f>
        <v>CONSTANT_NATIVE_SURFACE_Z001_Z118</v>
      </c>
      <c r="AD6" t="str">
        <f>IF(B6&gt;Constants!$B$6-Constants!$B$5,"CONSTANT_FRONTIER_TAIL_CANDIDATE",IF(G6=0,"CONSTANT_STABLE_ANCHOR_LANE",IF(G6=Constants!$B$2/2,"CONSTANT_HALF_WRITE_LANE","CONSTANT_BOUND_LADDER_LANE")))</f>
        <v>CONSTANT_STABLE_ANCHOR_LANE</v>
      </c>
    </row>
    <row r="7">
      <c r="A7" t="str">
        <f>"E"&amp;TEXT(B7,"000")</f>
        <v>E006</v>
      </c>
      <c r="B7">
        <f>ROW()-1</f>
        <v>6</v>
      </c>
      <c r="C7">
        <f>INT((B7-1)/Constants!$B$2)+1</f>
        <v>1</v>
      </c>
      <c r="D7">
        <f>MOD(B7-1,Constants!$B$2)+1</f>
        <v>6</v>
      </c>
      <c r="E7">
        <f>MAX(0,C7-1)</f>
        <v>0</v>
      </c>
      <c r="F7">
        <f>INT(B7*E7/Constants!$B$2)</f>
        <v>0</v>
      </c>
      <c r="G7">
        <f>MOD(B7*E7,Constants!$B$2)</f>
        <v>0</v>
      </c>
      <c r="H7">
        <f>B7+F7</f>
        <v>6</v>
      </c>
      <c r="I7">
        <f>B7+H7</f>
        <v>12</v>
      </c>
      <c r="J7">
        <f>B7</f>
        <v>6</v>
      </c>
      <c r="K7">
        <f>H7</f>
        <v>6</v>
      </c>
      <c r="L7">
        <f>B7</f>
        <v>6</v>
      </c>
      <c r="M7">
        <f>J7+K7+L7</f>
        <v>18</v>
      </c>
      <c r="N7">
        <f>2*B7+H7</f>
        <v>18</v>
      </c>
      <c r="O7">
        <f>B7+2*H7</f>
        <v>18</v>
      </c>
      <c r="P7">
        <f>B7</f>
        <v>6</v>
      </c>
      <c r="Q7" t="str">
        <f>B7&amp;"p+"&amp;H7&amp;"n+"&amp;B7&amp;"e"</f>
        <v>6p+6n+6e</v>
      </c>
      <c r="R7" t="str">
        <f>N7&amp;"u+"&amp;O7&amp;"d+"&amp;P7&amp;"e"</f>
        <v>18u+18d+6e</v>
      </c>
      <c r="S7">
        <f>COUNTIF(Shells!$E$2:$E$9,"&lt;"&amp;B7)+1</f>
        <v>2</v>
      </c>
      <c r="T7">
        <f>INDEX(Shells!$B$2:$B$9,S7)</f>
        <v>2</v>
      </c>
      <c r="U7">
        <f>INDEX(Shells!$C$2:$C$9,S7)</f>
        <v>8</v>
      </c>
      <c r="V7">
        <f>B7-IF(S7=1,0,INDEX(Shells!$E$2:$E$9,S7-1))</f>
        <v>4</v>
      </c>
      <c r="W7" t="str">
        <f>IF(V7=U7,"CLOSED_SHELL","OPEN_SHELL")</f>
        <v>OPEN_SHELL</v>
      </c>
      <c r="X7">
        <f>Constants!$B$11</f>
        <v>9.266927083333333333333333333333333333333333333333333333333333333333333333333333333333333333333333333</v>
      </c>
      <c r="Y7">
        <f>H7-B7</f>
        <v>0</v>
      </c>
      <c r="Z7">
        <f>B7*Constants!$B$11+Y7*Constants!$B$12</f>
        <v>55.6015625</v>
      </c>
      <c r="AA7">
        <f>Z7*Constants!$B$5</f>
        <v>444.8125</v>
      </c>
      <c r="AB7">
        <f>Z7*7</f>
        <v>389.2109375</v>
      </c>
      <c r="AC7" t="str">
        <f>IF(B7&gt;Constants!$B$6-Constants!$B$5,"CONSTANT_FRONTIER_TAIL_Z119_Z126","CONSTANT_NATIVE_SURFACE_Z001_Z118")</f>
        <v>CONSTANT_NATIVE_SURFACE_Z001_Z118</v>
      </c>
      <c r="AD7" t="str">
        <f>IF(B7&gt;Constants!$B$6-Constants!$B$5,"CONSTANT_FRONTIER_TAIL_CANDIDATE",IF(G7=0,"CONSTANT_STABLE_ANCHOR_LANE",IF(G7=Constants!$B$2/2,"CONSTANT_HALF_WRITE_LANE","CONSTANT_BOUND_LADDER_LANE")))</f>
        <v>CONSTANT_STABLE_ANCHOR_LANE</v>
      </c>
    </row>
    <row r="8">
      <c r="A8" t="str">
        <f>"E"&amp;TEXT(B8,"000")</f>
        <v>E007</v>
      </c>
      <c r="B8">
        <f>ROW()-1</f>
        <v>7</v>
      </c>
      <c r="C8">
        <f>INT((B8-1)/Constants!$B$2)+1</f>
        <v>1</v>
      </c>
      <c r="D8">
        <f>MOD(B8-1,Constants!$B$2)+1</f>
        <v>7</v>
      </c>
      <c r="E8">
        <f>MAX(0,C8-1)</f>
        <v>0</v>
      </c>
      <c r="F8">
        <f>INT(B8*E8/Constants!$B$2)</f>
        <v>0</v>
      </c>
      <c r="G8">
        <f>MOD(B8*E8,Constants!$B$2)</f>
        <v>0</v>
      </c>
      <c r="H8">
        <f>B8+F8</f>
        <v>7</v>
      </c>
      <c r="I8">
        <f>B8+H8</f>
        <v>14</v>
      </c>
      <c r="J8">
        <f>B8</f>
        <v>7</v>
      </c>
      <c r="K8">
        <f>H8</f>
        <v>7</v>
      </c>
      <c r="L8">
        <f>B8</f>
        <v>7</v>
      </c>
      <c r="M8">
        <f>J8+K8+L8</f>
        <v>21</v>
      </c>
      <c r="N8">
        <f>2*B8+H8</f>
        <v>21</v>
      </c>
      <c r="O8">
        <f>B8+2*H8</f>
        <v>21</v>
      </c>
      <c r="P8">
        <f>B8</f>
        <v>7</v>
      </c>
      <c r="Q8" t="str">
        <f>B8&amp;"p+"&amp;H8&amp;"n+"&amp;B8&amp;"e"</f>
        <v>7p+7n+7e</v>
      </c>
      <c r="R8" t="str">
        <f>N8&amp;"u+"&amp;O8&amp;"d+"&amp;P8&amp;"e"</f>
        <v>21u+21d+7e</v>
      </c>
      <c r="S8">
        <f>COUNTIF(Shells!$E$2:$E$9,"&lt;"&amp;B8)+1</f>
        <v>2</v>
      </c>
      <c r="T8">
        <f>INDEX(Shells!$B$2:$B$9,S8)</f>
        <v>2</v>
      </c>
      <c r="U8">
        <f>INDEX(Shells!$C$2:$C$9,S8)</f>
        <v>8</v>
      </c>
      <c r="V8">
        <f>B8-IF(S8=1,0,INDEX(Shells!$E$2:$E$9,S8-1))</f>
        <v>5</v>
      </c>
      <c r="W8" t="str">
        <f>IF(V8=U8,"CLOSED_SHELL","OPEN_SHELL")</f>
        <v>OPEN_SHELL</v>
      </c>
      <c r="X8">
        <f>Constants!$B$11</f>
        <v>9.266927083333333333333333333333333333333333333333333333333333333333333333333333333333333333333333333</v>
      </c>
      <c r="Y8">
        <f>H8-B8</f>
        <v>0</v>
      </c>
      <c r="Z8">
        <f>B8*Constants!$B$11+Y8*Constants!$B$12</f>
        <v>64.86848958333333333333333333333333333333333333333333333333333333333333333333333333333333333333333333</v>
      </c>
      <c r="AA8">
        <f>Z8*Constants!$B$5</f>
        <v>518.9479166666666666666666666666666666666666666666666666666666666666666666666666666666666666666666667</v>
      </c>
      <c r="AB8">
        <f>Z8*7</f>
        <v>454.0794270833333333333333333333333333333333333333333333333333333333333333333333333333333333333333333</v>
      </c>
      <c r="AC8" t="str">
        <f>IF(B8&gt;Constants!$B$6-Constants!$B$5,"CONSTANT_FRONTIER_TAIL_Z119_Z126","CONSTANT_NATIVE_SURFACE_Z001_Z118")</f>
        <v>CONSTANT_NATIVE_SURFACE_Z001_Z118</v>
      </c>
      <c r="AD8" t="str">
        <f>IF(B8&gt;Constants!$B$6-Constants!$B$5,"CONSTANT_FRONTIER_TAIL_CANDIDATE",IF(G8=0,"CONSTANT_STABLE_ANCHOR_LANE",IF(G8=Constants!$B$2/2,"CONSTANT_HALF_WRITE_LANE","CONSTANT_BOUND_LADDER_LANE")))</f>
        <v>CONSTANT_STABLE_ANCHOR_LANE</v>
      </c>
    </row>
    <row r="9">
      <c r="A9" t="str">
        <f>"E"&amp;TEXT(B9,"000")</f>
        <v>E008</v>
      </c>
      <c r="B9">
        <f>ROW()-1</f>
        <v>8</v>
      </c>
      <c r="C9">
        <f>INT((B9-1)/Constants!$B$2)+1</f>
        <v>1</v>
      </c>
      <c r="D9">
        <f>MOD(B9-1,Constants!$B$2)+1</f>
        <v>8</v>
      </c>
      <c r="E9">
        <f>MAX(0,C9-1)</f>
        <v>0</v>
      </c>
      <c r="F9">
        <f>INT(B9*E9/Constants!$B$2)</f>
        <v>0</v>
      </c>
      <c r="G9">
        <f>MOD(B9*E9,Constants!$B$2)</f>
        <v>0</v>
      </c>
      <c r="H9">
        <f>B9+F9</f>
        <v>8</v>
      </c>
      <c r="I9">
        <f>B9+H9</f>
        <v>16</v>
      </c>
      <c r="J9">
        <f>B9</f>
        <v>8</v>
      </c>
      <c r="K9">
        <f>H9</f>
        <v>8</v>
      </c>
      <c r="L9">
        <f>B9</f>
        <v>8</v>
      </c>
      <c r="M9">
        <f>J9+K9+L9</f>
        <v>24</v>
      </c>
      <c r="N9">
        <f>2*B9+H9</f>
        <v>24</v>
      </c>
      <c r="O9">
        <f>B9+2*H9</f>
        <v>24</v>
      </c>
      <c r="P9">
        <f>B9</f>
        <v>8</v>
      </c>
      <c r="Q9" t="str">
        <f>B9&amp;"p+"&amp;H9&amp;"n+"&amp;B9&amp;"e"</f>
        <v>8p+8n+8e</v>
      </c>
      <c r="R9" t="str">
        <f>N9&amp;"u+"&amp;O9&amp;"d+"&amp;P9&amp;"e"</f>
        <v>24u+24d+8e</v>
      </c>
      <c r="S9">
        <f>COUNTIF(Shells!$E$2:$E$9,"&lt;"&amp;B9)+1</f>
        <v>2</v>
      </c>
      <c r="T9">
        <f>INDEX(Shells!$B$2:$B$9,S9)</f>
        <v>2</v>
      </c>
      <c r="U9">
        <f>INDEX(Shells!$C$2:$C$9,S9)</f>
        <v>8</v>
      </c>
      <c r="V9">
        <f>B9-IF(S9=1,0,INDEX(Shells!$E$2:$E$9,S9-1))</f>
        <v>6</v>
      </c>
      <c r="W9" t="str">
        <f>IF(V9=U9,"CLOSED_SHELL","OPEN_SHELL")</f>
        <v>OPEN_SHELL</v>
      </c>
      <c r="X9">
        <f>Constants!$B$11</f>
        <v>9.266927083333333333333333333333333333333333333333333333333333333333333333333333333333333333333333333</v>
      </c>
      <c r="Y9">
        <f>H9-B9</f>
        <v>0</v>
      </c>
      <c r="Z9">
        <f>B9*Constants!$B$11+Y9*Constants!$B$12</f>
        <v>74.13541666666666666666666666666666666666666666666666666666666666666666666666666666666666666666666667</v>
      </c>
      <c r="AA9">
        <f>Z9*Constants!$B$5</f>
        <v>593.0833333333333333333333333333333333333333333333333333333333333333333333333333333333333333333333333</v>
      </c>
      <c r="AB9">
        <f>Z9*7</f>
        <v>518.9479166666666666666666666666666666666666666666666666666666666666666666666666666666666666666666667</v>
      </c>
      <c r="AC9" t="str">
        <f>IF(B9&gt;Constants!$B$6-Constants!$B$5,"CONSTANT_FRONTIER_TAIL_Z119_Z126","CONSTANT_NATIVE_SURFACE_Z001_Z118")</f>
        <v>CONSTANT_NATIVE_SURFACE_Z001_Z118</v>
      </c>
      <c r="AD9" t="str">
        <f>IF(B9&gt;Constants!$B$6-Constants!$B$5,"CONSTANT_FRONTIER_TAIL_CANDIDATE",IF(G9=0,"CONSTANT_STABLE_ANCHOR_LANE",IF(G9=Constants!$B$2/2,"CONSTANT_HALF_WRITE_LANE","CONSTANT_BOUND_LADDER_LANE")))</f>
        <v>CONSTANT_STABLE_ANCHOR_LANE</v>
      </c>
    </row>
    <row r="10">
      <c r="A10" t="str">
        <f>"E"&amp;TEXT(B10,"000")</f>
        <v>E009</v>
      </c>
      <c r="B10">
        <f>ROW()-1</f>
        <v>9</v>
      </c>
      <c r="C10">
        <f>INT((B10-1)/Constants!$B$2)+1</f>
        <v>1</v>
      </c>
      <c r="D10">
        <f>MOD(B10-1,Constants!$B$2)+1</f>
        <v>9</v>
      </c>
      <c r="E10">
        <f>MAX(0,C10-1)</f>
        <v>0</v>
      </c>
      <c r="F10">
        <f>INT(B10*E10/Constants!$B$2)</f>
        <v>0</v>
      </c>
      <c r="G10">
        <f>MOD(B10*E10,Constants!$B$2)</f>
        <v>0</v>
      </c>
      <c r="H10">
        <f>B10+F10</f>
        <v>9</v>
      </c>
      <c r="I10">
        <f>B10+H10</f>
        <v>18</v>
      </c>
      <c r="J10">
        <f>B10</f>
        <v>9</v>
      </c>
      <c r="K10">
        <f>H10</f>
        <v>9</v>
      </c>
      <c r="L10">
        <f>B10</f>
        <v>9</v>
      </c>
      <c r="M10">
        <f>J10+K10+L10</f>
        <v>27</v>
      </c>
      <c r="N10">
        <f>2*B10+H10</f>
        <v>27</v>
      </c>
      <c r="O10">
        <f>B10+2*H10</f>
        <v>27</v>
      </c>
      <c r="P10">
        <f>B10</f>
        <v>9</v>
      </c>
      <c r="Q10" t="str">
        <f>B10&amp;"p+"&amp;H10&amp;"n+"&amp;B10&amp;"e"</f>
        <v>9p+9n+9e</v>
      </c>
      <c r="R10" t="str">
        <f>N10&amp;"u+"&amp;O10&amp;"d+"&amp;P10&amp;"e"</f>
        <v>27u+27d+9e</v>
      </c>
      <c r="S10">
        <f>COUNTIF(Shells!$E$2:$E$9,"&lt;"&amp;B10)+1</f>
        <v>2</v>
      </c>
      <c r="T10">
        <f>INDEX(Shells!$B$2:$B$9,S10)</f>
        <v>2</v>
      </c>
      <c r="U10">
        <f>INDEX(Shells!$C$2:$C$9,S10)</f>
        <v>8</v>
      </c>
      <c r="V10">
        <f>B10-IF(S10=1,0,INDEX(Shells!$E$2:$E$9,S10-1))</f>
        <v>7</v>
      </c>
      <c r="W10" t="str">
        <f>IF(V10=U10,"CLOSED_SHELL","OPEN_SHELL")</f>
        <v>OPEN_SHELL</v>
      </c>
      <c r="X10">
        <f>Constants!$B$11</f>
        <v>9.266927083333333333333333333333333333333333333333333333333333333333333333333333333333333333333333333</v>
      </c>
      <c r="Y10">
        <f>H10-B10</f>
        <v>0</v>
      </c>
      <c r="Z10">
        <f>B10*Constants!$B$11+Y10*Constants!$B$12</f>
        <v>83.40234375</v>
      </c>
      <c r="AA10">
        <f>Z10*Constants!$B$5</f>
        <v>667.21875</v>
      </c>
      <c r="AB10">
        <f>Z10*7</f>
        <v>583.81640625</v>
      </c>
      <c r="AC10" t="str">
        <f>IF(B10&gt;Constants!$B$6-Constants!$B$5,"CONSTANT_FRONTIER_TAIL_Z119_Z126","CONSTANT_NATIVE_SURFACE_Z001_Z118")</f>
        <v>CONSTANT_NATIVE_SURFACE_Z001_Z118</v>
      </c>
      <c r="AD10" t="str">
        <f>IF(B10&gt;Constants!$B$6-Constants!$B$5,"CONSTANT_FRONTIER_TAIL_CANDIDATE",IF(G10=0,"CONSTANT_STABLE_ANCHOR_LANE",IF(G10=Constants!$B$2/2,"CONSTANT_HALF_WRITE_LANE","CONSTANT_BOUND_LADDER_LANE")))</f>
        <v>CONSTANT_STABLE_ANCHOR_LANE</v>
      </c>
    </row>
    <row r="11">
      <c r="A11" t="str">
        <f>"E"&amp;TEXT(B11,"000")</f>
        <v>E010</v>
      </c>
      <c r="B11">
        <f>ROW()-1</f>
        <v>10</v>
      </c>
      <c r="C11">
        <f>INT((B11-1)/Constants!$B$2)+1</f>
        <v>1</v>
      </c>
      <c r="D11">
        <f>MOD(B11-1,Constants!$B$2)+1</f>
        <v>10</v>
      </c>
      <c r="E11">
        <f>MAX(0,C11-1)</f>
        <v>0</v>
      </c>
      <c r="F11">
        <f>INT(B11*E11/Constants!$B$2)</f>
        <v>0</v>
      </c>
      <c r="G11">
        <f>MOD(B11*E11,Constants!$B$2)</f>
        <v>0</v>
      </c>
      <c r="H11">
        <f>B11+F11</f>
        <v>10</v>
      </c>
      <c r="I11">
        <f>B11+H11</f>
        <v>20</v>
      </c>
      <c r="J11">
        <f>B11</f>
        <v>10</v>
      </c>
      <c r="K11">
        <f>H11</f>
        <v>10</v>
      </c>
      <c r="L11">
        <f>B11</f>
        <v>10</v>
      </c>
      <c r="M11">
        <f>J11+K11+L11</f>
        <v>30</v>
      </c>
      <c r="N11">
        <f>2*B11+H11</f>
        <v>30</v>
      </c>
      <c r="O11">
        <f>B11+2*H11</f>
        <v>30</v>
      </c>
      <c r="P11">
        <f>B11</f>
        <v>10</v>
      </c>
      <c r="Q11" t="str">
        <f>B11&amp;"p+"&amp;H11&amp;"n+"&amp;B11&amp;"e"</f>
        <v>10p+10n+10e</v>
      </c>
      <c r="R11" t="str">
        <f>N11&amp;"u+"&amp;O11&amp;"d+"&amp;P11&amp;"e"</f>
        <v>30u+30d+10e</v>
      </c>
      <c r="S11">
        <f>COUNTIF(Shells!$E$2:$E$9,"&lt;"&amp;B11)+1</f>
        <v>2</v>
      </c>
      <c r="T11">
        <f>INDEX(Shells!$B$2:$B$9,S11)</f>
        <v>2</v>
      </c>
      <c r="U11">
        <f>INDEX(Shells!$C$2:$C$9,S11)</f>
        <v>8</v>
      </c>
      <c r="V11">
        <f>B11-IF(S11=1,0,INDEX(Shells!$E$2:$E$9,S11-1))</f>
        <v>8</v>
      </c>
      <c r="W11" t="str">
        <f>IF(V11=U11,"CLOSED_SHELL","OPEN_SHELL")</f>
        <v>CLOSED_SHELL</v>
      </c>
      <c r="X11">
        <f>Constants!$B$11</f>
        <v>9.266927083333333333333333333333333333333333333333333333333333333333333333333333333333333333333333333</v>
      </c>
      <c r="Y11">
        <f>H11-B11</f>
        <v>0</v>
      </c>
      <c r="Z11">
        <f>B11*Constants!$B$11+Y11*Constants!$B$12</f>
        <v>92.66927083333333333333333333333333333333333333333333333333333333333333333333333333333333333333333333</v>
      </c>
      <c r="AA11">
        <f>Z11*Constants!$B$5</f>
        <v>741.3541666666666666666666666666666666666666666666666666666666666666666666666666666666666666666666667</v>
      </c>
      <c r="AB11">
        <f>Z11*7</f>
        <v>648.6848958333333333333333333333333333333333333333333333333333333333333333333333333333333333333333333</v>
      </c>
      <c r="AC11" t="str">
        <f>IF(B11&gt;Constants!$B$6-Constants!$B$5,"CONSTANT_FRONTIER_TAIL_Z119_Z126","CONSTANT_NATIVE_SURFACE_Z001_Z118")</f>
        <v>CONSTANT_NATIVE_SURFACE_Z001_Z118</v>
      </c>
      <c r="AD11" t="str">
        <f>IF(B11&gt;Constants!$B$6-Constants!$B$5,"CONSTANT_FRONTIER_TAIL_CANDIDATE",IF(G11=0,"CONSTANT_STABLE_ANCHOR_LANE",IF(G11=Constants!$B$2/2,"CONSTANT_HALF_WRITE_LANE","CONSTANT_BOUND_LADDER_LANE")))</f>
        <v>CONSTANT_STABLE_ANCHOR_LANE</v>
      </c>
    </row>
    <row r="12">
      <c r="A12" t="str">
        <f>"E"&amp;TEXT(B12,"000")</f>
        <v>E011</v>
      </c>
      <c r="B12">
        <f>ROW()-1</f>
        <v>11</v>
      </c>
      <c r="C12">
        <f>INT((B12-1)/Constants!$B$2)+1</f>
        <v>1</v>
      </c>
      <c r="D12">
        <f>MOD(B12-1,Constants!$B$2)+1</f>
        <v>11</v>
      </c>
      <c r="E12">
        <f>MAX(0,C12-1)</f>
        <v>0</v>
      </c>
      <c r="F12">
        <f>INT(B12*E12/Constants!$B$2)</f>
        <v>0</v>
      </c>
      <c r="G12">
        <f>MOD(B12*E12,Constants!$B$2)</f>
        <v>0</v>
      </c>
      <c r="H12">
        <f>B12+F12</f>
        <v>11</v>
      </c>
      <c r="I12">
        <f>B12+H12</f>
        <v>22</v>
      </c>
      <c r="J12">
        <f>B12</f>
        <v>11</v>
      </c>
      <c r="K12">
        <f>H12</f>
        <v>11</v>
      </c>
      <c r="L12">
        <f>B12</f>
        <v>11</v>
      </c>
      <c r="M12">
        <f>J12+K12+L12</f>
        <v>33</v>
      </c>
      <c r="N12">
        <f>2*B12+H12</f>
        <v>33</v>
      </c>
      <c r="O12">
        <f>B12+2*H12</f>
        <v>33</v>
      </c>
      <c r="P12">
        <f>B12</f>
        <v>11</v>
      </c>
      <c r="Q12" t="str">
        <f>B12&amp;"p+"&amp;H12&amp;"n+"&amp;B12&amp;"e"</f>
        <v>11p+11n+11e</v>
      </c>
      <c r="R12" t="str">
        <f>N12&amp;"u+"&amp;O12&amp;"d+"&amp;P12&amp;"e"</f>
        <v>33u+33d+11e</v>
      </c>
      <c r="S12">
        <f>COUNTIF(Shells!$E$2:$E$9,"&lt;"&amp;B12)+1</f>
        <v>3</v>
      </c>
      <c r="T12">
        <f>INDEX(Shells!$B$2:$B$9,S12)</f>
        <v>3</v>
      </c>
      <c r="U12">
        <f>INDEX(Shells!$C$2:$C$9,S12)</f>
        <v>18</v>
      </c>
      <c r="V12">
        <f>B12-IF(S12=1,0,INDEX(Shells!$E$2:$E$9,S12-1))</f>
        <v>1</v>
      </c>
      <c r="W12" t="str">
        <f>IF(V12=U12,"CLOSED_SHELL","OPEN_SHELL")</f>
        <v>OPEN_SHELL</v>
      </c>
      <c r="X12">
        <f>Constants!$B$11</f>
        <v>9.266927083333333333333333333333333333333333333333333333333333333333333333333333333333333333333333333</v>
      </c>
      <c r="Y12">
        <f>H12-B12</f>
        <v>0</v>
      </c>
      <c r="Z12">
        <f>B12*Constants!$B$11+Y12*Constants!$B$12</f>
        <v>101.9361979166666666666666666666666666666666666666666666666666666666666666666666666666666666666666667</v>
      </c>
      <c r="AA12">
        <f>Z12*Constants!$B$5</f>
        <v>815.4895833333333333333333333333333333333333333333333333333333333333333333333333333333333333333333333</v>
      </c>
      <c r="AB12">
        <f>Z12*7</f>
        <v>713.5533854166666666666666666666666666666666666666666666666666666666666666666666666666666666666666667</v>
      </c>
      <c r="AC12" t="str">
        <f>IF(B12&gt;Constants!$B$6-Constants!$B$5,"CONSTANT_FRONTIER_TAIL_Z119_Z126","CONSTANT_NATIVE_SURFACE_Z001_Z118")</f>
        <v>CONSTANT_NATIVE_SURFACE_Z001_Z118</v>
      </c>
      <c r="AD12" t="str">
        <f>IF(B12&gt;Constants!$B$6-Constants!$B$5,"CONSTANT_FRONTIER_TAIL_CANDIDATE",IF(G12=0,"CONSTANT_STABLE_ANCHOR_LANE",IF(G12=Constants!$B$2/2,"CONSTANT_HALF_WRITE_LANE","CONSTANT_BOUND_LADDER_LANE")))</f>
        <v>CONSTANT_STABLE_ANCHOR_LANE</v>
      </c>
    </row>
    <row r="13">
      <c r="A13" t="str">
        <f>"E"&amp;TEXT(B13,"000")</f>
        <v>E012</v>
      </c>
      <c r="B13">
        <f>ROW()-1</f>
        <v>12</v>
      </c>
      <c r="C13">
        <f>INT((B13-1)/Constants!$B$2)+1</f>
        <v>1</v>
      </c>
      <c r="D13">
        <f>MOD(B13-1,Constants!$B$2)+1</f>
        <v>12</v>
      </c>
      <c r="E13">
        <f>MAX(0,C13-1)</f>
        <v>0</v>
      </c>
      <c r="F13">
        <f>INT(B13*E13/Constants!$B$2)</f>
        <v>0</v>
      </c>
      <c r="G13">
        <f>MOD(B13*E13,Constants!$B$2)</f>
        <v>0</v>
      </c>
      <c r="H13">
        <f>B13+F13</f>
        <v>12</v>
      </c>
      <c r="I13">
        <f>B13+H13</f>
        <v>24</v>
      </c>
      <c r="J13">
        <f>B13</f>
        <v>12</v>
      </c>
      <c r="K13">
        <f>H13</f>
        <v>12</v>
      </c>
      <c r="L13">
        <f>B13</f>
        <v>12</v>
      </c>
      <c r="M13">
        <f>J13+K13+L13</f>
        <v>36</v>
      </c>
      <c r="N13">
        <f>2*B13+H13</f>
        <v>36</v>
      </c>
      <c r="O13">
        <f>B13+2*H13</f>
        <v>36</v>
      </c>
      <c r="P13">
        <f>B13</f>
        <v>12</v>
      </c>
      <c r="Q13" t="str">
        <f>B13&amp;"p+"&amp;H13&amp;"n+"&amp;B13&amp;"e"</f>
        <v>12p+12n+12e</v>
      </c>
      <c r="R13" t="str">
        <f>N13&amp;"u+"&amp;O13&amp;"d+"&amp;P13&amp;"e"</f>
        <v>36u+36d+12e</v>
      </c>
      <c r="S13">
        <f>COUNTIF(Shells!$E$2:$E$9,"&lt;"&amp;B13)+1</f>
        <v>3</v>
      </c>
      <c r="T13">
        <f>INDEX(Shells!$B$2:$B$9,S13)</f>
        <v>3</v>
      </c>
      <c r="U13">
        <f>INDEX(Shells!$C$2:$C$9,S13)</f>
        <v>18</v>
      </c>
      <c r="V13">
        <f>B13-IF(S13=1,0,INDEX(Shells!$E$2:$E$9,S13-1))</f>
        <v>2</v>
      </c>
      <c r="W13" t="str">
        <f>IF(V13=U13,"CLOSED_SHELL","OPEN_SHELL")</f>
        <v>OPEN_SHELL</v>
      </c>
      <c r="X13">
        <f>Constants!$B$11</f>
        <v>9.266927083333333333333333333333333333333333333333333333333333333333333333333333333333333333333333333</v>
      </c>
      <c r="Y13">
        <f>H13-B13</f>
        <v>0</v>
      </c>
      <c r="Z13">
        <f>B13*Constants!$B$11+Y13*Constants!$B$12</f>
        <v>111.203125</v>
      </c>
      <c r="AA13">
        <f>Z13*Constants!$B$5</f>
        <v>889.625</v>
      </c>
      <c r="AB13">
        <f>Z13*7</f>
        <v>778.421875</v>
      </c>
      <c r="AC13" t="str">
        <f>IF(B13&gt;Constants!$B$6-Constants!$B$5,"CONSTANT_FRONTIER_TAIL_Z119_Z126","CONSTANT_NATIVE_SURFACE_Z001_Z118")</f>
        <v>CONSTANT_NATIVE_SURFACE_Z001_Z118</v>
      </c>
      <c r="AD13" t="str">
        <f>IF(B13&gt;Constants!$B$6-Constants!$B$5,"CONSTANT_FRONTIER_TAIL_CANDIDATE",IF(G13=0,"CONSTANT_STABLE_ANCHOR_LANE",IF(G13=Constants!$B$2/2,"CONSTANT_HALF_WRITE_LANE","CONSTANT_BOUND_LADDER_LANE")))</f>
        <v>CONSTANT_STABLE_ANCHOR_LANE</v>
      </c>
    </row>
    <row r="14">
      <c r="A14" t="str">
        <f>"E"&amp;TEXT(B14,"000")</f>
        <v>E013</v>
      </c>
      <c r="B14">
        <f>ROW()-1</f>
        <v>13</v>
      </c>
      <c r="C14">
        <f>INT((B14-1)/Constants!$B$2)+1</f>
        <v>2</v>
      </c>
      <c r="D14">
        <f>MOD(B14-1,Constants!$B$2)+1</f>
        <v>1</v>
      </c>
      <c r="E14">
        <f>MAX(0,C14-1)</f>
        <v>1</v>
      </c>
      <c r="F14">
        <f>INT(B14*E14/Constants!$B$2)</f>
        <v>1</v>
      </c>
      <c r="G14">
        <f>MOD(B14*E14,Constants!$B$2)</f>
        <v>1</v>
      </c>
      <c r="H14">
        <f>B14+F14</f>
        <v>14</v>
      </c>
      <c r="I14">
        <f>B14+H14</f>
        <v>27</v>
      </c>
      <c r="J14">
        <f>B14</f>
        <v>13</v>
      </c>
      <c r="K14">
        <f>H14</f>
        <v>14</v>
      </c>
      <c r="L14">
        <f>B14</f>
        <v>13</v>
      </c>
      <c r="M14">
        <f>J14+K14+L14</f>
        <v>40</v>
      </c>
      <c r="N14">
        <f>2*B14+H14</f>
        <v>40</v>
      </c>
      <c r="O14">
        <f>B14+2*H14</f>
        <v>41</v>
      </c>
      <c r="P14">
        <f>B14</f>
        <v>13</v>
      </c>
      <c r="Q14" t="str">
        <f>B14&amp;"p+"&amp;H14&amp;"n+"&amp;B14&amp;"e"</f>
        <v>13p+14n+13e</v>
      </c>
      <c r="R14" t="str">
        <f>N14&amp;"u+"&amp;O14&amp;"d+"&amp;P14&amp;"e"</f>
        <v>40u+41d+13e</v>
      </c>
      <c r="S14">
        <f>COUNTIF(Shells!$E$2:$E$9,"&lt;"&amp;B14)+1</f>
        <v>3</v>
      </c>
      <c r="T14">
        <f>INDEX(Shells!$B$2:$B$9,S14)</f>
        <v>3</v>
      </c>
      <c r="U14">
        <f>INDEX(Shells!$C$2:$C$9,S14)</f>
        <v>18</v>
      </c>
      <c r="V14">
        <f>B14-IF(S14=1,0,INDEX(Shells!$E$2:$E$9,S14-1))</f>
        <v>3</v>
      </c>
      <c r="W14" t="str">
        <f>IF(V14=U14,"CLOSED_SHELL","OPEN_SHELL")</f>
        <v>OPEN_SHELL</v>
      </c>
      <c r="X14">
        <f>Constants!$B$11</f>
        <v>9.266927083333333333333333333333333333333333333333333333333333333333333333333333333333333333333333333</v>
      </c>
      <c r="Y14">
        <f>H14-B14</f>
        <v>1</v>
      </c>
      <c r="Z14">
        <f>B14*Constants!$B$11+Y14*Constants!$B$12</f>
        <v>120.4856770833333333333333333333333333333333333333333333333333333333333333333333333333333333333333333</v>
      </c>
      <c r="AA14">
        <f>Z14*Constants!$B$5</f>
        <v>963.8854166666666666666666666666666666666666666666666666666666666666666666666666666666666666666666667</v>
      </c>
      <c r="AB14">
        <f>Z14*7</f>
        <v>843.3997395833333333333333333333333333333333333333333333333333333333333333333333333333333333333333333</v>
      </c>
      <c r="AC14" t="str">
        <f>IF(B14&gt;Constants!$B$6-Constants!$B$5,"CONSTANT_FRONTIER_TAIL_Z119_Z126","CONSTANT_NATIVE_SURFACE_Z001_Z118")</f>
        <v>CONSTANT_NATIVE_SURFACE_Z001_Z118</v>
      </c>
      <c r="AD14" t="str">
        <f>IF(B14&gt;Constants!$B$6-Constants!$B$5,"CONSTANT_FRONTIER_TAIL_CANDIDATE",IF(G14=0,"CONSTANT_STABLE_ANCHOR_LANE",IF(G14=Constants!$B$2/2,"CONSTANT_HALF_WRITE_LANE","CONSTANT_BOUND_LADDER_LANE")))</f>
        <v>CONSTANT_BOUND_LADDER_LANE</v>
      </c>
    </row>
    <row r="15">
      <c r="A15" t="str">
        <f>"E"&amp;TEXT(B15,"000")</f>
        <v>E014</v>
      </c>
      <c r="B15">
        <f>ROW()-1</f>
        <v>14</v>
      </c>
      <c r="C15">
        <f>INT((B15-1)/Constants!$B$2)+1</f>
        <v>2</v>
      </c>
      <c r="D15">
        <f>MOD(B15-1,Constants!$B$2)+1</f>
        <v>2</v>
      </c>
      <c r="E15">
        <f>MAX(0,C15-1)</f>
        <v>1</v>
      </c>
      <c r="F15">
        <f>INT(B15*E15/Constants!$B$2)</f>
        <v>1</v>
      </c>
      <c r="G15">
        <f>MOD(B15*E15,Constants!$B$2)</f>
        <v>2</v>
      </c>
      <c r="H15">
        <f>B15+F15</f>
        <v>15</v>
      </c>
      <c r="I15">
        <f>B15+H15</f>
        <v>29</v>
      </c>
      <c r="J15">
        <f>B15</f>
        <v>14</v>
      </c>
      <c r="K15">
        <f>H15</f>
        <v>15</v>
      </c>
      <c r="L15">
        <f>B15</f>
        <v>14</v>
      </c>
      <c r="M15">
        <f>J15+K15+L15</f>
        <v>43</v>
      </c>
      <c r="N15">
        <f>2*B15+H15</f>
        <v>43</v>
      </c>
      <c r="O15">
        <f>B15+2*H15</f>
        <v>44</v>
      </c>
      <c r="P15">
        <f>B15</f>
        <v>14</v>
      </c>
      <c r="Q15" t="str">
        <f>B15&amp;"p+"&amp;H15&amp;"n+"&amp;B15&amp;"e"</f>
        <v>14p+15n+14e</v>
      </c>
      <c r="R15" t="str">
        <f>N15&amp;"u+"&amp;O15&amp;"d+"&amp;P15&amp;"e"</f>
        <v>43u+44d+14e</v>
      </c>
      <c r="S15">
        <f>COUNTIF(Shells!$E$2:$E$9,"&lt;"&amp;B15)+1</f>
        <v>3</v>
      </c>
      <c r="T15">
        <f>INDEX(Shells!$B$2:$B$9,S15)</f>
        <v>3</v>
      </c>
      <c r="U15">
        <f>INDEX(Shells!$C$2:$C$9,S15)</f>
        <v>18</v>
      </c>
      <c r="V15">
        <f>B15-IF(S15=1,0,INDEX(Shells!$E$2:$E$9,S15-1))</f>
        <v>4</v>
      </c>
      <c r="W15" t="str">
        <f>IF(V15=U15,"CLOSED_SHELL","OPEN_SHELL")</f>
        <v>OPEN_SHELL</v>
      </c>
      <c r="X15">
        <f>Constants!$B$11</f>
        <v>9.266927083333333333333333333333333333333333333333333333333333333333333333333333333333333333333333333</v>
      </c>
      <c r="Y15">
        <f>H15-B15</f>
        <v>1</v>
      </c>
      <c r="Z15">
        <f>B15*Constants!$B$11+Y15*Constants!$B$12</f>
        <v>129.7526041666666666666666666666666666666666666666666666666666666666666666666666666666666666666666667</v>
      </c>
      <c r="AA15">
        <f>Z15*Constants!$B$5</f>
        <v>1038.020833333333333333333333333333333333333333333333333333333333333333333333333333333333333333333333</v>
      </c>
      <c r="AB15">
        <f>Z15*7</f>
        <v>908.2682291666666666666666666666666666666666666666666666666666666666666666666666666666666666666666667</v>
      </c>
      <c r="AC15" t="str">
        <f>IF(B15&gt;Constants!$B$6-Constants!$B$5,"CONSTANT_FRONTIER_TAIL_Z119_Z126","CONSTANT_NATIVE_SURFACE_Z001_Z118")</f>
        <v>CONSTANT_NATIVE_SURFACE_Z001_Z118</v>
      </c>
      <c r="AD15" t="str">
        <f>IF(B15&gt;Constants!$B$6-Constants!$B$5,"CONSTANT_FRONTIER_TAIL_CANDIDATE",IF(G15=0,"CONSTANT_STABLE_ANCHOR_LANE",IF(G15=Constants!$B$2/2,"CONSTANT_HALF_WRITE_LANE","CONSTANT_BOUND_LADDER_LANE")))</f>
        <v>CONSTANT_BOUND_LADDER_LANE</v>
      </c>
    </row>
    <row r="16">
      <c r="A16" t="str">
        <f>"E"&amp;TEXT(B16,"000")</f>
        <v>E015</v>
      </c>
      <c r="B16">
        <f>ROW()-1</f>
        <v>15</v>
      </c>
      <c r="C16">
        <f>INT((B16-1)/Constants!$B$2)+1</f>
        <v>2</v>
      </c>
      <c r="D16">
        <f>MOD(B16-1,Constants!$B$2)+1</f>
        <v>3</v>
      </c>
      <c r="E16">
        <f>MAX(0,C16-1)</f>
        <v>1</v>
      </c>
      <c r="F16">
        <f>INT(B16*E16/Constants!$B$2)</f>
        <v>1</v>
      </c>
      <c r="G16">
        <f>MOD(B16*E16,Constants!$B$2)</f>
        <v>3</v>
      </c>
      <c r="H16">
        <f>B16+F16</f>
        <v>16</v>
      </c>
      <c r="I16">
        <f>B16+H16</f>
        <v>31</v>
      </c>
      <c r="J16">
        <f>B16</f>
        <v>15</v>
      </c>
      <c r="K16">
        <f>H16</f>
        <v>16</v>
      </c>
      <c r="L16">
        <f>B16</f>
        <v>15</v>
      </c>
      <c r="M16">
        <f>J16+K16+L16</f>
        <v>46</v>
      </c>
      <c r="N16">
        <f>2*B16+H16</f>
        <v>46</v>
      </c>
      <c r="O16">
        <f>B16+2*H16</f>
        <v>47</v>
      </c>
      <c r="P16">
        <f>B16</f>
        <v>15</v>
      </c>
      <c r="Q16" t="str">
        <f>B16&amp;"p+"&amp;H16&amp;"n+"&amp;B16&amp;"e"</f>
        <v>15p+16n+15e</v>
      </c>
      <c r="R16" t="str">
        <f>N16&amp;"u+"&amp;O16&amp;"d+"&amp;P16&amp;"e"</f>
        <v>46u+47d+15e</v>
      </c>
      <c r="S16">
        <f>COUNTIF(Shells!$E$2:$E$9,"&lt;"&amp;B16)+1</f>
        <v>3</v>
      </c>
      <c r="T16">
        <f>INDEX(Shells!$B$2:$B$9,S16)</f>
        <v>3</v>
      </c>
      <c r="U16">
        <f>INDEX(Shells!$C$2:$C$9,S16)</f>
        <v>18</v>
      </c>
      <c r="V16">
        <f>B16-IF(S16=1,0,INDEX(Shells!$E$2:$E$9,S16-1))</f>
        <v>5</v>
      </c>
      <c r="W16" t="str">
        <f>IF(V16=U16,"CLOSED_SHELL","OPEN_SHELL")</f>
        <v>OPEN_SHELL</v>
      </c>
      <c r="X16">
        <f>Constants!$B$11</f>
        <v>9.266927083333333333333333333333333333333333333333333333333333333333333333333333333333333333333333333</v>
      </c>
      <c r="Y16">
        <f>H16-B16</f>
        <v>1</v>
      </c>
      <c r="Z16">
        <f>B16*Constants!$B$11+Y16*Constants!$B$12</f>
        <v>139.01953125</v>
      </c>
      <c r="AA16">
        <f>Z16*Constants!$B$5</f>
        <v>1112.15625</v>
      </c>
      <c r="AB16">
        <f>Z16*7</f>
        <v>973.13671875</v>
      </c>
      <c r="AC16" t="str">
        <f>IF(B16&gt;Constants!$B$6-Constants!$B$5,"CONSTANT_FRONTIER_TAIL_Z119_Z126","CONSTANT_NATIVE_SURFACE_Z001_Z118")</f>
        <v>CONSTANT_NATIVE_SURFACE_Z001_Z118</v>
      </c>
      <c r="AD16" t="str">
        <f>IF(B16&gt;Constants!$B$6-Constants!$B$5,"CONSTANT_FRONTIER_TAIL_CANDIDATE",IF(G16=0,"CONSTANT_STABLE_ANCHOR_LANE",IF(G16=Constants!$B$2/2,"CONSTANT_HALF_WRITE_LANE","CONSTANT_BOUND_LADDER_LANE")))</f>
        <v>CONSTANT_BOUND_LADDER_LANE</v>
      </c>
    </row>
    <row r="17">
      <c r="A17" t="str">
        <f>"E"&amp;TEXT(B17,"000")</f>
        <v>E016</v>
      </c>
      <c r="B17">
        <f>ROW()-1</f>
        <v>16</v>
      </c>
      <c r="C17">
        <f>INT((B17-1)/Constants!$B$2)+1</f>
        <v>2</v>
      </c>
      <c r="D17">
        <f>MOD(B17-1,Constants!$B$2)+1</f>
        <v>4</v>
      </c>
      <c r="E17">
        <f>MAX(0,C17-1)</f>
        <v>1</v>
      </c>
      <c r="F17">
        <f>INT(B17*E17/Constants!$B$2)</f>
        <v>1</v>
      </c>
      <c r="G17">
        <f>MOD(B17*E17,Constants!$B$2)</f>
        <v>4</v>
      </c>
      <c r="H17">
        <f>B17+F17</f>
        <v>17</v>
      </c>
      <c r="I17">
        <f>B17+H17</f>
        <v>33</v>
      </c>
      <c r="J17">
        <f>B17</f>
        <v>16</v>
      </c>
      <c r="K17">
        <f>H17</f>
        <v>17</v>
      </c>
      <c r="L17">
        <f>B17</f>
        <v>16</v>
      </c>
      <c r="M17">
        <f>J17+K17+L17</f>
        <v>49</v>
      </c>
      <c r="N17">
        <f>2*B17+H17</f>
        <v>49</v>
      </c>
      <c r="O17">
        <f>B17+2*H17</f>
        <v>50</v>
      </c>
      <c r="P17">
        <f>B17</f>
        <v>16</v>
      </c>
      <c r="Q17" t="str">
        <f>B17&amp;"p+"&amp;H17&amp;"n+"&amp;B17&amp;"e"</f>
        <v>16p+17n+16e</v>
      </c>
      <c r="R17" t="str">
        <f>N17&amp;"u+"&amp;O17&amp;"d+"&amp;P17&amp;"e"</f>
        <v>49u+50d+16e</v>
      </c>
      <c r="S17">
        <f>COUNTIF(Shells!$E$2:$E$9,"&lt;"&amp;B17)+1</f>
        <v>3</v>
      </c>
      <c r="T17">
        <f>INDEX(Shells!$B$2:$B$9,S17)</f>
        <v>3</v>
      </c>
      <c r="U17">
        <f>INDEX(Shells!$C$2:$C$9,S17)</f>
        <v>18</v>
      </c>
      <c r="V17">
        <f>B17-IF(S17=1,0,INDEX(Shells!$E$2:$E$9,S17-1))</f>
        <v>6</v>
      </c>
      <c r="W17" t="str">
        <f>IF(V17=U17,"CLOSED_SHELL","OPEN_SHELL")</f>
        <v>OPEN_SHELL</v>
      </c>
      <c r="X17">
        <f>Constants!$B$11</f>
        <v>9.266927083333333333333333333333333333333333333333333333333333333333333333333333333333333333333333333</v>
      </c>
      <c r="Y17">
        <f>H17-B17</f>
        <v>1</v>
      </c>
      <c r="Z17">
        <f>B17*Constants!$B$11+Y17*Constants!$B$12</f>
        <v>148.2864583333333333333333333333333333333333333333333333333333333333333333333333333333333333333333333</v>
      </c>
      <c r="AA17">
        <f>Z17*Constants!$B$5</f>
        <v>1186.291666666666666666666666666666666666666666666666666666666666666666666666666666666666666666666667</v>
      </c>
      <c r="AB17">
        <f>Z17*7</f>
        <v>1038.005208333333333333333333333333333333333333333333333333333333333333333333333333333333333333333333</v>
      </c>
      <c r="AC17" t="str">
        <f>IF(B17&gt;Constants!$B$6-Constants!$B$5,"CONSTANT_FRONTIER_TAIL_Z119_Z126","CONSTANT_NATIVE_SURFACE_Z001_Z118")</f>
        <v>CONSTANT_NATIVE_SURFACE_Z001_Z118</v>
      </c>
      <c r="AD17" t="str">
        <f>IF(B17&gt;Constants!$B$6-Constants!$B$5,"CONSTANT_FRONTIER_TAIL_CANDIDATE",IF(G17=0,"CONSTANT_STABLE_ANCHOR_LANE",IF(G17=Constants!$B$2/2,"CONSTANT_HALF_WRITE_LANE","CONSTANT_BOUND_LADDER_LANE")))</f>
        <v>CONSTANT_BOUND_LADDER_LANE</v>
      </c>
    </row>
    <row r="18">
      <c r="A18" t="str">
        <f>"E"&amp;TEXT(B18,"000")</f>
        <v>E017</v>
      </c>
      <c r="B18">
        <f>ROW()-1</f>
        <v>17</v>
      </c>
      <c r="C18">
        <f>INT((B18-1)/Constants!$B$2)+1</f>
        <v>2</v>
      </c>
      <c r="D18">
        <f>MOD(B18-1,Constants!$B$2)+1</f>
        <v>5</v>
      </c>
      <c r="E18">
        <f>MAX(0,C18-1)</f>
        <v>1</v>
      </c>
      <c r="F18">
        <f>INT(B18*E18/Constants!$B$2)</f>
        <v>1</v>
      </c>
      <c r="G18">
        <f>MOD(B18*E18,Constants!$B$2)</f>
        <v>5</v>
      </c>
      <c r="H18">
        <f>B18+F18</f>
        <v>18</v>
      </c>
      <c r="I18">
        <f>B18+H18</f>
        <v>35</v>
      </c>
      <c r="J18">
        <f>B18</f>
        <v>17</v>
      </c>
      <c r="K18">
        <f>H18</f>
        <v>18</v>
      </c>
      <c r="L18">
        <f>B18</f>
        <v>17</v>
      </c>
      <c r="M18">
        <f>J18+K18+L18</f>
        <v>52</v>
      </c>
      <c r="N18">
        <f>2*B18+H18</f>
        <v>52</v>
      </c>
      <c r="O18">
        <f>B18+2*H18</f>
        <v>53</v>
      </c>
      <c r="P18">
        <f>B18</f>
        <v>17</v>
      </c>
      <c r="Q18" t="str">
        <f>B18&amp;"p+"&amp;H18&amp;"n+"&amp;B18&amp;"e"</f>
        <v>17p+18n+17e</v>
      </c>
      <c r="R18" t="str">
        <f>N18&amp;"u+"&amp;O18&amp;"d+"&amp;P18&amp;"e"</f>
        <v>52u+53d+17e</v>
      </c>
      <c r="S18">
        <f>COUNTIF(Shells!$E$2:$E$9,"&lt;"&amp;B18)+1</f>
        <v>3</v>
      </c>
      <c r="T18">
        <f>INDEX(Shells!$B$2:$B$9,S18)</f>
        <v>3</v>
      </c>
      <c r="U18">
        <f>INDEX(Shells!$C$2:$C$9,S18)</f>
        <v>18</v>
      </c>
      <c r="V18">
        <f>B18-IF(S18=1,0,INDEX(Shells!$E$2:$E$9,S18-1))</f>
        <v>7</v>
      </c>
      <c r="W18" t="str">
        <f>IF(V18=U18,"CLOSED_SHELL","OPEN_SHELL")</f>
        <v>OPEN_SHELL</v>
      </c>
      <c r="X18">
        <f>Constants!$B$11</f>
        <v>9.266927083333333333333333333333333333333333333333333333333333333333333333333333333333333333333333333</v>
      </c>
      <c r="Y18">
        <f>H18-B18</f>
        <v>1</v>
      </c>
      <c r="Z18">
        <f>B18*Constants!$B$11+Y18*Constants!$B$12</f>
        <v>157.5533854166666666666666666666666666666666666666666666666666666666666666666666666666666666666666667</v>
      </c>
      <c r="AA18">
        <f>Z18*Constants!$B$5</f>
        <v>1260.427083333333333333333333333333333333333333333333333333333333333333333333333333333333333333333333</v>
      </c>
      <c r="AB18">
        <f>Z18*7</f>
        <v>1102.873697916666666666666666666666666666666666666666666666666666666666666666666666666666666666666667</v>
      </c>
      <c r="AC18" t="str">
        <f>IF(B18&gt;Constants!$B$6-Constants!$B$5,"CONSTANT_FRONTIER_TAIL_Z119_Z126","CONSTANT_NATIVE_SURFACE_Z001_Z118")</f>
        <v>CONSTANT_NATIVE_SURFACE_Z001_Z118</v>
      </c>
      <c r="AD18" t="str">
        <f>IF(B18&gt;Constants!$B$6-Constants!$B$5,"CONSTANT_FRONTIER_TAIL_CANDIDATE",IF(G18=0,"CONSTANT_STABLE_ANCHOR_LANE",IF(G18=Constants!$B$2/2,"CONSTANT_HALF_WRITE_LANE","CONSTANT_BOUND_LADDER_LANE")))</f>
        <v>CONSTANT_BOUND_LADDER_LANE</v>
      </c>
    </row>
    <row r="19">
      <c r="A19" t="str">
        <f>"E"&amp;TEXT(B19,"000")</f>
        <v>E018</v>
      </c>
      <c r="B19">
        <f>ROW()-1</f>
        <v>18</v>
      </c>
      <c r="C19">
        <f>INT((B19-1)/Constants!$B$2)+1</f>
        <v>2</v>
      </c>
      <c r="D19">
        <f>MOD(B19-1,Constants!$B$2)+1</f>
        <v>6</v>
      </c>
      <c r="E19">
        <f>MAX(0,C19-1)</f>
        <v>1</v>
      </c>
      <c r="F19">
        <f>INT(B19*E19/Constants!$B$2)</f>
        <v>1</v>
      </c>
      <c r="G19">
        <f>MOD(B19*E19,Constants!$B$2)</f>
        <v>6</v>
      </c>
      <c r="H19">
        <f>B19+F19</f>
        <v>19</v>
      </c>
      <c r="I19">
        <f>B19+H19</f>
        <v>37</v>
      </c>
      <c r="J19">
        <f>B19</f>
        <v>18</v>
      </c>
      <c r="K19">
        <f>H19</f>
        <v>19</v>
      </c>
      <c r="L19">
        <f>B19</f>
        <v>18</v>
      </c>
      <c r="M19">
        <f>J19+K19+L19</f>
        <v>55</v>
      </c>
      <c r="N19">
        <f>2*B19+H19</f>
        <v>55</v>
      </c>
      <c r="O19">
        <f>B19+2*H19</f>
        <v>56</v>
      </c>
      <c r="P19">
        <f>B19</f>
        <v>18</v>
      </c>
      <c r="Q19" t="str">
        <f>B19&amp;"p+"&amp;H19&amp;"n+"&amp;B19&amp;"e"</f>
        <v>18p+19n+18e</v>
      </c>
      <c r="R19" t="str">
        <f>N19&amp;"u+"&amp;O19&amp;"d+"&amp;P19&amp;"e"</f>
        <v>55u+56d+18e</v>
      </c>
      <c r="S19">
        <f>COUNTIF(Shells!$E$2:$E$9,"&lt;"&amp;B19)+1</f>
        <v>3</v>
      </c>
      <c r="T19">
        <f>INDEX(Shells!$B$2:$B$9,S19)</f>
        <v>3</v>
      </c>
      <c r="U19">
        <f>INDEX(Shells!$C$2:$C$9,S19)</f>
        <v>18</v>
      </c>
      <c r="V19">
        <f>B19-IF(S19=1,0,INDEX(Shells!$E$2:$E$9,S19-1))</f>
        <v>8</v>
      </c>
      <c r="W19" t="str">
        <f>IF(V19=U19,"CLOSED_SHELL","OPEN_SHELL")</f>
        <v>OPEN_SHELL</v>
      </c>
      <c r="X19">
        <f>Constants!$B$11</f>
        <v>9.266927083333333333333333333333333333333333333333333333333333333333333333333333333333333333333333333</v>
      </c>
      <c r="Y19">
        <f>H19-B19</f>
        <v>1</v>
      </c>
      <c r="Z19">
        <f>B19*Constants!$B$11+Y19*Constants!$B$12</f>
        <v>166.8203125</v>
      </c>
      <c r="AA19">
        <f>Z19*Constants!$B$5</f>
        <v>1334.5625</v>
      </c>
      <c r="AB19">
        <f>Z19*7</f>
        <v>1167.7421875</v>
      </c>
      <c r="AC19" t="str">
        <f>IF(B19&gt;Constants!$B$6-Constants!$B$5,"CONSTANT_FRONTIER_TAIL_Z119_Z126","CONSTANT_NATIVE_SURFACE_Z001_Z118")</f>
        <v>CONSTANT_NATIVE_SURFACE_Z001_Z118</v>
      </c>
      <c r="AD19" t="str">
        <f>IF(B19&gt;Constants!$B$6-Constants!$B$5,"CONSTANT_FRONTIER_TAIL_CANDIDATE",IF(G19=0,"CONSTANT_STABLE_ANCHOR_LANE",IF(G19=Constants!$B$2/2,"CONSTANT_HALF_WRITE_LANE","CONSTANT_BOUND_LADDER_LANE")))</f>
        <v>CONSTANT_HALF_WRITE_LANE</v>
      </c>
    </row>
    <row r="20">
      <c r="A20" t="str">
        <f>"E"&amp;TEXT(B20,"000")</f>
        <v>E019</v>
      </c>
      <c r="B20">
        <f>ROW()-1</f>
        <v>19</v>
      </c>
      <c r="C20">
        <f>INT((B20-1)/Constants!$B$2)+1</f>
        <v>2</v>
      </c>
      <c r="D20">
        <f>MOD(B20-1,Constants!$B$2)+1</f>
        <v>7</v>
      </c>
      <c r="E20">
        <f>MAX(0,C20-1)</f>
        <v>1</v>
      </c>
      <c r="F20">
        <f>INT(B20*E20/Constants!$B$2)</f>
        <v>1</v>
      </c>
      <c r="G20">
        <f>MOD(B20*E20,Constants!$B$2)</f>
        <v>7</v>
      </c>
      <c r="H20">
        <f>B20+F20</f>
        <v>20</v>
      </c>
      <c r="I20">
        <f>B20+H20</f>
        <v>39</v>
      </c>
      <c r="J20">
        <f>B20</f>
        <v>19</v>
      </c>
      <c r="K20">
        <f>H20</f>
        <v>20</v>
      </c>
      <c r="L20">
        <f>B20</f>
        <v>19</v>
      </c>
      <c r="M20">
        <f>J20+K20+L20</f>
        <v>58</v>
      </c>
      <c r="N20">
        <f>2*B20+H20</f>
        <v>58</v>
      </c>
      <c r="O20">
        <f>B20+2*H20</f>
        <v>59</v>
      </c>
      <c r="P20">
        <f>B20</f>
        <v>19</v>
      </c>
      <c r="Q20" t="str">
        <f>B20&amp;"p+"&amp;H20&amp;"n+"&amp;B20&amp;"e"</f>
        <v>19p+20n+19e</v>
      </c>
      <c r="R20" t="str">
        <f>N20&amp;"u+"&amp;O20&amp;"d+"&amp;P20&amp;"e"</f>
        <v>58u+59d+19e</v>
      </c>
      <c r="S20">
        <f>COUNTIF(Shells!$E$2:$E$9,"&lt;"&amp;B20)+1</f>
        <v>3</v>
      </c>
      <c r="T20">
        <f>INDEX(Shells!$B$2:$B$9,S20)</f>
        <v>3</v>
      </c>
      <c r="U20">
        <f>INDEX(Shells!$C$2:$C$9,S20)</f>
        <v>18</v>
      </c>
      <c r="V20">
        <f>B20-IF(S20=1,0,INDEX(Shells!$E$2:$E$9,S20-1))</f>
        <v>9</v>
      </c>
      <c r="W20" t="str">
        <f>IF(V20=U20,"CLOSED_SHELL","OPEN_SHELL")</f>
        <v>OPEN_SHELL</v>
      </c>
      <c r="X20">
        <f>Constants!$B$11</f>
        <v>9.266927083333333333333333333333333333333333333333333333333333333333333333333333333333333333333333333</v>
      </c>
      <c r="Y20">
        <f>H20-B20</f>
        <v>1</v>
      </c>
      <c r="Z20">
        <f>B20*Constants!$B$11+Y20*Constants!$B$12</f>
        <v>176.0872395833333333333333333333333333333333333333333333333333333333333333333333333333333333333333333</v>
      </c>
      <c r="AA20">
        <f>Z20*Constants!$B$5</f>
        <v>1408.697916666666666666666666666666666666666666666666666666666666666666666666666666666666666666666667</v>
      </c>
      <c r="AB20">
        <f>Z20*7</f>
        <v>1232.610677083333333333333333333333333333333333333333333333333333333333333333333333333333333333333333</v>
      </c>
      <c r="AC20" t="str">
        <f>IF(B20&gt;Constants!$B$6-Constants!$B$5,"CONSTANT_FRONTIER_TAIL_Z119_Z126","CONSTANT_NATIVE_SURFACE_Z001_Z118")</f>
        <v>CONSTANT_NATIVE_SURFACE_Z001_Z118</v>
      </c>
      <c r="AD20" t="str">
        <f>IF(B20&gt;Constants!$B$6-Constants!$B$5,"CONSTANT_FRONTIER_TAIL_CANDIDATE",IF(G20=0,"CONSTANT_STABLE_ANCHOR_LANE",IF(G20=Constants!$B$2/2,"CONSTANT_HALF_WRITE_LANE","CONSTANT_BOUND_LADDER_LANE")))</f>
        <v>CONSTANT_BOUND_LADDER_LANE</v>
      </c>
    </row>
    <row r="21">
      <c r="A21" t="str">
        <f>"E"&amp;TEXT(B21,"000")</f>
        <v>E020</v>
      </c>
      <c r="B21">
        <f>ROW()-1</f>
        <v>20</v>
      </c>
      <c r="C21">
        <f>INT((B21-1)/Constants!$B$2)+1</f>
        <v>2</v>
      </c>
      <c r="D21">
        <f>MOD(B21-1,Constants!$B$2)+1</f>
        <v>8</v>
      </c>
      <c r="E21">
        <f>MAX(0,C21-1)</f>
        <v>1</v>
      </c>
      <c r="F21">
        <f>INT(B21*E21/Constants!$B$2)</f>
        <v>1</v>
      </c>
      <c r="G21">
        <f>MOD(B21*E21,Constants!$B$2)</f>
        <v>8</v>
      </c>
      <c r="H21">
        <f>B21+F21</f>
        <v>21</v>
      </c>
      <c r="I21">
        <f>B21+H21</f>
        <v>41</v>
      </c>
      <c r="J21">
        <f>B21</f>
        <v>20</v>
      </c>
      <c r="K21">
        <f>H21</f>
        <v>21</v>
      </c>
      <c r="L21">
        <f>B21</f>
        <v>20</v>
      </c>
      <c r="M21">
        <f>J21+K21+L21</f>
        <v>61</v>
      </c>
      <c r="N21">
        <f>2*B21+H21</f>
        <v>61</v>
      </c>
      <c r="O21">
        <f>B21+2*H21</f>
        <v>62</v>
      </c>
      <c r="P21">
        <f>B21</f>
        <v>20</v>
      </c>
      <c r="Q21" t="str">
        <f>B21&amp;"p+"&amp;H21&amp;"n+"&amp;B21&amp;"e"</f>
        <v>20p+21n+20e</v>
      </c>
      <c r="R21" t="str">
        <f>N21&amp;"u+"&amp;O21&amp;"d+"&amp;P21&amp;"e"</f>
        <v>61u+62d+20e</v>
      </c>
      <c r="S21">
        <f>COUNTIF(Shells!$E$2:$E$9,"&lt;"&amp;B21)+1</f>
        <v>3</v>
      </c>
      <c r="T21">
        <f>INDEX(Shells!$B$2:$B$9,S21)</f>
        <v>3</v>
      </c>
      <c r="U21">
        <f>INDEX(Shells!$C$2:$C$9,S21)</f>
        <v>18</v>
      </c>
      <c r="V21">
        <f>B21-IF(S21=1,0,INDEX(Shells!$E$2:$E$9,S21-1))</f>
        <v>10</v>
      </c>
      <c r="W21" t="str">
        <f>IF(V21=U21,"CLOSED_SHELL","OPEN_SHELL")</f>
        <v>OPEN_SHELL</v>
      </c>
      <c r="X21">
        <f>Constants!$B$11</f>
        <v>9.266927083333333333333333333333333333333333333333333333333333333333333333333333333333333333333333333</v>
      </c>
      <c r="Y21">
        <f>H21-B21</f>
        <v>1</v>
      </c>
      <c r="Z21">
        <f>B21*Constants!$B$11+Y21*Constants!$B$12</f>
        <v>185.3541666666666666666666666666666666666666666666666666666666666666666666666666666666666666666666667</v>
      </c>
      <c r="AA21">
        <f>Z21*Constants!$B$5</f>
        <v>1482.833333333333333333333333333333333333333333333333333333333333333333333333333333333333333333333333</v>
      </c>
      <c r="AB21">
        <f>Z21*7</f>
        <v>1297.479166666666666666666666666666666666666666666666666666666666666666666666666666666666666666666667</v>
      </c>
      <c r="AC21" t="str">
        <f>IF(B21&gt;Constants!$B$6-Constants!$B$5,"CONSTANT_FRONTIER_TAIL_Z119_Z126","CONSTANT_NATIVE_SURFACE_Z001_Z118")</f>
        <v>CONSTANT_NATIVE_SURFACE_Z001_Z118</v>
      </c>
      <c r="AD21" t="str">
        <f>IF(B21&gt;Constants!$B$6-Constants!$B$5,"CONSTANT_FRONTIER_TAIL_CANDIDATE",IF(G21=0,"CONSTANT_STABLE_ANCHOR_LANE",IF(G21=Constants!$B$2/2,"CONSTANT_HALF_WRITE_LANE","CONSTANT_BOUND_LADDER_LANE")))</f>
        <v>CONSTANT_BOUND_LADDER_LANE</v>
      </c>
    </row>
    <row r="22">
      <c r="A22" t="str">
        <f>"E"&amp;TEXT(B22,"000")</f>
        <v>E021</v>
      </c>
      <c r="B22">
        <f>ROW()-1</f>
        <v>21</v>
      </c>
      <c r="C22">
        <f>INT((B22-1)/Constants!$B$2)+1</f>
        <v>2</v>
      </c>
      <c r="D22">
        <f>MOD(B22-1,Constants!$B$2)+1</f>
        <v>9</v>
      </c>
      <c r="E22">
        <f>MAX(0,C22-1)</f>
        <v>1</v>
      </c>
      <c r="F22">
        <f>INT(B22*E22/Constants!$B$2)</f>
        <v>1</v>
      </c>
      <c r="G22">
        <f>MOD(B22*E22,Constants!$B$2)</f>
        <v>9</v>
      </c>
      <c r="H22">
        <f>B22+F22</f>
        <v>22</v>
      </c>
      <c r="I22">
        <f>B22+H22</f>
        <v>43</v>
      </c>
      <c r="J22">
        <f>B22</f>
        <v>21</v>
      </c>
      <c r="K22">
        <f>H22</f>
        <v>22</v>
      </c>
      <c r="L22">
        <f>B22</f>
        <v>21</v>
      </c>
      <c r="M22">
        <f>J22+K22+L22</f>
        <v>64</v>
      </c>
      <c r="N22">
        <f>2*B22+H22</f>
        <v>64</v>
      </c>
      <c r="O22">
        <f>B22+2*H22</f>
        <v>65</v>
      </c>
      <c r="P22">
        <f>B22</f>
        <v>21</v>
      </c>
      <c r="Q22" t="str">
        <f>B22&amp;"p+"&amp;H22&amp;"n+"&amp;B22&amp;"e"</f>
        <v>21p+22n+21e</v>
      </c>
      <c r="R22" t="str">
        <f>N22&amp;"u+"&amp;O22&amp;"d+"&amp;P22&amp;"e"</f>
        <v>64u+65d+21e</v>
      </c>
      <c r="S22">
        <f>COUNTIF(Shells!$E$2:$E$9,"&lt;"&amp;B22)+1</f>
        <v>3</v>
      </c>
      <c r="T22">
        <f>INDEX(Shells!$B$2:$B$9,S22)</f>
        <v>3</v>
      </c>
      <c r="U22">
        <f>INDEX(Shells!$C$2:$C$9,S22)</f>
        <v>18</v>
      </c>
      <c r="V22">
        <f>B22-IF(S22=1,0,INDEX(Shells!$E$2:$E$9,S22-1))</f>
        <v>11</v>
      </c>
      <c r="W22" t="str">
        <f>IF(V22=U22,"CLOSED_SHELL","OPEN_SHELL")</f>
        <v>OPEN_SHELL</v>
      </c>
      <c r="X22">
        <f>Constants!$B$11</f>
        <v>9.266927083333333333333333333333333333333333333333333333333333333333333333333333333333333333333333333</v>
      </c>
      <c r="Y22">
        <f>H22-B22</f>
        <v>1</v>
      </c>
      <c r="Z22">
        <f>B22*Constants!$B$11+Y22*Constants!$B$12</f>
        <v>194.62109375</v>
      </c>
      <c r="AA22">
        <f>Z22*Constants!$B$5</f>
        <v>1556.96875</v>
      </c>
      <c r="AB22">
        <f>Z22*7</f>
        <v>1362.34765625</v>
      </c>
      <c r="AC22" t="str">
        <f>IF(B22&gt;Constants!$B$6-Constants!$B$5,"CONSTANT_FRONTIER_TAIL_Z119_Z126","CONSTANT_NATIVE_SURFACE_Z001_Z118")</f>
        <v>CONSTANT_NATIVE_SURFACE_Z001_Z118</v>
      </c>
      <c r="AD22" t="str">
        <f>IF(B22&gt;Constants!$B$6-Constants!$B$5,"CONSTANT_FRONTIER_TAIL_CANDIDATE",IF(G22=0,"CONSTANT_STABLE_ANCHOR_LANE",IF(G22=Constants!$B$2/2,"CONSTANT_HALF_WRITE_LANE","CONSTANT_BOUND_LADDER_LANE")))</f>
        <v>CONSTANT_BOUND_LADDER_LANE</v>
      </c>
    </row>
    <row r="23">
      <c r="A23" t="str">
        <f>"E"&amp;TEXT(B23,"000")</f>
        <v>E022</v>
      </c>
      <c r="B23">
        <f>ROW()-1</f>
        <v>22</v>
      </c>
      <c r="C23">
        <f>INT((B23-1)/Constants!$B$2)+1</f>
        <v>2</v>
      </c>
      <c r="D23">
        <f>MOD(B23-1,Constants!$B$2)+1</f>
        <v>10</v>
      </c>
      <c r="E23">
        <f>MAX(0,C23-1)</f>
        <v>1</v>
      </c>
      <c r="F23">
        <f>INT(B23*E23/Constants!$B$2)</f>
        <v>1</v>
      </c>
      <c r="G23">
        <f>MOD(B23*E23,Constants!$B$2)</f>
        <v>10</v>
      </c>
      <c r="H23">
        <f>B23+F23</f>
        <v>23</v>
      </c>
      <c r="I23">
        <f>B23+H23</f>
        <v>45</v>
      </c>
      <c r="J23">
        <f>B23</f>
        <v>22</v>
      </c>
      <c r="K23">
        <f>H23</f>
        <v>23</v>
      </c>
      <c r="L23">
        <f>B23</f>
        <v>22</v>
      </c>
      <c r="M23">
        <f>J23+K23+L23</f>
        <v>67</v>
      </c>
      <c r="N23">
        <f>2*B23+H23</f>
        <v>67</v>
      </c>
      <c r="O23">
        <f>B23+2*H23</f>
        <v>68</v>
      </c>
      <c r="P23">
        <f>B23</f>
        <v>22</v>
      </c>
      <c r="Q23" t="str">
        <f>B23&amp;"p+"&amp;H23&amp;"n+"&amp;B23&amp;"e"</f>
        <v>22p+23n+22e</v>
      </c>
      <c r="R23" t="str">
        <f>N23&amp;"u+"&amp;O23&amp;"d+"&amp;P23&amp;"e"</f>
        <v>67u+68d+22e</v>
      </c>
      <c r="S23">
        <f>COUNTIF(Shells!$E$2:$E$9,"&lt;"&amp;B23)+1</f>
        <v>3</v>
      </c>
      <c r="T23">
        <f>INDEX(Shells!$B$2:$B$9,S23)</f>
        <v>3</v>
      </c>
      <c r="U23">
        <f>INDEX(Shells!$C$2:$C$9,S23)</f>
        <v>18</v>
      </c>
      <c r="V23">
        <f>B23-IF(S23=1,0,INDEX(Shells!$E$2:$E$9,S23-1))</f>
        <v>12</v>
      </c>
      <c r="W23" t="str">
        <f>IF(V23=U23,"CLOSED_SHELL","OPEN_SHELL")</f>
        <v>OPEN_SHELL</v>
      </c>
      <c r="X23">
        <f>Constants!$B$11</f>
        <v>9.266927083333333333333333333333333333333333333333333333333333333333333333333333333333333333333333333</v>
      </c>
      <c r="Y23">
        <f>H23-B23</f>
        <v>1</v>
      </c>
      <c r="Z23">
        <f>B23*Constants!$B$11+Y23*Constants!$B$12</f>
        <v>203.8880208333333333333333333333333333333333333333333333333333333333333333333333333333333333333333333</v>
      </c>
      <c r="AA23">
        <f>Z23*Constants!$B$5</f>
        <v>1631.104166666666666666666666666666666666666666666666666666666666666666666666666666666666666666666667</v>
      </c>
      <c r="AB23">
        <f>Z23*7</f>
        <v>1427.216145833333333333333333333333333333333333333333333333333333333333333333333333333333333333333333</v>
      </c>
      <c r="AC23" t="str">
        <f>IF(B23&gt;Constants!$B$6-Constants!$B$5,"CONSTANT_FRONTIER_TAIL_Z119_Z126","CONSTANT_NATIVE_SURFACE_Z001_Z118")</f>
        <v>CONSTANT_NATIVE_SURFACE_Z001_Z118</v>
      </c>
      <c r="AD23" t="str">
        <f>IF(B23&gt;Constants!$B$6-Constants!$B$5,"CONSTANT_FRONTIER_TAIL_CANDIDATE",IF(G23=0,"CONSTANT_STABLE_ANCHOR_LANE",IF(G23=Constants!$B$2/2,"CONSTANT_HALF_WRITE_LANE","CONSTANT_BOUND_LADDER_LANE")))</f>
        <v>CONSTANT_BOUND_LADDER_LANE</v>
      </c>
    </row>
    <row r="24">
      <c r="A24" t="str">
        <f>"E"&amp;TEXT(B24,"000")</f>
        <v>E023</v>
      </c>
      <c r="B24">
        <f>ROW()-1</f>
        <v>23</v>
      </c>
      <c r="C24">
        <f>INT((B24-1)/Constants!$B$2)+1</f>
        <v>2</v>
      </c>
      <c r="D24">
        <f>MOD(B24-1,Constants!$B$2)+1</f>
        <v>11</v>
      </c>
      <c r="E24">
        <f>MAX(0,C24-1)</f>
        <v>1</v>
      </c>
      <c r="F24">
        <f>INT(B24*E24/Constants!$B$2)</f>
        <v>1</v>
      </c>
      <c r="G24">
        <f>MOD(B24*E24,Constants!$B$2)</f>
        <v>11</v>
      </c>
      <c r="H24">
        <f>B24+F24</f>
        <v>24</v>
      </c>
      <c r="I24">
        <f>B24+H24</f>
        <v>47</v>
      </c>
      <c r="J24">
        <f>B24</f>
        <v>23</v>
      </c>
      <c r="K24">
        <f>H24</f>
        <v>24</v>
      </c>
      <c r="L24">
        <f>B24</f>
        <v>23</v>
      </c>
      <c r="M24">
        <f>J24+K24+L24</f>
        <v>70</v>
      </c>
      <c r="N24">
        <f>2*B24+H24</f>
        <v>70</v>
      </c>
      <c r="O24">
        <f>B24+2*H24</f>
        <v>71</v>
      </c>
      <c r="P24">
        <f>B24</f>
        <v>23</v>
      </c>
      <c r="Q24" t="str">
        <f>B24&amp;"p+"&amp;H24&amp;"n+"&amp;B24&amp;"e"</f>
        <v>23p+24n+23e</v>
      </c>
      <c r="R24" t="str">
        <f>N24&amp;"u+"&amp;O24&amp;"d+"&amp;P24&amp;"e"</f>
        <v>70u+71d+23e</v>
      </c>
      <c r="S24">
        <f>COUNTIF(Shells!$E$2:$E$9,"&lt;"&amp;B24)+1</f>
        <v>3</v>
      </c>
      <c r="T24">
        <f>INDEX(Shells!$B$2:$B$9,S24)</f>
        <v>3</v>
      </c>
      <c r="U24">
        <f>INDEX(Shells!$C$2:$C$9,S24)</f>
        <v>18</v>
      </c>
      <c r="V24">
        <f>B24-IF(S24=1,0,INDEX(Shells!$E$2:$E$9,S24-1))</f>
        <v>13</v>
      </c>
      <c r="W24" t="str">
        <f>IF(V24=U24,"CLOSED_SHELL","OPEN_SHELL")</f>
        <v>OPEN_SHELL</v>
      </c>
      <c r="X24">
        <f>Constants!$B$11</f>
        <v>9.266927083333333333333333333333333333333333333333333333333333333333333333333333333333333333333333333</v>
      </c>
      <c r="Y24">
        <f>H24-B24</f>
        <v>1</v>
      </c>
      <c r="Z24">
        <f>B24*Constants!$B$11+Y24*Constants!$B$12</f>
        <v>213.1549479166666666666666666666666666666666666666666666666666666666666666666666666666666666666666667</v>
      </c>
      <c r="AA24">
        <f>Z24*Constants!$B$5</f>
        <v>1705.239583333333333333333333333333333333333333333333333333333333333333333333333333333333333333333333</v>
      </c>
      <c r="AB24">
        <f>Z24*7</f>
        <v>1492.084635416666666666666666666666666666666666666666666666666666666666666666666666666666666666666667</v>
      </c>
      <c r="AC24" t="str">
        <f>IF(B24&gt;Constants!$B$6-Constants!$B$5,"CONSTANT_FRONTIER_TAIL_Z119_Z126","CONSTANT_NATIVE_SURFACE_Z001_Z118")</f>
        <v>CONSTANT_NATIVE_SURFACE_Z001_Z118</v>
      </c>
      <c r="AD24" t="str">
        <f>IF(B24&gt;Constants!$B$6-Constants!$B$5,"CONSTANT_FRONTIER_TAIL_CANDIDATE",IF(G24=0,"CONSTANT_STABLE_ANCHOR_LANE",IF(G24=Constants!$B$2/2,"CONSTANT_HALF_WRITE_LANE","CONSTANT_BOUND_LADDER_LANE")))</f>
        <v>CONSTANT_BOUND_LADDER_LANE</v>
      </c>
    </row>
    <row r="25">
      <c r="A25" t="str">
        <f>"E"&amp;TEXT(B25,"000")</f>
        <v>E024</v>
      </c>
      <c r="B25">
        <f>ROW()-1</f>
        <v>24</v>
      </c>
      <c r="C25">
        <f>INT((B25-1)/Constants!$B$2)+1</f>
        <v>2</v>
      </c>
      <c r="D25">
        <f>MOD(B25-1,Constants!$B$2)+1</f>
        <v>12</v>
      </c>
      <c r="E25">
        <f>MAX(0,C25-1)</f>
        <v>1</v>
      </c>
      <c r="F25">
        <f>INT(B25*E25/Constants!$B$2)</f>
        <v>2</v>
      </c>
      <c r="G25">
        <f>MOD(B25*E25,Constants!$B$2)</f>
        <v>0</v>
      </c>
      <c r="H25">
        <f>B25+F25</f>
        <v>26</v>
      </c>
      <c r="I25">
        <f>B25+H25</f>
        <v>50</v>
      </c>
      <c r="J25">
        <f>B25</f>
        <v>24</v>
      </c>
      <c r="K25">
        <f>H25</f>
        <v>26</v>
      </c>
      <c r="L25">
        <f>B25</f>
        <v>24</v>
      </c>
      <c r="M25">
        <f>J25+K25+L25</f>
        <v>74</v>
      </c>
      <c r="N25">
        <f>2*B25+H25</f>
        <v>74</v>
      </c>
      <c r="O25">
        <f>B25+2*H25</f>
        <v>76</v>
      </c>
      <c r="P25">
        <f>B25</f>
        <v>24</v>
      </c>
      <c r="Q25" t="str">
        <f>B25&amp;"p+"&amp;H25&amp;"n+"&amp;B25&amp;"e"</f>
        <v>24p+26n+24e</v>
      </c>
      <c r="R25" t="str">
        <f>N25&amp;"u+"&amp;O25&amp;"d+"&amp;P25&amp;"e"</f>
        <v>74u+76d+24e</v>
      </c>
      <c r="S25">
        <f>COUNTIF(Shells!$E$2:$E$9,"&lt;"&amp;B25)+1</f>
        <v>3</v>
      </c>
      <c r="T25">
        <f>INDEX(Shells!$B$2:$B$9,S25)</f>
        <v>3</v>
      </c>
      <c r="U25">
        <f>INDEX(Shells!$C$2:$C$9,S25)</f>
        <v>18</v>
      </c>
      <c r="V25">
        <f>B25-IF(S25=1,0,INDEX(Shells!$E$2:$E$9,S25-1))</f>
        <v>14</v>
      </c>
      <c r="W25" t="str">
        <f>IF(V25=U25,"CLOSED_SHELL","OPEN_SHELL")</f>
        <v>OPEN_SHELL</v>
      </c>
      <c r="X25">
        <f>Constants!$B$11</f>
        <v>9.266927083333333333333333333333333333333333333333333333333333333333333333333333333333333333333333333</v>
      </c>
      <c r="Y25">
        <f>H25-B25</f>
        <v>2</v>
      </c>
      <c r="Z25">
        <f>B25*Constants!$B$11+Y25*Constants!$B$12</f>
        <v>222.4375</v>
      </c>
      <c r="AA25">
        <f>Z25*Constants!$B$5</f>
        <v>1779.5</v>
      </c>
      <c r="AB25">
        <f>Z25*7</f>
        <v>1557.0625</v>
      </c>
      <c r="AC25" t="str">
        <f>IF(B25&gt;Constants!$B$6-Constants!$B$5,"CONSTANT_FRONTIER_TAIL_Z119_Z126","CONSTANT_NATIVE_SURFACE_Z001_Z118")</f>
        <v>CONSTANT_NATIVE_SURFACE_Z001_Z118</v>
      </c>
      <c r="AD25" t="str">
        <f>IF(B25&gt;Constants!$B$6-Constants!$B$5,"CONSTANT_FRONTIER_TAIL_CANDIDATE",IF(G25=0,"CONSTANT_STABLE_ANCHOR_LANE",IF(G25=Constants!$B$2/2,"CONSTANT_HALF_WRITE_LANE","CONSTANT_BOUND_LADDER_LANE")))</f>
        <v>CONSTANT_STABLE_ANCHOR_LANE</v>
      </c>
    </row>
    <row r="26">
      <c r="A26" t="str">
        <f>"E"&amp;TEXT(B26,"000")</f>
        <v>E025</v>
      </c>
      <c r="B26">
        <f>ROW()-1</f>
        <v>25</v>
      </c>
      <c r="C26">
        <f>INT((B26-1)/Constants!$B$2)+1</f>
        <v>3</v>
      </c>
      <c r="D26">
        <f>MOD(B26-1,Constants!$B$2)+1</f>
        <v>1</v>
      </c>
      <c r="E26">
        <f>MAX(0,C26-1)</f>
        <v>2</v>
      </c>
      <c r="F26">
        <f>INT(B26*E26/Constants!$B$2)</f>
        <v>4</v>
      </c>
      <c r="G26">
        <f>MOD(B26*E26,Constants!$B$2)</f>
        <v>2</v>
      </c>
      <c r="H26">
        <f>B26+F26</f>
        <v>29</v>
      </c>
      <c r="I26">
        <f>B26+H26</f>
        <v>54</v>
      </c>
      <c r="J26">
        <f>B26</f>
        <v>25</v>
      </c>
      <c r="K26">
        <f>H26</f>
        <v>29</v>
      </c>
      <c r="L26">
        <f>B26</f>
        <v>25</v>
      </c>
      <c r="M26">
        <f>J26+K26+L26</f>
        <v>79</v>
      </c>
      <c r="N26">
        <f>2*B26+H26</f>
        <v>79</v>
      </c>
      <c r="O26">
        <f>B26+2*H26</f>
        <v>83</v>
      </c>
      <c r="P26">
        <f>B26</f>
        <v>25</v>
      </c>
      <c r="Q26" t="str">
        <f>B26&amp;"p+"&amp;H26&amp;"n+"&amp;B26&amp;"e"</f>
        <v>25p+29n+25e</v>
      </c>
      <c r="R26" t="str">
        <f>N26&amp;"u+"&amp;O26&amp;"d+"&amp;P26&amp;"e"</f>
        <v>79u+83d+25e</v>
      </c>
      <c r="S26">
        <f>COUNTIF(Shells!$E$2:$E$9,"&lt;"&amp;B26)+1</f>
        <v>3</v>
      </c>
      <c r="T26">
        <f>INDEX(Shells!$B$2:$B$9,S26)</f>
        <v>3</v>
      </c>
      <c r="U26">
        <f>INDEX(Shells!$C$2:$C$9,S26)</f>
        <v>18</v>
      </c>
      <c r="V26">
        <f>B26-IF(S26=1,0,INDEX(Shells!$E$2:$E$9,S26-1))</f>
        <v>15</v>
      </c>
      <c r="W26" t="str">
        <f>IF(V26=U26,"CLOSED_SHELL","OPEN_SHELL")</f>
        <v>OPEN_SHELL</v>
      </c>
      <c r="X26">
        <f>Constants!$B$11</f>
        <v>9.266927083333333333333333333333333333333333333333333333333333333333333333333333333333333333333333333</v>
      </c>
      <c r="Y26">
        <f>H26-B26</f>
        <v>4</v>
      </c>
      <c r="Z26">
        <f>B26*Constants!$B$11+Y26*Constants!$B$12</f>
        <v>231.7356770833333333333333333333333333333333333333333333333333333333333333333333333333333333333333333</v>
      </c>
      <c r="AA26">
        <f>Z26*Constants!$B$5</f>
        <v>1853.885416666666666666666666666666666666666666666666666666666666666666666666666666666666666666666667</v>
      </c>
      <c r="AB26">
        <f>Z26*7</f>
        <v>1622.149739583333333333333333333333333333333333333333333333333333333333333333333333333333333333333333</v>
      </c>
      <c r="AC26" t="str">
        <f>IF(B26&gt;Constants!$B$6-Constants!$B$5,"CONSTANT_FRONTIER_TAIL_Z119_Z126","CONSTANT_NATIVE_SURFACE_Z001_Z118")</f>
        <v>CONSTANT_NATIVE_SURFACE_Z001_Z118</v>
      </c>
      <c r="AD26" t="str">
        <f>IF(B26&gt;Constants!$B$6-Constants!$B$5,"CONSTANT_FRONTIER_TAIL_CANDIDATE",IF(G26=0,"CONSTANT_STABLE_ANCHOR_LANE",IF(G26=Constants!$B$2/2,"CONSTANT_HALF_WRITE_LANE","CONSTANT_BOUND_LADDER_LANE")))</f>
        <v>CONSTANT_BOUND_LADDER_LANE</v>
      </c>
    </row>
    <row r="27">
      <c r="A27" t="str">
        <f>"E"&amp;TEXT(B27,"000")</f>
        <v>E026</v>
      </c>
      <c r="B27">
        <f>ROW()-1</f>
        <v>26</v>
      </c>
      <c r="C27">
        <f>INT((B27-1)/Constants!$B$2)+1</f>
        <v>3</v>
      </c>
      <c r="D27">
        <f>MOD(B27-1,Constants!$B$2)+1</f>
        <v>2</v>
      </c>
      <c r="E27">
        <f>MAX(0,C27-1)</f>
        <v>2</v>
      </c>
      <c r="F27">
        <f>INT(B27*E27/Constants!$B$2)</f>
        <v>4</v>
      </c>
      <c r="G27">
        <f>MOD(B27*E27,Constants!$B$2)</f>
        <v>4</v>
      </c>
      <c r="H27">
        <f>B27+F27</f>
        <v>30</v>
      </c>
      <c r="I27">
        <f>B27+H27</f>
        <v>56</v>
      </c>
      <c r="J27">
        <f>B27</f>
        <v>26</v>
      </c>
      <c r="K27">
        <f>H27</f>
        <v>30</v>
      </c>
      <c r="L27">
        <f>B27</f>
        <v>26</v>
      </c>
      <c r="M27">
        <f>J27+K27+L27</f>
        <v>82</v>
      </c>
      <c r="N27">
        <f>2*B27+H27</f>
        <v>82</v>
      </c>
      <c r="O27">
        <f>B27+2*H27</f>
        <v>86</v>
      </c>
      <c r="P27">
        <f>B27</f>
        <v>26</v>
      </c>
      <c r="Q27" t="str">
        <f>B27&amp;"p+"&amp;H27&amp;"n+"&amp;B27&amp;"e"</f>
        <v>26p+30n+26e</v>
      </c>
      <c r="R27" t="str">
        <f>N27&amp;"u+"&amp;O27&amp;"d+"&amp;P27&amp;"e"</f>
        <v>82u+86d+26e</v>
      </c>
      <c r="S27">
        <f>COUNTIF(Shells!$E$2:$E$9,"&lt;"&amp;B27)+1</f>
        <v>3</v>
      </c>
      <c r="T27">
        <f>INDEX(Shells!$B$2:$B$9,S27)</f>
        <v>3</v>
      </c>
      <c r="U27">
        <f>INDEX(Shells!$C$2:$C$9,S27)</f>
        <v>18</v>
      </c>
      <c r="V27">
        <f>B27-IF(S27=1,0,INDEX(Shells!$E$2:$E$9,S27-1))</f>
        <v>16</v>
      </c>
      <c r="W27" t="str">
        <f>IF(V27=U27,"CLOSED_SHELL","OPEN_SHELL")</f>
        <v>OPEN_SHELL</v>
      </c>
      <c r="X27">
        <f>Constants!$B$11</f>
        <v>9.266927083333333333333333333333333333333333333333333333333333333333333333333333333333333333333333333</v>
      </c>
      <c r="Y27">
        <f>H27-B27</f>
        <v>4</v>
      </c>
      <c r="Z27">
        <f>B27*Constants!$B$11+Y27*Constants!$B$12</f>
        <v>241.0026041666666666666666666666666666666666666666666666666666666666666666666666666666666666666666667</v>
      </c>
      <c r="AA27">
        <f>Z27*Constants!$B$5</f>
        <v>1928.020833333333333333333333333333333333333333333333333333333333333333333333333333333333333333333333</v>
      </c>
      <c r="AB27">
        <f>Z27*7</f>
        <v>1687.018229166666666666666666666666666666666666666666666666666666666666666666666666666666666666666667</v>
      </c>
      <c r="AC27" t="str">
        <f>IF(B27&gt;Constants!$B$6-Constants!$B$5,"CONSTANT_FRONTIER_TAIL_Z119_Z126","CONSTANT_NATIVE_SURFACE_Z001_Z118")</f>
        <v>CONSTANT_NATIVE_SURFACE_Z001_Z118</v>
      </c>
      <c r="AD27" t="str">
        <f>IF(B27&gt;Constants!$B$6-Constants!$B$5,"CONSTANT_FRONTIER_TAIL_CANDIDATE",IF(G27=0,"CONSTANT_STABLE_ANCHOR_LANE",IF(G27=Constants!$B$2/2,"CONSTANT_HALF_WRITE_LANE","CONSTANT_BOUND_LADDER_LANE")))</f>
        <v>CONSTANT_BOUND_LADDER_LANE</v>
      </c>
    </row>
    <row r="28">
      <c r="A28" t="str">
        <f>"E"&amp;TEXT(B28,"000")</f>
        <v>E027</v>
      </c>
      <c r="B28">
        <f>ROW()-1</f>
        <v>27</v>
      </c>
      <c r="C28">
        <f>INT((B28-1)/Constants!$B$2)+1</f>
        <v>3</v>
      </c>
      <c r="D28">
        <f>MOD(B28-1,Constants!$B$2)+1</f>
        <v>3</v>
      </c>
      <c r="E28">
        <f>MAX(0,C28-1)</f>
        <v>2</v>
      </c>
      <c r="F28">
        <f>INT(B28*E28/Constants!$B$2)</f>
        <v>4</v>
      </c>
      <c r="G28">
        <f>MOD(B28*E28,Constants!$B$2)</f>
        <v>6</v>
      </c>
      <c r="H28">
        <f>B28+F28</f>
        <v>31</v>
      </c>
      <c r="I28">
        <f>B28+H28</f>
        <v>58</v>
      </c>
      <c r="J28">
        <f>B28</f>
        <v>27</v>
      </c>
      <c r="K28">
        <f>H28</f>
        <v>31</v>
      </c>
      <c r="L28">
        <f>B28</f>
        <v>27</v>
      </c>
      <c r="M28">
        <f>J28+K28+L28</f>
        <v>85</v>
      </c>
      <c r="N28">
        <f>2*B28+H28</f>
        <v>85</v>
      </c>
      <c r="O28">
        <f>B28+2*H28</f>
        <v>89</v>
      </c>
      <c r="P28">
        <f>B28</f>
        <v>27</v>
      </c>
      <c r="Q28" t="str">
        <f>B28&amp;"p+"&amp;H28&amp;"n+"&amp;B28&amp;"e"</f>
        <v>27p+31n+27e</v>
      </c>
      <c r="R28" t="str">
        <f>N28&amp;"u+"&amp;O28&amp;"d+"&amp;P28&amp;"e"</f>
        <v>85u+89d+27e</v>
      </c>
      <c r="S28">
        <f>COUNTIF(Shells!$E$2:$E$9,"&lt;"&amp;B28)+1</f>
        <v>3</v>
      </c>
      <c r="T28">
        <f>INDEX(Shells!$B$2:$B$9,S28)</f>
        <v>3</v>
      </c>
      <c r="U28">
        <f>INDEX(Shells!$C$2:$C$9,S28)</f>
        <v>18</v>
      </c>
      <c r="V28">
        <f>B28-IF(S28=1,0,INDEX(Shells!$E$2:$E$9,S28-1))</f>
        <v>17</v>
      </c>
      <c r="W28" t="str">
        <f>IF(V28=U28,"CLOSED_SHELL","OPEN_SHELL")</f>
        <v>OPEN_SHELL</v>
      </c>
      <c r="X28">
        <f>Constants!$B$11</f>
        <v>9.266927083333333333333333333333333333333333333333333333333333333333333333333333333333333333333333333</v>
      </c>
      <c r="Y28">
        <f>H28-B28</f>
        <v>4</v>
      </c>
      <c r="Z28">
        <f>B28*Constants!$B$11+Y28*Constants!$B$12</f>
        <v>250.26953125</v>
      </c>
      <c r="AA28">
        <f>Z28*Constants!$B$5</f>
        <v>2002.15625</v>
      </c>
      <c r="AB28">
        <f>Z28*7</f>
        <v>1751.88671875</v>
      </c>
      <c r="AC28" t="str">
        <f>IF(B28&gt;Constants!$B$6-Constants!$B$5,"CONSTANT_FRONTIER_TAIL_Z119_Z126","CONSTANT_NATIVE_SURFACE_Z001_Z118")</f>
        <v>CONSTANT_NATIVE_SURFACE_Z001_Z118</v>
      </c>
      <c r="AD28" t="str">
        <f>IF(B28&gt;Constants!$B$6-Constants!$B$5,"CONSTANT_FRONTIER_TAIL_CANDIDATE",IF(G28=0,"CONSTANT_STABLE_ANCHOR_LANE",IF(G28=Constants!$B$2/2,"CONSTANT_HALF_WRITE_LANE","CONSTANT_BOUND_LADDER_LANE")))</f>
        <v>CONSTANT_HALF_WRITE_LANE</v>
      </c>
    </row>
    <row r="29">
      <c r="A29" t="str">
        <f>"E"&amp;TEXT(B29,"000")</f>
        <v>E028</v>
      </c>
      <c r="B29">
        <f>ROW()-1</f>
        <v>28</v>
      </c>
      <c r="C29">
        <f>INT((B29-1)/Constants!$B$2)+1</f>
        <v>3</v>
      </c>
      <c r="D29">
        <f>MOD(B29-1,Constants!$B$2)+1</f>
        <v>4</v>
      </c>
      <c r="E29">
        <f>MAX(0,C29-1)</f>
        <v>2</v>
      </c>
      <c r="F29">
        <f>INT(B29*E29/Constants!$B$2)</f>
        <v>4</v>
      </c>
      <c r="G29">
        <f>MOD(B29*E29,Constants!$B$2)</f>
        <v>8</v>
      </c>
      <c r="H29">
        <f>B29+F29</f>
        <v>32</v>
      </c>
      <c r="I29">
        <f>B29+H29</f>
        <v>60</v>
      </c>
      <c r="J29">
        <f>B29</f>
        <v>28</v>
      </c>
      <c r="K29">
        <f>H29</f>
        <v>32</v>
      </c>
      <c r="L29">
        <f>B29</f>
        <v>28</v>
      </c>
      <c r="M29">
        <f>J29+K29+L29</f>
        <v>88</v>
      </c>
      <c r="N29">
        <f>2*B29+H29</f>
        <v>88</v>
      </c>
      <c r="O29">
        <f>B29+2*H29</f>
        <v>92</v>
      </c>
      <c r="P29">
        <f>B29</f>
        <v>28</v>
      </c>
      <c r="Q29" t="str">
        <f>B29&amp;"p+"&amp;H29&amp;"n+"&amp;B29&amp;"e"</f>
        <v>28p+32n+28e</v>
      </c>
      <c r="R29" t="str">
        <f>N29&amp;"u+"&amp;O29&amp;"d+"&amp;P29&amp;"e"</f>
        <v>88u+92d+28e</v>
      </c>
      <c r="S29">
        <f>COUNTIF(Shells!$E$2:$E$9,"&lt;"&amp;B29)+1</f>
        <v>3</v>
      </c>
      <c r="T29">
        <f>INDEX(Shells!$B$2:$B$9,S29)</f>
        <v>3</v>
      </c>
      <c r="U29">
        <f>INDEX(Shells!$C$2:$C$9,S29)</f>
        <v>18</v>
      </c>
      <c r="V29">
        <f>B29-IF(S29=1,0,INDEX(Shells!$E$2:$E$9,S29-1))</f>
        <v>18</v>
      </c>
      <c r="W29" t="str">
        <f>IF(V29=U29,"CLOSED_SHELL","OPEN_SHELL")</f>
        <v>CLOSED_SHELL</v>
      </c>
      <c r="X29">
        <f>Constants!$B$11</f>
        <v>9.266927083333333333333333333333333333333333333333333333333333333333333333333333333333333333333333333</v>
      </c>
      <c r="Y29">
        <f>H29-B29</f>
        <v>4</v>
      </c>
      <c r="Z29">
        <f>B29*Constants!$B$11+Y29*Constants!$B$12</f>
        <v>259.5364583333333333333333333333333333333333333333333333333333333333333333333333333333333333333333333</v>
      </c>
      <c r="AA29">
        <f>Z29*Constants!$B$5</f>
        <v>2076.291666666666666666666666666666666666666666666666666666666666666666666666666666666666666666666667</v>
      </c>
      <c r="AB29">
        <f>Z29*7</f>
        <v>1816.755208333333333333333333333333333333333333333333333333333333333333333333333333333333333333333333</v>
      </c>
      <c r="AC29" t="str">
        <f>IF(B29&gt;Constants!$B$6-Constants!$B$5,"CONSTANT_FRONTIER_TAIL_Z119_Z126","CONSTANT_NATIVE_SURFACE_Z001_Z118")</f>
        <v>CONSTANT_NATIVE_SURFACE_Z001_Z118</v>
      </c>
      <c r="AD29" t="str">
        <f>IF(B29&gt;Constants!$B$6-Constants!$B$5,"CONSTANT_FRONTIER_TAIL_CANDIDATE",IF(G29=0,"CONSTANT_STABLE_ANCHOR_LANE",IF(G29=Constants!$B$2/2,"CONSTANT_HALF_WRITE_LANE","CONSTANT_BOUND_LADDER_LANE")))</f>
        <v>CONSTANT_BOUND_LADDER_LANE</v>
      </c>
    </row>
    <row r="30">
      <c r="A30" t="str">
        <f>"E"&amp;TEXT(B30,"000")</f>
        <v>E029</v>
      </c>
      <c r="B30">
        <f>ROW()-1</f>
        <v>29</v>
      </c>
      <c r="C30">
        <f>INT((B30-1)/Constants!$B$2)+1</f>
        <v>3</v>
      </c>
      <c r="D30">
        <f>MOD(B30-1,Constants!$B$2)+1</f>
        <v>5</v>
      </c>
      <c r="E30">
        <f>MAX(0,C30-1)</f>
        <v>2</v>
      </c>
      <c r="F30">
        <f>INT(B30*E30/Constants!$B$2)</f>
        <v>4</v>
      </c>
      <c r="G30">
        <f>MOD(B30*E30,Constants!$B$2)</f>
        <v>10</v>
      </c>
      <c r="H30">
        <f>B30+F30</f>
        <v>33</v>
      </c>
      <c r="I30">
        <f>B30+H30</f>
        <v>62</v>
      </c>
      <c r="J30">
        <f>B30</f>
        <v>29</v>
      </c>
      <c r="K30">
        <f>H30</f>
        <v>33</v>
      </c>
      <c r="L30">
        <f>B30</f>
        <v>29</v>
      </c>
      <c r="M30">
        <f>J30+K30+L30</f>
        <v>91</v>
      </c>
      <c r="N30">
        <f>2*B30+H30</f>
        <v>91</v>
      </c>
      <c r="O30">
        <f>B30+2*H30</f>
        <v>95</v>
      </c>
      <c r="P30">
        <f>B30</f>
        <v>29</v>
      </c>
      <c r="Q30" t="str">
        <f>B30&amp;"p+"&amp;H30&amp;"n+"&amp;B30&amp;"e"</f>
        <v>29p+33n+29e</v>
      </c>
      <c r="R30" t="str">
        <f>N30&amp;"u+"&amp;O30&amp;"d+"&amp;P30&amp;"e"</f>
        <v>91u+95d+29e</v>
      </c>
      <c r="S30">
        <f>COUNTIF(Shells!$E$2:$E$9,"&lt;"&amp;B30)+1</f>
        <v>4</v>
      </c>
      <c r="T30">
        <f>INDEX(Shells!$B$2:$B$9,S30)</f>
        <v>4</v>
      </c>
      <c r="U30">
        <f>INDEX(Shells!$C$2:$C$9,S30)</f>
        <v>32</v>
      </c>
      <c r="V30">
        <f>B30-IF(S30=1,0,INDEX(Shells!$E$2:$E$9,S30-1))</f>
        <v>1</v>
      </c>
      <c r="W30" t="str">
        <f>IF(V30=U30,"CLOSED_SHELL","OPEN_SHELL")</f>
        <v>OPEN_SHELL</v>
      </c>
      <c r="X30">
        <f>Constants!$B$11</f>
        <v>9.266927083333333333333333333333333333333333333333333333333333333333333333333333333333333333333333333</v>
      </c>
      <c r="Y30">
        <f>H30-B30</f>
        <v>4</v>
      </c>
      <c r="Z30">
        <f>B30*Constants!$B$11+Y30*Constants!$B$12</f>
        <v>268.8033854166666666666666666666666666666666666666666666666666666666666666666666666666666666666666667</v>
      </c>
      <c r="AA30">
        <f>Z30*Constants!$B$5</f>
        <v>2150.427083333333333333333333333333333333333333333333333333333333333333333333333333333333333333333333</v>
      </c>
      <c r="AB30">
        <f>Z30*7</f>
        <v>1881.623697916666666666666666666666666666666666666666666666666666666666666666666666666666666666666667</v>
      </c>
      <c r="AC30" t="str">
        <f>IF(B30&gt;Constants!$B$6-Constants!$B$5,"CONSTANT_FRONTIER_TAIL_Z119_Z126","CONSTANT_NATIVE_SURFACE_Z001_Z118")</f>
        <v>CONSTANT_NATIVE_SURFACE_Z001_Z118</v>
      </c>
      <c r="AD30" t="str">
        <f>IF(B30&gt;Constants!$B$6-Constants!$B$5,"CONSTANT_FRONTIER_TAIL_CANDIDATE",IF(G30=0,"CONSTANT_STABLE_ANCHOR_LANE",IF(G30=Constants!$B$2/2,"CONSTANT_HALF_WRITE_LANE","CONSTANT_BOUND_LADDER_LANE")))</f>
        <v>CONSTANT_BOUND_LADDER_LANE</v>
      </c>
    </row>
    <row r="31">
      <c r="A31" t="str">
        <f>"E"&amp;TEXT(B31,"000")</f>
        <v>E030</v>
      </c>
      <c r="B31">
        <f>ROW()-1</f>
        <v>30</v>
      </c>
      <c r="C31">
        <f>INT((B31-1)/Constants!$B$2)+1</f>
        <v>3</v>
      </c>
      <c r="D31">
        <f>MOD(B31-1,Constants!$B$2)+1</f>
        <v>6</v>
      </c>
      <c r="E31">
        <f>MAX(0,C31-1)</f>
        <v>2</v>
      </c>
      <c r="F31">
        <f>INT(B31*E31/Constants!$B$2)</f>
        <v>5</v>
      </c>
      <c r="G31">
        <f>MOD(B31*E31,Constants!$B$2)</f>
        <v>0</v>
      </c>
      <c r="H31">
        <f>B31+F31</f>
        <v>35</v>
      </c>
      <c r="I31">
        <f>B31+H31</f>
        <v>65</v>
      </c>
      <c r="J31">
        <f>B31</f>
        <v>30</v>
      </c>
      <c r="K31">
        <f>H31</f>
        <v>35</v>
      </c>
      <c r="L31">
        <f>B31</f>
        <v>30</v>
      </c>
      <c r="M31">
        <f>J31+K31+L31</f>
        <v>95</v>
      </c>
      <c r="N31">
        <f>2*B31+H31</f>
        <v>95</v>
      </c>
      <c r="O31">
        <f>B31+2*H31</f>
        <v>100</v>
      </c>
      <c r="P31">
        <f>B31</f>
        <v>30</v>
      </c>
      <c r="Q31" t="str">
        <f>B31&amp;"p+"&amp;H31&amp;"n+"&amp;B31&amp;"e"</f>
        <v>30p+35n+30e</v>
      </c>
      <c r="R31" t="str">
        <f>N31&amp;"u+"&amp;O31&amp;"d+"&amp;P31&amp;"e"</f>
        <v>95u+100d+30e</v>
      </c>
      <c r="S31">
        <f>COUNTIF(Shells!$E$2:$E$9,"&lt;"&amp;B31)+1</f>
        <v>4</v>
      </c>
      <c r="T31">
        <f>INDEX(Shells!$B$2:$B$9,S31)</f>
        <v>4</v>
      </c>
      <c r="U31">
        <f>INDEX(Shells!$C$2:$C$9,S31)</f>
        <v>32</v>
      </c>
      <c r="V31">
        <f>B31-IF(S31=1,0,INDEX(Shells!$E$2:$E$9,S31-1))</f>
        <v>2</v>
      </c>
      <c r="W31" t="str">
        <f>IF(V31=U31,"CLOSED_SHELL","OPEN_SHELL")</f>
        <v>OPEN_SHELL</v>
      </c>
      <c r="X31">
        <f>Constants!$B$11</f>
        <v>9.266927083333333333333333333333333333333333333333333333333333333333333333333333333333333333333333333</v>
      </c>
      <c r="Y31">
        <f>H31-B31</f>
        <v>5</v>
      </c>
      <c r="Z31">
        <f>B31*Constants!$B$11+Y31*Constants!$B$12</f>
        <v>278.0859375</v>
      </c>
      <c r="AA31">
        <f>Z31*Constants!$B$5</f>
        <v>2224.6875</v>
      </c>
      <c r="AB31">
        <f>Z31*7</f>
        <v>1946.6015625</v>
      </c>
      <c r="AC31" t="str">
        <f>IF(B31&gt;Constants!$B$6-Constants!$B$5,"CONSTANT_FRONTIER_TAIL_Z119_Z126","CONSTANT_NATIVE_SURFACE_Z001_Z118")</f>
        <v>CONSTANT_NATIVE_SURFACE_Z001_Z118</v>
      </c>
      <c r="AD31" t="str">
        <f>IF(B31&gt;Constants!$B$6-Constants!$B$5,"CONSTANT_FRONTIER_TAIL_CANDIDATE",IF(G31=0,"CONSTANT_STABLE_ANCHOR_LANE",IF(G31=Constants!$B$2/2,"CONSTANT_HALF_WRITE_LANE","CONSTANT_BOUND_LADDER_LANE")))</f>
        <v>CONSTANT_STABLE_ANCHOR_LANE</v>
      </c>
    </row>
    <row r="32">
      <c r="A32" t="str">
        <f>"E"&amp;TEXT(B32,"000")</f>
        <v>E031</v>
      </c>
      <c r="B32">
        <f>ROW()-1</f>
        <v>31</v>
      </c>
      <c r="C32">
        <f>INT((B32-1)/Constants!$B$2)+1</f>
        <v>3</v>
      </c>
      <c r="D32">
        <f>MOD(B32-1,Constants!$B$2)+1</f>
        <v>7</v>
      </c>
      <c r="E32">
        <f>MAX(0,C32-1)</f>
        <v>2</v>
      </c>
      <c r="F32">
        <f>INT(B32*E32/Constants!$B$2)</f>
        <v>5</v>
      </c>
      <c r="G32">
        <f>MOD(B32*E32,Constants!$B$2)</f>
        <v>2</v>
      </c>
      <c r="H32">
        <f>B32+F32</f>
        <v>36</v>
      </c>
      <c r="I32">
        <f>B32+H32</f>
        <v>67</v>
      </c>
      <c r="J32">
        <f>B32</f>
        <v>31</v>
      </c>
      <c r="K32">
        <f>H32</f>
        <v>36</v>
      </c>
      <c r="L32">
        <f>B32</f>
        <v>31</v>
      </c>
      <c r="M32">
        <f>J32+K32+L32</f>
        <v>98</v>
      </c>
      <c r="N32">
        <f>2*B32+H32</f>
        <v>98</v>
      </c>
      <c r="O32">
        <f>B32+2*H32</f>
        <v>103</v>
      </c>
      <c r="P32">
        <f>B32</f>
        <v>31</v>
      </c>
      <c r="Q32" t="str">
        <f>B32&amp;"p+"&amp;H32&amp;"n+"&amp;B32&amp;"e"</f>
        <v>31p+36n+31e</v>
      </c>
      <c r="R32" t="str">
        <f>N32&amp;"u+"&amp;O32&amp;"d+"&amp;P32&amp;"e"</f>
        <v>98u+103d+31e</v>
      </c>
      <c r="S32">
        <f>COUNTIF(Shells!$E$2:$E$9,"&lt;"&amp;B32)+1</f>
        <v>4</v>
      </c>
      <c r="T32">
        <f>INDEX(Shells!$B$2:$B$9,S32)</f>
        <v>4</v>
      </c>
      <c r="U32">
        <f>INDEX(Shells!$C$2:$C$9,S32)</f>
        <v>32</v>
      </c>
      <c r="V32">
        <f>B32-IF(S32=1,0,INDEX(Shells!$E$2:$E$9,S32-1))</f>
        <v>3</v>
      </c>
      <c r="W32" t="str">
        <f>IF(V32=U32,"CLOSED_SHELL","OPEN_SHELL")</f>
        <v>OPEN_SHELL</v>
      </c>
      <c r="X32">
        <f>Constants!$B$11</f>
        <v>9.266927083333333333333333333333333333333333333333333333333333333333333333333333333333333333333333333</v>
      </c>
      <c r="Y32">
        <f>H32-B32</f>
        <v>5</v>
      </c>
      <c r="Z32">
        <f>B32*Constants!$B$11+Y32*Constants!$B$12</f>
        <v>287.3528645833333333333333333333333333333333333333333333333333333333333333333333333333333333333333333</v>
      </c>
      <c r="AA32">
        <f>Z32*Constants!$B$5</f>
        <v>2298.822916666666666666666666666666666666666666666666666666666666666666666666666666666666666666666667</v>
      </c>
      <c r="AB32">
        <f>Z32*7</f>
        <v>2011.470052083333333333333333333333333333333333333333333333333333333333333333333333333333333333333333</v>
      </c>
      <c r="AC32" t="str">
        <f>IF(B32&gt;Constants!$B$6-Constants!$B$5,"CONSTANT_FRONTIER_TAIL_Z119_Z126","CONSTANT_NATIVE_SURFACE_Z001_Z118")</f>
        <v>CONSTANT_NATIVE_SURFACE_Z001_Z118</v>
      </c>
      <c r="AD32" t="str">
        <f>IF(B32&gt;Constants!$B$6-Constants!$B$5,"CONSTANT_FRONTIER_TAIL_CANDIDATE",IF(G32=0,"CONSTANT_STABLE_ANCHOR_LANE",IF(G32=Constants!$B$2/2,"CONSTANT_HALF_WRITE_LANE","CONSTANT_BOUND_LADDER_LANE")))</f>
        <v>CONSTANT_BOUND_LADDER_LANE</v>
      </c>
    </row>
    <row r="33">
      <c r="A33" t="str">
        <f>"E"&amp;TEXT(B33,"000")</f>
        <v>E032</v>
      </c>
      <c r="B33">
        <f>ROW()-1</f>
        <v>32</v>
      </c>
      <c r="C33">
        <f>INT((B33-1)/Constants!$B$2)+1</f>
        <v>3</v>
      </c>
      <c r="D33">
        <f>MOD(B33-1,Constants!$B$2)+1</f>
        <v>8</v>
      </c>
      <c r="E33">
        <f>MAX(0,C33-1)</f>
        <v>2</v>
      </c>
      <c r="F33">
        <f>INT(B33*E33/Constants!$B$2)</f>
        <v>5</v>
      </c>
      <c r="G33">
        <f>MOD(B33*E33,Constants!$B$2)</f>
        <v>4</v>
      </c>
      <c r="H33">
        <f>B33+F33</f>
        <v>37</v>
      </c>
      <c r="I33">
        <f>B33+H33</f>
        <v>69</v>
      </c>
      <c r="J33">
        <f>B33</f>
        <v>32</v>
      </c>
      <c r="K33">
        <f>H33</f>
        <v>37</v>
      </c>
      <c r="L33">
        <f>B33</f>
        <v>32</v>
      </c>
      <c r="M33">
        <f>J33+K33+L33</f>
        <v>101</v>
      </c>
      <c r="N33">
        <f>2*B33+H33</f>
        <v>101</v>
      </c>
      <c r="O33">
        <f>B33+2*H33</f>
        <v>106</v>
      </c>
      <c r="P33">
        <f>B33</f>
        <v>32</v>
      </c>
      <c r="Q33" t="str">
        <f>B33&amp;"p+"&amp;H33&amp;"n+"&amp;B33&amp;"e"</f>
        <v>32p+37n+32e</v>
      </c>
      <c r="R33" t="str">
        <f>N33&amp;"u+"&amp;O33&amp;"d+"&amp;P33&amp;"e"</f>
        <v>101u+106d+32e</v>
      </c>
      <c r="S33">
        <f>COUNTIF(Shells!$E$2:$E$9,"&lt;"&amp;B33)+1</f>
        <v>4</v>
      </c>
      <c r="T33">
        <f>INDEX(Shells!$B$2:$B$9,S33)</f>
        <v>4</v>
      </c>
      <c r="U33">
        <f>INDEX(Shells!$C$2:$C$9,S33)</f>
        <v>32</v>
      </c>
      <c r="V33">
        <f>B33-IF(S33=1,0,INDEX(Shells!$E$2:$E$9,S33-1))</f>
        <v>4</v>
      </c>
      <c r="W33" t="str">
        <f>IF(V33=U33,"CLOSED_SHELL","OPEN_SHELL")</f>
        <v>OPEN_SHELL</v>
      </c>
      <c r="X33">
        <f>Constants!$B$11</f>
        <v>9.266927083333333333333333333333333333333333333333333333333333333333333333333333333333333333333333333</v>
      </c>
      <c r="Y33">
        <f>H33-B33</f>
        <v>5</v>
      </c>
      <c r="Z33">
        <f>B33*Constants!$B$11+Y33*Constants!$B$12</f>
        <v>296.6197916666666666666666666666666666666666666666666666666666666666666666666666666666666666666666667</v>
      </c>
      <c r="AA33">
        <f>Z33*Constants!$B$5</f>
        <v>2372.958333333333333333333333333333333333333333333333333333333333333333333333333333333333333333333333</v>
      </c>
      <c r="AB33">
        <f>Z33*7</f>
        <v>2076.338541666666666666666666666666666666666666666666666666666666666666666666666666666666666666666667</v>
      </c>
      <c r="AC33" t="str">
        <f>IF(B33&gt;Constants!$B$6-Constants!$B$5,"CONSTANT_FRONTIER_TAIL_Z119_Z126","CONSTANT_NATIVE_SURFACE_Z001_Z118")</f>
        <v>CONSTANT_NATIVE_SURFACE_Z001_Z118</v>
      </c>
      <c r="AD33" t="str">
        <f>IF(B33&gt;Constants!$B$6-Constants!$B$5,"CONSTANT_FRONTIER_TAIL_CANDIDATE",IF(G33=0,"CONSTANT_STABLE_ANCHOR_LANE",IF(G33=Constants!$B$2/2,"CONSTANT_HALF_WRITE_LANE","CONSTANT_BOUND_LADDER_LANE")))</f>
        <v>CONSTANT_BOUND_LADDER_LANE</v>
      </c>
    </row>
    <row r="34">
      <c r="A34" t="str">
        <f>"E"&amp;TEXT(B34,"000")</f>
        <v>E033</v>
      </c>
      <c r="B34">
        <f>ROW()-1</f>
        <v>33</v>
      </c>
      <c r="C34">
        <f>INT((B34-1)/Constants!$B$2)+1</f>
        <v>3</v>
      </c>
      <c r="D34">
        <f>MOD(B34-1,Constants!$B$2)+1</f>
        <v>9</v>
      </c>
      <c r="E34">
        <f>MAX(0,C34-1)</f>
        <v>2</v>
      </c>
      <c r="F34">
        <f>INT(B34*E34/Constants!$B$2)</f>
        <v>5</v>
      </c>
      <c r="G34">
        <f>MOD(B34*E34,Constants!$B$2)</f>
        <v>6</v>
      </c>
      <c r="H34">
        <f>B34+F34</f>
        <v>38</v>
      </c>
      <c r="I34">
        <f>B34+H34</f>
        <v>71</v>
      </c>
      <c r="J34">
        <f>B34</f>
        <v>33</v>
      </c>
      <c r="K34">
        <f>H34</f>
        <v>38</v>
      </c>
      <c r="L34">
        <f>B34</f>
        <v>33</v>
      </c>
      <c r="M34">
        <f>J34+K34+L34</f>
        <v>104</v>
      </c>
      <c r="N34">
        <f>2*B34+H34</f>
        <v>104</v>
      </c>
      <c r="O34">
        <f>B34+2*H34</f>
        <v>109</v>
      </c>
      <c r="P34">
        <f>B34</f>
        <v>33</v>
      </c>
      <c r="Q34" t="str">
        <f>B34&amp;"p+"&amp;H34&amp;"n+"&amp;B34&amp;"e"</f>
        <v>33p+38n+33e</v>
      </c>
      <c r="R34" t="str">
        <f>N34&amp;"u+"&amp;O34&amp;"d+"&amp;P34&amp;"e"</f>
        <v>104u+109d+33e</v>
      </c>
      <c r="S34">
        <f>COUNTIF(Shells!$E$2:$E$9,"&lt;"&amp;B34)+1</f>
        <v>4</v>
      </c>
      <c r="T34">
        <f>INDEX(Shells!$B$2:$B$9,S34)</f>
        <v>4</v>
      </c>
      <c r="U34">
        <f>INDEX(Shells!$C$2:$C$9,S34)</f>
        <v>32</v>
      </c>
      <c r="V34">
        <f>B34-IF(S34=1,0,INDEX(Shells!$E$2:$E$9,S34-1))</f>
        <v>5</v>
      </c>
      <c r="W34" t="str">
        <f>IF(V34=U34,"CLOSED_SHELL","OPEN_SHELL")</f>
        <v>OPEN_SHELL</v>
      </c>
      <c r="X34">
        <f>Constants!$B$11</f>
        <v>9.266927083333333333333333333333333333333333333333333333333333333333333333333333333333333333333333333</v>
      </c>
      <c r="Y34">
        <f>H34-B34</f>
        <v>5</v>
      </c>
      <c r="Z34">
        <f>B34*Constants!$B$11+Y34*Constants!$B$12</f>
        <v>305.88671875</v>
      </c>
      <c r="AA34">
        <f>Z34*Constants!$B$5</f>
        <v>2447.09375</v>
      </c>
      <c r="AB34">
        <f>Z34*7</f>
        <v>2141.20703125</v>
      </c>
      <c r="AC34" t="str">
        <f>IF(B34&gt;Constants!$B$6-Constants!$B$5,"CONSTANT_FRONTIER_TAIL_Z119_Z126","CONSTANT_NATIVE_SURFACE_Z001_Z118")</f>
        <v>CONSTANT_NATIVE_SURFACE_Z001_Z118</v>
      </c>
      <c r="AD34" t="str">
        <f>IF(B34&gt;Constants!$B$6-Constants!$B$5,"CONSTANT_FRONTIER_TAIL_CANDIDATE",IF(G34=0,"CONSTANT_STABLE_ANCHOR_LANE",IF(G34=Constants!$B$2/2,"CONSTANT_HALF_WRITE_LANE","CONSTANT_BOUND_LADDER_LANE")))</f>
        <v>CONSTANT_HALF_WRITE_LANE</v>
      </c>
    </row>
    <row r="35">
      <c r="A35" t="str">
        <f>"E"&amp;TEXT(B35,"000")</f>
        <v>E034</v>
      </c>
      <c r="B35">
        <f>ROW()-1</f>
        <v>34</v>
      </c>
      <c r="C35">
        <f>INT((B35-1)/Constants!$B$2)+1</f>
        <v>3</v>
      </c>
      <c r="D35">
        <f>MOD(B35-1,Constants!$B$2)+1</f>
        <v>10</v>
      </c>
      <c r="E35">
        <f>MAX(0,C35-1)</f>
        <v>2</v>
      </c>
      <c r="F35">
        <f>INT(B35*E35/Constants!$B$2)</f>
        <v>5</v>
      </c>
      <c r="G35">
        <f>MOD(B35*E35,Constants!$B$2)</f>
        <v>8</v>
      </c>
      <c r="H35">
        <f>B35+F35</f>
        <v>39</v>
      </c>
      <c r="I35">
        <f>B35+H35</f>
        <v>73</v>
      </c>
      <c r="J35">
        <f>B35</f>
        <v>34</v>
      </c>
      <c r="K35">
        <f>H35</f>
        <v>39</v>
      </c>
      <c r="L35">
        <f>B35</f>
        <v>34</v>
      </c>
      <c r="M35">
        <f>J35+K35+L35</f>
        <v>107</v>
      </c>
      <c r="N35">
        <f>2*B35+H35</f>
        <v>107</v>
      </c>
      <c r="O35">
        <f>B35+2*H35</f>
        <v>112</v>
      </c>
      <c r="P35">
        <f>B35</f>
        <v>34</v>
      </c>
      <c r="Q35" t="str">
        <f>B35&amp;"p+"&amp;H35&amp;"n+"&amp;B35&amp;"e"</f>
        <v>34p+39n+34e</v>
      </c>
      <c r="R35" t="str">
        <f>N35&amp;"u+"&amp;O35&amp;"d+"&amp;P35&amp;"e"</f>
        <v>107u+112d+34e</v>
      </c>
      <c r="S35">
        <f>COUNTIF(Shells!$E$2:$E$9,"&lt;"&amp;B35)+1</f>
        <v>4</v>
      </c>
      <c r="T35">
        <f>INDEX(Shells!$B$2:$B$9,S35)</f>
        <v>4</v>
      </c>
      <c r="U35">
        <f>INDEX(Shells!$C$2:$C$9,S35)</f>
        <v>32</v>
      </c>
      <c r="V35">
        <f>B35-IF(S35=1,0,INDEX(Shells!$E$2:$E$9,S35-1))</f>
        <v>6</v>
      </c>
      <c r="W35" t="str">
        <f>IF(V35=U35,"CLOSED_SHELL","OPEN_SHELL")</f>
        <v>OPEN_SHELL</v>
      </c>
      <c r="X35">
        <f>Constants!$B$11</f>
        <v>9.266927083333333333333333333333333333333333333333333333333333333333333333333333333333333333333333333</v>
      </c>
      <c r="Y35">
        <f>H35-B35</f>
        <v>5</v>
      </c>
      <c r="Z35">
        <f>B35*Constants!$B$11+Y35*Constants!$B$12</f>
        <v>315.1536458333333333333333333333333333333333333333333333333333333333333333333333333333333333333333333</v>
      </c>
      <c r="AA35">
        <f>Z35*Constants!$B$5</f>
        <v>2521.229166666666666666666666666666666666666666666666666666666666666666666666666666666666666666666667</v>
      </c>
      <c r="AB35">
        <f>Z35*7</f>
        <v>2206.075520833333333333333333333333333333333333333333333333333333333333333333333333333333333333333333</v>
      </c>
      <c r="AC35" t="str">
        <f>IF(B35&gt;Constants!$B$6-Constants!$B$5,"CONSTANT_FRONTIER_TAIL_Z119_Z126","CONSTANT_NATIVE_SURFACE_Z001_Z118")</f>
        <v>CONSTANT_NATIVE_SURFACE_Z001_Z118</v>
      </c>
      <c r="AD35" t="str">
        <f>IF(B35&gt;Constants!$B$6-Constants!$B$5,"CONSTANT_FRONTIER_TAIL_CANDIDATE",IF(G35=0,"CONSTANT_STABLE_ANCHOR_LANE",IF(G35=Constants!$B$2/2,"CONSTANT_HALF_WRITE_LANE","CONSTANT_BOUND_LADDER_LANE")))</f>
        <v>CONSTANT_BOUND_LADDER_LANE</v>
      </c>
    </row>
    <row r="36">
      <c r="A36" t="str">
        <f>"E"&amp;TEXT(B36,"000")</f>
        <v>E035</v>
      </c>
      <c r="B36">
        <f>ROW()-1</f>
        <v>35</v>
      </c>
      <c r="C36">
        <f>INT((B36-1)/Constants!$B$2)+1</f>
        <v>3</v>
      </c>
      <c r="D36">
        <f>MOD(B36-1,Constants!$B$2)+1</f>
        <v>11</v>
      </c>
      <c r="E36">
        <f>MAX(0,C36-1)</f>
        <v>2</v>
      </c>
      <c r="F36">
        <f>INT(B36*E36/Constants!$B$2)</f>
        <v>5</v>
      </c>
      <c r="G36">
        <f>MOD(B36*E36,Constants!$B$2)</f>
        <v>10</v>
      </c>
      <c r="H36">
        <f>B36+F36</f>
        <v>40</v>
      </c>
      <c r="I36">
        <f>B36+H36</f>
        <v>75</v>
      </c>
      <c r="J36">
        <f>B36</f>
        <v>35</v>
      </c>
      <c r="K36">
        <f>H36</f>
        <v>40</v>
      </c>
      <c r="L36">
        <f>B36</f>
        <v>35</v>
      </c>
      <c r="M36">
        <f>J36+K36+L36</f>
        <v>110</v>
      </c>
      <c r="N36">
        <f>2*B36+H36</f>
        <v>110</v>
      </c>
      <c r="O36">
        <f>B36+2*H36</f>
        <v>115</v>
      </c>
      <c r="P36">
        <f>B36</f>
        <v>35</v>
      </c>
      <c r="Q36" t="str">
        <f>B36&amp;"p+"&amp;H36&amp;"n+"&amp;B36&amp;"e"</f>
        <v>35p+40n+35e</v>
      </c>
      <c r="R36" t="str">
        <f>N36&amp;"u+"&amp;O36&amp;"d+"&amp;P36&amp;"e"</f>
        <v>110u+115d+35e</v>
      </c>
      <c r="S36">
        <f>COUNTIF(Shells!$E$2:$E$9,"&lt;"&amp;B36)+1</f>
        <v>4</v>
      </c>
      <c r="T36">
        <f>INDEX(Shells!$B$2:$B$9,S36)</f>
        <v>4</v>
      </c>
      <c r="U36">
        <f>INDEX(Shells!$C$2:$C$9,S36)</f>
        <v>32</v>
      </c>
      <c r="V36">
        <f>B36-IF(S36=1,0,INDEX(Shells!$E$2:$E$9,S36-1))</f>
        <v>7</v>
      </c>
      <c r="W36" t="str">
        <f>IF(V36=U36,"CLOSED_SHELL","OPEN_SHELL")</f>
        <v>OPEN_SHELL</v>
      </c>
      <c r="X36">
        <f>Constants!$B$11</f>
        <v>9.266927083333333333333333333333333333333333333333333333333333333333333333333333333333333333333333333</v>
      </c>
      <c r="Y36">
        <f>H36-B36</f>
        <v>5</v>
      </c>
      <c r="Z36">
        <f>B36*Constants!$B$11+Y36*Constants!$B$12</f>
        <v>324.4205729166666666666666666666666666666666666666666666666666666666666666666666666666666666666666667</v>
      </c>
      <c r="AA36">
        <f>Z36*Constants!$B$5</f>
        <v>2595.364583333333333333333333333333333333333333333333333333333333333333333333333333333333333333333333</v>
      </c>
      <c r="AB36">
        <f>Z36*7</f>
        <v>2270.944010416666666666666666666666666666666666666666666666666666666666666666666666666666666666666667</v>
      </c>
      <c r="AC36" t="str">
        <f>IF(B36&gt;Constants!$B$6-Constants!$B$5,"CONSTANT_FRONTIER_TAIL_Z119_Z126","CONSTANT_NATIVE_SURFACE_Z001_Z118")</f>
        <v>CONSTANT_NATIVE_SURFACE_Z001_Z118</v>
      </c>
      <c r="AD36" t="str">
        <f>IF(B36&gt;Constants!$B$6-Constants!$B$5,"CONSTANT_FRONTIER_TAIL_CANDIDATE",IF(G36=0,"CONSTANT_STABLE_ANCHOR_LANE",IF(G36=Constants!$B$2/2,"CONSTANT_HALF_WRITE_LANE","CONSTANT_BOUND_LADDER_LANE")))</f>
        <v>CONSTANT_BOUND_LADDER_LANE</v>
      </c>
    </row>
    <row r="37">
      <c r="A37" t="str">
        <f>"E"&amp;TEXT(B37,"000")</f>
        <v>E036</v>
      </c>
      <c r="B37">
        <f>ROW()-1</f>
        <v>36</v>
      </c>
      <c r="C37">
        <f>INT((B37-1)/Constants!$B$2)+1</f>
        <v>3</v>
      </c>
      <c r="D37">
        <f>MOD(B37-1,Constants!$B$2)+1</f>
        <v>12</v>
      </c>
      <c r="E37">
        <f>MAX(0,C37-1)</f>
        <v>2</v>
      </c>
      <c r="F37">
        <f>INT(B37*E37/Constants!$B$2)</f>
        <v>6</v>
      </c>
      <c r="G37">
        <f>MOD(B37*E37,Constants!$B$2)</f>
        <v>0</v>
      </c>
      <c r="H37">
        <f>B37+F37</f>
        <v>42</v>
      </c>
      <c r="I37">
        <f>B37+H37</f>
        <v>78</v>
      </c>
      <c r="J37">
        <f>B37</f>
        <v>36</v>
      </c>
      <c r="K37">
        <f>H37</f>
        <v>42</v>
      </c>
      <c r="L37">
        <f>B37</f>
        <v>36</v>
      </c>
      <c r="M37">
        <f>J37+K37+L37</f>
        <v>114</v>
      </c>
      <c r="N37">
        <f>2*B37+H37</f>
        <v>114</v>
      </c>
      <c r="O37">
        <f>B37+2*H37</f>
        <v>120</v>
      </c>
      <c r="P37">
        <f>B37</f>
        <v>36</v>
      </c>
      <c r="Q37" t="str">
        <f>B37&amp;"p+"&amp;H37&amp;"n+"&amp;B37&amp;"e"</f>
        <v>36p+42n+36e</v>
      </c>
      <c r="R37" t="str">
        <f>N37&amp;"u+"&amp;O37&amp;"d+"&amp;P37&amp;"e"</f>
        <v>114u+120d+36e</v>
      </c>
      <c r="S37">
        <f>COUNTIF(Shells!$E$2:$E$9,"&lt;"&amp;B37)+1</f>
        <v>4</v>
      </c>
      <c r="T37">
        <f>INDEX(Shells!$B$2:$B$9,S37)</f>
        <v>4</v>
      </c>
      <c r="U37">
        <f>INDEX(Shells!$C$2:$C$9,S37)</f>
        <v>32</v>
      </c>
      <c r="V37">
        <f>B37-IF(S37=1,0,INDEX(Shells!$E$2:$E$9,S37-1))</f>
        <v>8</v>
      </c>
      <c r="W37" t="str">
        <f>IF(V37=U37,"CLOSED_SHELL","OPEN_SHELL")</f>
        <v>OPEN_SHELL</v>
      </c>
      <c r="X37">
        <f>Constants!$B$11</f>
        <v>9.266927083333333333333333333333333333333333333333333333333333333333333333333333333333333333333333333</v>
      </c>
      <c r="Y37">
        <f>H37-B37</f>
        <v>6</v>
      </c>
      <c r="Z37">
        <f>B37*Constants!$B$11+Y37*Constants!$B$12</f>
        <v>333.703125</v>
      </c>
      <c r="AA37">
        <f>Z37*Constants!$B$5</f>
        <v>2669.625</v>
      </c>
      <c r="AB37">
        <f>Z37*7</f>
        <v>2335.921875</v>
      </c>
      <c r="AC37" t="str">
        <f>IF(B37&gt;Constants!$B$6-Constants!$B$5,"CONSTANT_FRONTIER_TAIL_Z119_Z126","CONSTANT_NATIVE_SURFACE_Z001_Z118")</f>
        <v>CONSTANT_NATIVE_SURFACE_Z001_Z118</v>
      </c>
      <c r="AD37" t="str">
        <f>IF(B37&gt;Constants!$B$6-Constants!$B$5,"CONSTANT_FRONTIER_TAIL_CANDIDATE",IF(G37=0,"CONSTANT_STABLE_ANCHOR_LANE",IF(G37=Constants!$B$2/2,"CONSTANT_HALF_WRITE_LANE","CONSTANT_BOUND_LADDER_LANE")))</f>
        <v>CONSTANT_STABLE_ANCHOR_LANE</v>
      </c>
    </row>
    <row r="38">
      <c r="A38" t="str">
        <f>"E"&amp;TEXT(B38,"000")</f>
        <v>E037</v>
      </c>
      <c r="B38">
        <f>ROW()-1</f>
        <v>37</v>
      </c>
      <c r="C38">
        <f>INT((B38-1)/Constants!$B$2)+1</f>
        <v>4</v>
      </c>
      <c r="D38">
        <f>MOD(B38-1,Constants!$B$2)+1</f>
        <v>1</v>
      </c>
      <c r="E38">
        <f>MAX(0,C38-1)</f>
        <v>3</v>
      </c>
      <c r="F38">
        <f>INT(B38*E38/Constants!$B$2)</f>
        <v>9</v>
      </c>
      <c r="G38">
        <f>MOD(B38*E38,Constants!$B$2)</f>
        <v>3</v>
      </c>
      <c r="H38">
        <f>B38+F38</f>
        <v>46</v>
      </c>
      <c r="I38">
        <f>B38+H38</f>
        <v>83</v>
      </c>
      <c r="J38">
        <f>B38</f>
        <v>37</v>
      </c>
      <c r="K38">
        <f>H38</f>
        <v>46</v>
      </c>
      <c r="L38">
        <f>B38</f>
        <v>37</v>
      </c>
      <c r="M38">
        <f>J38+K38+L38</f>
        <v>120</v>
      </c>
      <c r="N38">
        <f>2*B38+H38</f>
        <v>120</v>
      </c>
      <c r="O38">
        <f>B38+2*H38</f>
        <v>129</v>
      </c>
      <c r="P38">
        <f>B38</f>
        <v>37</v>
      </c>
      <c r="Q38" t="str">
        <f>B38&amp;"p+"&amp;H38&amp;"n+"&amp;B38&amp;"e"</f>
        <v>37p+46n+37e</v>
      </c>
      <c r="R38" t="str">
        <f>N38&amp;"u+"&amp;O38&amp;"d+"&amp;P38&amp;"e"</f>
        <v>120u+129d+37e</v>
      </c>
      <c r="S38">
        <f>COUNTIF(Shells!$E$2:$E$9,"&lt;"&amp;B38)+1</f>
        <v>4</v>
      </c>
      <c r="T38">
        <f>INDEX(Shells!$B$2:$B$9,S38)</f>
        <v>4</v>
      </c>
      <c r="U38">
        <f>INDEX(Shells!$C$2:$C$9,S38)</f>
        <v>32</v>
      </c>
      <c r="V38">
        <f>B38-IF(S38=1,0,INDEX(Shells!$E$2:$E$9,S38-1))</f>
        <v>9</v>
      </c>
      <c r="W38" t="str">
        <f>IF(V38=U38,"CLOSED_SHELL","OPEN_SHELL")</f>
        <v>OPEN_SHELL</v>
      </c>
      <c r="X38">
        <f>Constants!$B$11</f>
        <v>9.266927083333333333333333333333333333333333333333333333333333333333333333333333333333333333333333333</v>
      </c>
      <c r="Y38">
        <f>H38-B38</f>
        <v>9</v>
      </c>
      <c r="Z38">
        <f>B38*Constants!$B$11+Y38*Constants!$B$12</f>
        <v>343.0169270833333333333333333333333333333333333333333333333333333333333333333333333333333333333333333</v>
      </c>
      <c r="AA38">
        <f>Z38*Constants!$B$5</f>
        <v>2744.135416666666666666666666666666666666666666666666666666666666666666666666666666666666666666666667</v>
      </c>
      <c r="AB38">
        <f>Z38*7</f>
        <v>2401.118489583333333333333333333333333333333333333333333333333333333333333333333333333333333333333333</v>
      </c>
      <c r="AC38" t="str">
        <f>IF(B38&gt;Constants!$B$6-Constants!$B$5,"CONSTANT_FRONTIER_TAIL_Z119_Z126","CONSTANT_NATIVE_SURFACE_Z001_Z118")</f>
        <v>CONSTANT_NATIVE_SURFACE_Z001_Z118</v>
      </c>
      <c r="AD38" t="str">
        <f>IF(B38&gt;Constants!$B$6-Constants!$B$5,"CONSTANT_FRONTIER_TAIL_CANDIDATE",IF(G38=0,"CONSTANT_STABLE_ANCHOR_LANE",IF(G38=Constants!$B$2/2,"CONSTANT_HALF_WRITE_LANE","CONSTANT_BOUND_LADDER_LANE")))</f>
        <v>CONSTANT_BOUND_LADDER_LANE</v>
      </c>
    </row>
    <row r="39">
      <c r="A39" t="str">
        <f>"E"&amp;TEXT(B39,"000")</f>
        <v>E038</v>
      </c>
      <c r="B39">
        <f>ROW()-1</f>
        <v>38</v>
      </c>
      <c r="C39">
        <f>INT((B39-1)/Constants!$B$2)+1</f>
        <v>4</v>
      </c>
      <c r="D39">
        <f>MOD(B39-1,Constants!$B$2)+1</f>
        <v>2</v>
      </c>
      <c r="E39">
        <f>MAX(0,C39-1)</f>
        <v>3</v>
      </c>
      <c r="F39">
        <f>INT(B39*E39/Constants!$B$2)</f>
        <v>9</v>
      </c>
      <c r="G39">
        <f>MOD(B39*E39,Constants!$B$2)</f>
        <v>6</v>
      </c>
      <c r="H39">
        <f>B39+F39</f>
        <v>47</v>
      </c>
      <c r="I39">
        <f>B39+H39</f>
        <v>85</v>
      </c>
      <c r="J39">
        <f>B39</f>
        <v>38</v>
      </c>
      <c r="K39">
        <f>H39</f>
        <v>47</v>
      </c>
      <c r="L39">
        <f>B39</f>
        <v>38</v>
      </c>
      <c r="M39">
        <f>J39+K39+L39</f>
        <v>123</v>
      </c>
      <c r="N39">
        <f>2*B39+H39</f>
        <v>123</v>
      </c>
      <c r="O39">
        <f>B39+2*H39</f>
        <v>132</v>
      </c>
      <c r="P39">
        <f>B39</f>
        <v>38</v>
      </c>
      <c r="Q39" t="str">
        <f>B39&amp;"p+"&amp;H39&amp;"n+"&amp;B39&amp;"e"</f>
        <v>38p+47n+38e</v>
      </c>
      <c r="R39" t="str">
        <f>N39&amp;"u+"&amp;O39&amp;"d+"&amp;P39&amp;"e"</f>
        <v>123u+132d+38e</v>
      </c>
      <c r="S39">
        <f>COUNTIF(Shells!$E$2:$E$9,"&lt;"&amp;B39)+1</f>
        <v>4</v>
      </c>
      <c r="T39">
        <f>INDEX(Shells!$B$2:$B$9,S39)</f>
        <v>4</v>
      </c>
      <c r="U39">
        <f>INDEX(Shells!$C$2:$C$9,S39)</f>
        <v>32</v>
      </c>
      <c r="V39">
        <f>B39-IF(S39=1,0,INDEX(Shells!$E$2:$E$9,S39-1))</f>
        <v>10</v>
      </c>
      <c r="W39" t="str">
        <f>IF(V39=U39,"CLOSED_SHELL","OPEN_SHELL")</f>
        <v>OPEN_SHELL</v>
      </c>
      <c r="X39">
        <f>Constants!$B$11</f>
        <v>9.266927083333333333333333333333333333333333333333333333333333333333333333333333333333333333333333333</v>
      </c>
      <c r="Y39">
        <f>H39-B39</f>
        <v>9</v>
      </c>
      <c r="Z39">
        <f>B39*Constants!$B$11+Y39*Constants!$B$12</f>
        <v>352.2838541666666666666666666666666666666666666666666666666666666666666666666666666666666666666666667</v>
      </c>
      <c r="AA39">
        <f>Z39*Constants!$B$5</f>
        <v>2818.270833333333333333333333333333333333333333333333333333333333333333333333333333333333333333333333</v>
      </c>
      <c r="AB39">
        <f>Z39*7</f>
        <v>2465.986979166666666666666666666666666666666666666666666666666666666666666666666666666666666666666667</v>
      </c>
      <c r="AC39" t="str">
        <f>IF(B39&gt;Constants!$B$6-Constants!$B$5,"CONSTANT_FRONTIER_TAIL_Z119_Z126","CONSTANT_NATIVE_SURFACE_Z001_Z118")</f>
        <v>CONSTANT_NATIVE_SURFACE_Z001_Z118</v>
      </c>
      <c r="AD39" t="str">
        <f>IF(B39&gt;Constants!$B$6-Constants!$B$5,"CONSTANT_FRONTIER_TAIL_CANDIDATE",IF(G39=0,"CONSTANT_STABLE_ANCHOR_LANE",IF(G39=Constants!$B$2/2,"CONSTANT_HALF_WRITE_LANE","CONSTANT_BOUND_LADDER_LANE")))</f>
        <v>CONSTANT_HALF_WRITE_LANE</v>
      </c>
    </row>
    <row r="40">
      <c r="A40" t="str">
        <f>"E"&amp;TEXT(B40,"000")</f>
        <v>E039</v>
      </c>
      <c r="B40">
        <f>ROW()-1</f>
        <v>39</v>
      </c>
      <c r="C40">
        <f>INT((B40-1)/Constants!$B$2)+1</f>
        <v>4</v>
      </c>
      <c r="D40">
        <f>MOD(B40-1,Constants!$B$2)+1</f>
        <v>3</v>
      </c>
      <c r="E40">
        <f>MAX(0,C40-1)</f>
        <v>3</v>
      </c>
      <c r="F40">
        <f>INT(B40*E40/Constants!$B$2)</f>
        <v>9</v>
      </c>
      <c r="G40">
        <f>MOD(B40*E40,Constants!$B$2)</f>
        <v>9</v>
      </c>
      <c r="H40">
        <f>B40+F40</f>
        <v>48</v>
      </c>
      <c r="I40">
        <f>B40+H40</f>
        <v>87</v>
      </c>
      <c r="J40">
        <f>B40</f>
        <v>39</v>
      </c>
      <c r="K40">
        <f>H40</f>
        <v>48</v>
      </c>
      <c r="L40">
        <f>B40</f>
        <v>39</v>
      </c>
      <c r="M40">
        <f>J40+K40+L40</f>
        <v>126</v>
      </c>
      <c r="N40">
        <f>2*B40+H40</f>
        <v>126</v>
      </c>
      <c r="O40">
        <f>B40+2*H40</f>
        <v>135</v>
      </c>
      <c r="P40">
        <f>B40</f>
        <v>39</v>
      </c>
      <c r="Q40" t="str">
        <f>B40&amp;"p+"&amp;H40&amp;"n+"&amp;B40&amp;"e"</f>
        <v>39p+48n+39e</v>
      </c>
      <c r="R40" t="str">
        <f>N40&amp;"u+"&amp;O40&amp;"d+"&amp;P40&amp;"e"</f>
        <v>126u+135d+39e</v>
      </c>
      <c r="S40">
        <f>COUNTIF(Shells!$E$2:$E$9,"&lt;"&amp;B40)+1</f>
        <v>4</v>
      </c>
      <c r="T40">
        <f>INDEX(Shells!$B$2:$B$9,S40)</f>
        <v>4</v>
      </c>
      <c r="U40">
        <f>INDEX(Shells!$C$2:$C$9,S40)</f>
        <v>32</v>
      </c>
      <c r="V40">
        <f>B40-IF(S40=1,0,INDEX(Shells!$E$2:$E$9,S40-1))</f>
        <v>11</v>
      </c>
      <c r="W40" t="str">
        <f>IF(V40=U40,"CLOSED_SHELL","OPEN_SHELL")</f>
        <v>OPEN_SHELL</v>
      </c>
      <c r="X40">
        <f>Constants!$B$11</f>
        <v>9.266927083333333333333333333333333333333333333333333333333333333333333333333333333333333333333333333</v>
      </c>
      <c r="Y40">
        <f>H40-B40</f>
        <v>9</v>
      </c>
      <c r="Z40">
        <f>B40*Constants!$B$11+Y40*Constants!$B$12</f>
        <v>361.55078125</v>
      </c>
      <c r="AA40">
        <f>Z40*Constants!$B$5</f>
        <v>2892.40625</v>
      </c>
      <c r="AB40">
        <f>Z40*7</f>
        <v>2530.85546875</v>
      </c>
      <c r="AC40" t="str">
        <f>IF(B40&gt;Constants!$B$6-Constants!$B$5,"CONSTANT_FRONTIER_TAIL_Z119_Z126","CONSTANT_NATIVE_SURFACE_Z001_Z118")</f>
        <v>CONSTANT_NATIVE_SURFACE_Z001_Z118</v>
      </c>
      <c r="AD40" t="str">
        <f>IF(B40&gt;Constants!$B$6-Constants!$B$5,"CONSTANT_FRONTIER_TAIL_CANDIDATE",IF(G40=0,"CONSTANT_STABLE_ANCHOR_LANE",IF(G40=Constants!$B$2/2,"CONSTANT_HALF_WRITE_LANE","CONSTANT_BOUND_LADDER_LANE")))</f>
        <v>CONSTANT_BOUND_LADDER_LANE</v>
      </c>
    </row>
    <row r="41">
      <c r="A41" t="str">
        <f>"E"&amp;TEXT(B41,"000")</f>
        <v>E040</v>
      </c>
      <c r="B41">
        <f>ROW()-1</f>
        <v>40</v>
      </c>
      <c r="C41">
        <f>INT((B41-1)/Constants!$B$2)+1</f>
        <v>4</v>
      </c>
      <c r="D41">
        <f>MOD(B41-1,Constants!$B$2)+1</f>
        <v>4</v>
      </c>
      <c r="E41">
        <f>MAX(0,C41-1)</f>
        <v>3</v>
      </c>
      <c r="F41">
        <f>INT(B41*E41/Constants!$B$2)</f>
        <v>10</v>
      </c>
      <c r="G41">
        <f>MOD(B41*E41,Constants!$B$2)</f>
        <v>0</v>
      </c>
      <c r="H41">
        <f>B41+F41</f>
        <v>50</v>
      </c>
      <c r="I41">
        <f>B41+H41</f>
        <v>90</v>
      </c>
      <c r="J41">
        <f>B41</f>
        <v>40</v>
      </c>
      <c r="K41">
        <f>H41</f>
        <v>50</v>
      </c>
      <c r="L41">
        <f>B41</f>
        <v>40</v>
      </c>
      <c r="M41">
        <f>J41+K41+L41</f>
        <v>130</v>
      </c>
      <c r="N41">
        <f>2*B41+H41</f>
        <v>130</v>
      </c>
      <c r="O41">
        <f>B41+2*H41</f>
        <v>140</v>
      </c>
      <c r="P41">
        <f>B41</f>
        <v>40</v>
      </c>
      <c r="Q41" t="str">
        <f>B41&amp;"p+"&amp;H41&amp;"n+"&amp;B41&amp;"e"</f>
        <v>40p+50n+40e</v>
      </c>
      <c r="R41" t="str">
        <f>N41&amp;"u+"&amp;O41&amp;"d+"&amp;P41&amp;"e"</f>
        <v>130u+140d+40e</v>
      </c>
      <c r="S41">
        <f>COUNTIF(Shells!$E$2:$E$9,"&lt;"&amp;B41)+1</f>
        <v>4</v>
      </c>
      <c r="T41">
        <f>INDEX(Shells!$B$2:$B$9,S41)</f>
        <v>4</v>
      </c>
      <c r="U41">
        <f>INDEX(Shells!$C$2:$C$9,S41)</f>
        <v>32</v>
      </c>
      <c r="V41">
        <f>B41-IF(S41=1,0,INDEX(Shells!$E$2:$E$9,S41-1))</f>
        <v>12</v>
      </c>
      <c r="W41" t="str">
        <f>IF(V41=U41,"CLOSED_SHELL","OPEN_SHELL")</f>
        <v>OPEN_SHELL</v>
      </c>
      <c r="X41">
        <f>Constants!$B$11</f>
        <v>9.266927083333333333333333333333333333333333333333333333333333333333333333333333333333333333333333333</v>
      </c>
      <c r="Y41">
        <f>H41-B41</f>
        <v>10</v>
      </c>
      <c r="Z41">
        <f>B41*Constants!$B$11+Y41*Constants!$B$12</f>
        <v>370.8333333333333333333333333333333333333333333333333333333333333333333333333333333333333333333333333</v>
      </c>
      <c r="AA41">
        <f>Z41*Constants!$B$5</f>
        <v>2966.666666666666666666666666666666666666666666666666666666666666666666666666666666666666666666666667</v>
      </c>
      <c r="AB41">
        <f>Z41*7</f>
        <v>2595.833333333333333333333333333333333333333333333333333333333333333333333333333333333333333333333333</v>
      </c>
      <c r="AC41" t="str">
        <f>IF(B41&gt;Constants!$B$6-Constants!$B$5,"CONSTANT_FRONTIER_TAIL_Z119_Z126","CONSTANT_NATIVE_SURFACE_Z001_Z118")</f>
        <v>CONSTANT_NATIVE_SURFACE_Z001_Z118</v>
      </c>
      <c r="AD41" t="str">
        <f>IF(B41&gt;Constants!$B$6-Constants!$B$5,"CONSTANT_FRONTIER_TAIL_CANDIDATE",IF(G41=0,"CONSTANT_STABLE_ANCHOR_LANE",IF(G41=Constants!$B$2/2,"CONSTANT_HALF_WRITE_LANE","CONSTANT_BOUND_LADDER_LANE")))</f>
        <v>CONSTANT_STABLE_ANCHOR_LANE</v>
      </c>
    </row>
    <row r="42">
      <c r="A42" t="str">
        <f>"E"&amp;TEXT(B42,"000")</f>
        <v>E041</v>
      </c>
      <c r="B42">
        <f>ROW()-1</f>
        <v>41</v>
      </c>
      <c r="C42">
        <f>INT((B42-1)/Constants!$B$2)+1</f>
        <v>4</v>
      </c>
      <c r="D42">
        <f>MOD(B42-1,Constants!$B$2)+1</f>
        <v>5</v>
      </c>
      <c r="E42">
        <f>MAX(0,C42-1)</f>
        <v>3</v>
      </c>
      <c r="F42">
        <f>INT(B42*E42/Constants!$B$2)</f>
        <v>10</v>
      </c>
      <c r="G42">
        <f>MOD(B42*E42,Constants!$B$2)</f>
        <v>3</v>
      </c>
      <c r="H42">
        <f>B42+F42</f>
        <v>51</v>
      </c>
      <c r="I42">
        <f>B42+H42</f>
        <v>92</v>
      </c>
      <c r="J42">
        <f>B42</f>
        <v>41</v>
      </c>
      <c r="K42">
        <f>H42</f>
        <v>51</v>
      </c>
      <c r="L42">
        <f>B42</f>
        <v>41</v>
      </c>
      <c r="M42">
        <f>J42+K42+L42</f>
        <v>133</v>
      </c>
      <c r="N42">
        <f>2*B42+H42</f>
        <v>133</v>
      </c>
      <c r="O42">
        <f>B42+2*H42</f>
        <v>143</v>
      </c>
      <c r="P42">
        <f>B42</f>
        <v>41</v>
      </c>
      <c r="Q42" t="str">
        <f>B42&amp;"p+"&amp;H42&amp;"n+"&amp;B42&amp;"e"</f>
        <v>41p+51n+41e</v>
      </c>
      <c r="R42" t="str">
        <f>N42&amp;"u+"&amp;O42&amp;"d+"&amp;P42&amp;"e"</f>
        <v>133u+143d+41e</v>
      </c>
      <c r="S42">
        <f>COUNTIF(Shells!$E$2:$E$9,"&lt;"&amp;B42)+1</f>
        <v>4</v>
      </c>
      <c r="T42">
        <f>INDEX(Shells!$B$2:$B$9,S42)</f>
        <v>4</v>
      </c>
      <c r="U42">
        <f>INDEX(Shells!$C$2:$C$9,S42)</f>
        <v>32</v>
      </c>
      <c r="V42">
        <f>B42-IF(S42=1,0,INDEX(Shells!$E$2:$E$9,S42-1))</f>
        <v>13</v>
      </c>
      <c r="W42" t="str">
        <f>IF(V42=U42,"CLOSED_SHELL","OPEN_SHELL")</f>
        <v>OPEN_SHELL</v>
      </c>
      <c r="X42">
        <f>Constants!$B$11</f>
        <v>9.266927083333333333333333333333333333333333333333333333333333333333333333333333333333333333333333333</v>
      </c>
      <c r="Y42">
        <f>H42-B42</f>
        <v>10</v>
      </c>
      <c r="Z42">
        <f>B42*Constants!$B$11+Y42*Constants!$B$12</f>
        <v>380.1002604166666666666666666666666666666666666666666666666666666666666666666666666666666666666666667</v>
      </c>
      <c r="AA42">
        <f>Z42*Constants!$B$5</f>
        <v>3040.802083333333333333333333333333333333333333333333333333333333333333333333333333333333333333333333</v>
      </c>
      <c r="AB42">
        <f>Z42*7</f>
        <v>2660.701822916666666666666666666666666666666666666666666666666666666666666666666666666666666666666667</v>
      </c>
      <c r="AC42" t="str">
        <f>IF(B42&gt;Constants!$B$6-Constants!$B$5,"CONSTANT_FRONTIER_TAIL_Z119_Z126","CONSTANT_NATIVE_SURFACE_Z001_Z118")</f>
        <v>CONSTANT_NATIVE_SURFACE_Z001_Z118</v>
      </c>
      <c r="AD42" t="str">
        <f>IF(B42&gt;Constants!$B$6-Constants!$B$5,"CONSTANT_FRONTIER_TAIL_CANDIDATE",IF(G42=0,"CONSTANT_STABLE_ANCHOR_LANE",IF(G42=Constants!$B$2/2,"CONSTANT_HALF_WRITE_LANE","CONSTANT_BOUND_LADDER_LANE")))</f>
        <v>CONSTANT_BOUND_LADDER_LANE</v>
      </c>
    </row>
    <row r="43">
      <c r="A43" t="str">
        <f>"E"&amp;TEXT(B43,"000")</f>
        <v>E042</v>
      </c>
      <c r="B43">
        <f>ROW()-1</f>
        <v>42</v>
      </c>
      <c r="C43">
        <f>INT((B43-1)/Constants!$B$2)+1</f>
        <v>4</v>
      </c>
      <c r="D43">
        <f>MOD(B43-1,Constants!$B$2)+1</f>
        <v>6</v>
      </c>
      <c r="E43">
        <f>MAX(0,C43-1)</f>
        <v>3</v>
      </c>
      <c r="F43">
        <f>INT(B43*E43/Constants!$B$2)</f>
        <v>10</v>
      </c>
      <c r="G43">
        <f>MOD(B43*E43,Constants!$B$2)</f>
        <v>6</v>
      </c>
      <c r="H43">
        <f>B43+F43</f>
        <v>52</v>
      </c>
      <c r="I43">
        <f>B43+H43</f>
        <v>94</v>
      </c>
      <c r="J43">
        <f>B43</f>
        <v>42</v>
      </c>
      <c r="K43">
        <f>H43</f>
        <v>52</v>
      </c>
      <c r="L43">
        <f>B43</f>
        <v>42</v>
      </c>
      <c r="M43">
        <f>J43+K43+L43</f>
        <v>136</v>
      </c>
      <c r="N43">
        <f>2*B43+H43</f>
        <v>136</v>
      </c>
      <c r="O43">
        <f>B43+2*H43</f>
        <v>146</v>
      </c>
      <c r="P43">
        <f>B43</f>
        <v>42</v>
      </c>
      <c r="Q43" t="str">
        <f>B43&amp;"p+"&amp;H43&amp;"n+"&amp;B43&amp;"e"</f>
        <v>42p+52n+42e</v>
      </c>
      <c r="R43" t="str">
        <f>N43&amp;"u+"&amp;O43&amp;"d+"&amp;P43&amp;"e"</f>
        <v>136u+146d+42e</v>
      </c>
      <c r="S43">
        <f>COUNTIF(Shells!$E$2:$E$9,"&lt;"&amp;B43)+1</f>
        <v>4</v>
      </c>
      <c r="T43">
        <f>INDEX(Shells!$B$2:$B$9,S43)</f>
        <v>4</v>
      </c>
      <c r="U43">
        <f>INDEX(Shells!$C$2:$C$9,S43)</f>
        <v>32</v>
      </c>
      <c r="V43">
        <f>B43-IF(S43=1,0,INDEX(Shells!$E$2:$E$9,S43-1))</f>
        <v>14</v>
      </c>
      <c r="W43" t="str">
        <f>IF(V43=U43,"CLOSED_SHELL","OPEN_SHELL")</f>
        <v>OPEN_SHELL</v>
      </c>
      <c r="X43">
        <f>Constants!$B$11</f>
        <v>9.266927083333333333333333333333333333333333333333333333333333333333333333333333333333333333333333333</v>
      </c>
      <c r="Y43">
        <f>H43-B43</f>
        <v>10</v>
      </c>
      <c r="Z43">
        <f>B43*Constants!$B$11+Y43*Constants!$B$12</f>
        <v>389.3671875</v>
      </c>
      <c r="AA43">
        <f>Z43*Constants!$B$5</f>
        <v>3114.9375</v>
      </c>
      <c r="AB43">
        <f>Z43*7</f>
        <v>2725.5703125</v>
      </c>
      <c r="AC43" t="str">
        <f>IF(B43&gt;Constants!$B$6-Constants!$B$5,"CONSTANT_FRONTIER_TAIL_Z119_Z126","CONSTANT_NATIVE_SURFACE_Z001_Z118")</f>
        <v>CONSTANT_NATIVE_SURFACE_Z001_Z118</v>
      </c>
      <c r="AD43" t="str">
        <f>IF(B43&gt;Constants!$B$6-Constants!$B$5,"CONSTANT_FRONTIER_TAIL_CANDIDATE",IF(G43=0,"CONSTANT_STABLE_ANCHOR_LANE",IF(G43=Constants!$B$2/2,"CONSTANT_HALF_WRITE_LANE","CONSTANT_BOUND_LADDER_LANE")))</f>
        <v>CONSTANT_HALF_WRITE_LANE</v>
      </c>
    </row>
    <row r="44">
      <c r="A44" t="str">
        <f>"E"&amp;TEXT(B44,"000")</f>
        <v>E043</v>
      </c>
      <c r="B44">
        <f>ROW()-1</f>
        <v>43</v>
      </c>
      <c r="C44">
        <f>INT((B44-1)/Constants!$B$2)+1</f>
        <v>4</v>
      </c>
      <c r="D44">
        <f>MOD(B44-1,Constants!$B$2)+1</f>
        <v>7</v>
      </c>
      <c r="E44">
        <f>MAX(0,C44-1)</f>
        <v>3</v>
      </c>
      <c r="F44">
        <f>INT(B44*E44/Constants!$B$2)</f>
        <v>10</v>
      </c>
      <c r="G44">
        <f>MOD(B44*E44,Constants!$B$2)</f>
        <v>9</v>
      </c>
      <c r="H44">
        <f>B44+F44</f>
        <v>53</v>
      </c>
      <c r="I44">
        <f>B44+H44</f>
        <v>96</v>
      </c>
      <c r="J44">
        <f>B44</f>
        <v>43</v>
      </c>
      <c r="K44">
        <f>H44</f>
        <v>53</v>
      </c>
      <c r="L44">
        <f>B44</f>
        <v>43</v>
      </c>
      <c r="M44">
        <f>J44+K44+L44</f>
        <v>139</v>
      </c>
      <c r="N44">
        <f>2*B44+H44</f>
        <v>139</v>
      </c>
      <c r="O44">
        <f>B44+2*H44</f>
        <v>149</v>
      </c>
      <c r="P44">
        <f>B44</f>
        <v>43</v>
      </c>
      <c r="Q44" t="str">
        <f>B44&amp;"p+"&amp;H44&amp;"n+"&amp;B44&amp;"e"</f>
        <v>43p+53n+43e</v>
      </c>
      <c r="R44" t="str">
        <f>N44&amp;"u+"&amp;O44&amp;"d+"&amp;P44&amp;"e"</f>
        <v>139u+149d+43e</v>
      </c>
      <c r="S44">
        <f>COUNTIF(Shells!$E$2:$E$9,"&lt;"&amp;B44)+1</f>
        <v>4</v>
      </c>
      <c r="T44">
        <f>INDEX(Shells!$B$2:$B$9,S44)</f>
        <v>4</v>
      </c>
      <c r="U44">
        <f>INDEX(Shells!$C$2:$C$9,S44)</f>
        <v>32</v>
      </c>
      <c r="V44">
        <f>B44-IF(S44=1,0,INDEX(Shells!$E$2:$E$9,S44-1))</f>
        <v>15</v>
      </c>
      <c r="W44" t="str">
        <f>IF(V44=U44,"CLOSED_SHELL","OPEN_SHELL")</f>
        <v>OPEN_SHELL</v>
      </c>
      <c r="X44">
        <f>Constants!$B$11</f>
        <v>9.266927083333333333333333333333333333333333333333333333333333333333333333333333333333333333333333333</v>
      </c>
      <c r="Y44">
        <f>H44-B44</f>
        <v>10</v>
      </c>
      <c r="Z44">
        <f>B44*Constants!$B$11+Y44*Constants!$B$12</f>
        <v>398.6341145833333333333333333333333333333333333333333333333333333333333333333333333333333333333333333</v>
      </c>
      <c r="AA44">
        <f>Z44*Constants!$B$5</f>
        <v>3189.072916666666666666666666666666666666666666666666666666666666666666666666666666666666666666666667</v>
      </c>
      <c r="AB44">
        <f>Z44*7</f>
        <v>2790.438802083333333333333333333333333333333333333333333333333333333333333333333333333333333333333333</v>
      </c>
      <c r="AC44" t="str">
        <f>IF(B44&gt;Constants!$B$6-Constants!$B$5,"CONSTANT_FRONTIER_TAIL_Z119_Z126","CONSTANT_NATIVE_SURFACE_Z001_Z118")</f>
        <v>CONSTANT_NATIVE_SURFACE_Z001_Z118</v>
      </c>
      <c r="AD44" t="str">
        <f>IF(B44&gt;Constants!$B$6-Constants!$B$5,"CONSTANT_FRONTIER_TAIL_CANDIDATE",IF(G44=0,"CONSTANT_STABLE_ANCHOR_LANE",IF(G44=Constants!$B$2/2,"CONSTANT_HALF_WRITE_LANE","CONSTANT_BOUND_LADDER_LANE")))</f>
        <v>CONSTANT_BOUND_LADDER_LANE</v>
      </c>
    </row>
    <row r="45">
      <c r="A45" t="str">
        <f>"E"&amp;TEXT(B45,"000")</f>
        <v>E044</v>
      </c>
      <c r="B45">
        <f>ROW()-1</f>
        <v>44</v>
      </c>
      <c r="C45">
        <f>INT((B45-1)/Constants!$B$2)+1</f>
        <v>4</v>
      </c>
      <c r="D45">
        <f>MOD(B45-1,Constants!$B$2)+1</f>
        <v>8</v>
      </c>
      <c r="E45">
        <f>MAX(0,C45-1)</f>
        <v>3</v>
      </c>
      <c r="F45">
        <f>INT(B45*E45/Constants!$B$2)</f>
        <v>11</v>
      </c>
      <c r="G45">
        <f>MOD(B45*E45,Constants!$B$2)</f>
        <v>0</v>
      </c>
      <c r="H45">
        <f>B45+F45</f>
        <v>55</v>
      </c>
      <c r="I45">
        <f>B45+H45</f>
        <v>99</v>
      </c>
      <c r="J45">
        <f>B45</f>
        <v>44</v>
      </c>
      <c r="K45">
        <f>H45</f>
        <v>55</v>
      </c>
      <c r="L45">
        <f>B45</f>
        <v>44</v>
      </c>
      <c r="M45">
        <f>J45+K45+L45</f>
        <v>143</v>
      </c>
      <c r="N45">
        <f>2*B45+H45</f>
        <v>143</v>
      </c>
      <c r="O45">
        <f>B45+2*H45</f>
        <v>154</v>
      </c>
      <c r="P45">
        <f>B45</f>
        <v>44</v>
      </c>
      <c r="Q45" t="str">
        <f>B45&amp;"p+"&amp;H45&amp;"n+"&amp;B45&amp;"e"</f>
        <v>44p+55n+44e</v>
      </c>
      <c r="R45" t="str">
        <f>N45&amp;"u+"&amp;O45&amp;"d+"&amp;P45&amp;"e"</f>
        <v>143u+154d+44e</v>
      </c>
      <c r="S45">
        <f>COUNTIF(Shells!$E$2:$E$9,"&lt;"&amp;B45)+1</f>
        <v>4</v>
      </c>
      <c r="T45">
        <f>INDEX(Shells!$B$2:$B$9,S45)</f>
        <v>4</v>
      </c>
      <c r="U45">
        <f>INDEX(Shells!$C$2:$C$9,S45)</f>
        <v>32</v>
      </c>
      <c r="V45">
        <f>B45-IF(S45=1,0,INDEX(Shells!$E$2:$E$9,S45-1))</f>
        <v>16</v>
      </c>
      <c r="W45" t="str">
        <f>IF(V45=U45,"CLOSED_SHELL","OPEN_SHELL")</f>
        <v>OPEN_SHELL</v>
      </c>
      <c r="X45">
        <f>Constants!$B$11</f>
        <v>9.266927083333333333333333333333333333333333333333333333333333333333333333333333333333333333333333333</v>
      </c>
      <c r="Y45">
        <f>H45-B45</f>
        <v>11</v>
      </c>
      <c r="Z45">
        <f>B45*Constants!$B$11+Y45*Constants!$B$12</f>
        <v>407.9166666666666666666666666666666666666666666666666666666666666666666666666666666666666666666666667</v>
      </c>
      <c r="AA45">
        <f>Z45*Constants!$B$5</f>
        <v>3263.333333333333333333333333333333333333333333333333333333333333333333333333333333333333333333333333</v>
      </c>
      <c r="AB45">
        <f>Z45*7</f>
        <v>2855.416666666666666666666666666666666666666666666666666666666666666666666666666666666666666666666667</v>
      </c>
      <c r="AC45" t="str">
        <f>IF(B45&gt;Constants!$B$6-Constants!$B$5,"CONSTANT_FRONTIER_TAIL_Z119_Z126","CONSTANT_NATIVE_SURFACE_Z001_Z118")</f>
        <v>CONSTANT_NATIVE_SURFACE_Z001_Z118</v>
      </c>
      <c r="AD45" t="str">
        <f>IF(B45&gt;Constants!$B$6-Constants!$B$5,"CONSTANT_FRONTIER_TAIL_CANDIDATE",IF(G45=0,"CONSTANT_STABLE_ANCHOR_LANE",IF(G45=Constants!$B$2/2,"CONSTANT_HALF_WRITE_LANE","CONSTANT_BOUND_LADDER_LANE")))</f>
        <v>CONSTANT_STABLE_ANCHOR_LANE</v>
      </c>
    </row>
    <row r="46">
      <c r="A46" t="str">
        <f>"E"&amp;TEXT(B46,"000")</f>
        <v>E045</v>
      </c>
      <c r="B46">
        <f>ROW()-1</f>
        <v>45</v>
      </c>
      <c r="C46">
        <f>INT((B46-1)/Constants!$B$2)+1</f>
        <v>4</v>
      </c>
      <c r="D46">
        <f>MOD(B46-1,Constants!$B$2)+1</f>
        <v>9</v>
      </c>
      <c r="E46">
        <f>MAX(0,C46-1)</f>
        <v>3</v>
      </c>
      <c r="F46">
        <f>INT(B46*E46/Constants!$B$2)</f>
        <v>11</v>
      </c>
      <c r="G46">
        <f>MOD(B46*E46,Constants!$B$2)</f>
        <v>3</v>
      </c>
      <c r="H46">
        <f>B46+F46</f>
        <v>56</v>
      </c>
      <c r="I46">
        <f>B46+H46</f>
        <v>101</v>
      </c>
      <c r="J46">
        <f>B46</f>
        <v>45</v>
      </c>
      <c r="K46">
        <f>H46</f>
        <v>56</v>
      </c>
      <c r="L46">
        <f>B46</f>
        <v>45</v>
      </c>
      <c r="M46">
        <f>J46+K46+L46</f>
        <v>146</v>
      </c>
      <c r="N46">
        <f>2*B46+H46</f>
        <v>146</v>
      </c>
      <c r="O46">
        <f>B46+2*H46</f>
        <v>157</v>
      </c>
      <c r="P46">
        <f>B46</f>
        <v>45</v>
      </c>
      <c r="Q46" t="str">
        <f>B46&amp;"p+"&amp;H46&amp;"n+"&amp;B46&amp;"e"</f>
        <v>45p+56n+45e</v>
      </c>
      <c r="R46" t="str">
        <f>N46&amp;"u+"&amp;O46&amp;"d+"&amp;P46&amp;"e"</f>
        <v>146u+157d+45e</v>
      </c>
      <c r="S46">
        <f>COUNTIF(Shells!$E$2:$E$9,"&lt;"&amp;B46)+1</f>
        <v>4</v>
      </c>
      <c r="T46">
        <f>INDEX(Shells!$B$2:$B$9,S46)</f>
        <v>4</v>
      </c>
      <c r="U46">
        <f>INDEX(Shells!$C$2:$C$9,S46)</f>
        <v>32</v>
      </c>
      <c r="V46">
        <f>B46-IF(S46=1,0,INDEX(Shells!$E$2:$E$9,S46-1))</f>
        <v>17</v>
      </c>
      <c r="W46" t="str">
        <f>IF(V46=U46,"CLOSED_SHELL","OPEN_SHELL")</f>
        <v>OPEN_SHELL</v>
      </c>
      <c r="X46">
        <f>Constants!$B$11</f>
        <v>9.266927083333333333333333333333333333333333333333333333333333333333333333333333333333333333333333333</v>
      </c>
      <c r="Y46">
        <f>H46-B46</f>
        <v>11</v>
      </c>
      <c r="Z46">
        <f>B46*Constants!$B$11+Y46*Constants!$B$12</f>
        <v>417.18359375</v>
      </c>
      <c r="AA46">
        <f>Z46*Constants!$B$5</f>
        <v>3337.46875</v>
      </c>
      <c r="AB46">
        <f>Z46*7</f>
        <v>2920.28515625</v>
      </c>
      <c r="AC46" t="str">
        <f>IF(B46&gt;Constants!$B$6-Constants!$B$5,"CONSTANT_FRONTIER_TAIL_Z119_Z126","CONSTANT_NATIVE_SURFACE_Z001_Z118")</f>
        <v>CONSTANT_NATIVE_SURFACE_Z001_Z118</v>
      </c>
      <c r="AD46" t="str">
        <f>IF(B46&gt;Constants!$B$6-Constants!$B$5,"CONSTANT_FRONTIER_TAIL_CANDIDATE",IF(G46=0,"CONSTANT_STABLE_ANCHOR_LANE",IF(G46=Constants!$B$2/2,"CONSTANT_HALF_WRITE_LANE","CONSTANT_BOUND_LADDER_LANE")))</f>
        <v>CONSTANT_BOUND_LADDER_LANE</v>
      </c>
    </row>
    <row r="47">
      <c r="A47" t="str">
        <f>"E"&amp;TEXT(B47,"000")</f>
        <v>E046</v>
      </c>
      <c r="B47">
        <f>ROW()-1</f>
        <v>46</v>
      </c>
      <c r="C47">
        <f>INT((B47-1)/Constants!$B$2)+1</f>
        <v>4</v>
      </c>
      <c r="D47">
        <f>MOD(B47-1,Constants!$B$2)+1</f>
        <v>10</v>
      </c>
      <c r="E47">
        <f>MAX(0,C47-1)</f>
        <v>3</v>
      </c>
      <c r="F47">
        <f>INT(B47*E47/Constants!$B$2)</f>
        <v>11</v>
      </c>
      <c r="G47">
        <f>MOD(B47*E47,Constants!$B$2)</f>
        <v>6</v>
      </c>
      <c r="H47">
        <f>B47+F47</f>
        <v>57</v>
      </c>
      <c r="I47">
        <f>B47+H47</f>
        <v>103</v>
      </c>
      <c r="J47">
        <f>B47</f>
        <v>46</v>
      </c>
      <c r="K47">
        <f>H47</f>
        <v>57</v>
      </c>
      <c r="L47">
        <f>B47</f>
        <v>46</v>
      </c>
      <c r="M47">
        <f>J47+K47+L47</f>
        <v>149</v>
      </c>
      <c r="N47">
        <f>2*B47+H47</f>
        <v>149</v>
      </c>
      <c r="O47">
        <f>B47+2*H47</f>
        <v>160</v>
      </c>
      <c r="P47">
        <f>B47</f>
        <v>46</v>
      </c>
      <c r="Q47" t="str">
        <f>B47&amp;"p+"&amp;H47&amp;"n+"&amp;B47&amp;"e"</f>
        <v>46p+57n+46e</v>
      </c>
      <c r="R47" t="str">
        <f>N47&amp;"u+"&amp;O47&amp;"d+"&amp;P47&amp;"e"</f>
        <v>149u+160d+46e</v>
      </c>
      <c r="S47">
        <f>COUNTIF(Shells!$E$2:$E$9,"&lt;"&amp;B47)+1</f>
        <v>4</v>
      </c>
      <c r="T47">
        <f>INDEX(Shells!$B$2:$B$9,S47)</f>
        <v>4</v>
      </c>
      <c r="U47">
        <f>INDEX(Shells!$C$2:$C$9,S47)</f>
        <v>32</v>
      </c>
      <c r="V47">
        <f>B47-IF(S47=1,0,INDEX(Shells!$E$2:$E$9,S47-1))</f>
        <v>18</v>
      </c>
      <c r="W47" t="str">
        <f>IF(V47=U47,"CLOSED_SHELL","OPEN_SHELL")</f>
        <v>OPEN_SHELL</v>
      </c>
      <c r="X47">
        <f>Constants!$B$11</f>
        <v>9.266927083333333333333333333333333333333333333333333333333333333333333333333333333333333333333333333</v>
      </c>
      <c r="Y47">
        <f>H47-B47</f>
        <v>11</v>
      </c>
      <c r="Z47">
        <f>B47*Constants!$B$11+Y47*Constants!$B$12</f>
        <v>426.4505208333333333333333333333333333333333333333333333333333333333333333333333333333333333333333333</v>
      </c>
      <c r="AA47">
        <f>Z47*Constants!$B$5</f>
        <v>3411.604166666666666666666666666666666666666666666666666666666666666666666666666666666666666666666667</v>
      </c>
      <c r="AB47">
        <f>Z47*7</f>
        <v>2985.153645833333333333333333333333333333333333333333333333333333333333333333333333333333333333333333</v>
      </c>
      <c r="AC47" t="str">
        <f>IF(B47&gt;Constants!$B$6-Constants!$B$5,"CONSTANT_FRONTIER_TAIL_Z119_Z126","CONSTANT_NATIVE_SURFACE_Z001_Z118")</f>
        <v>CONSTANT_NATIVE_SURFACE_Z001_Z118</v>
      </c>
      <c r="AD47" t="str">
        <f>IF(B47&gt;Constants!$B$6-Constants!$B$5,"CONSTANT_FRONTIER_TAIL_CANDIDATE",IF(G47=0,"CONSTANT_STABLE_ANCHOR_LANE",IF(G47=Constants!$B$2/2,"CONSTANT_HALF_WRITE_LANE","CONSTANT_BOUND_LADDER_LANE")))</f>
        <v>CONSTANT_HALF_WRITE_LANE</v>
      </c>
    </row>
    <row r="48">
      <c r="A48" t="str">
        <f>"E"&amp;TEXT(B48,"000")</f>
        <v>E047</v>
      </c>
      <c r="B48">
        <f>ROW()-1</f>
        <v>47</v>
      </c>
      <c r="C48">
        <f>INT((B48-1)/Constants!$B$2)+1</f>
        <v>4</v>
      </c>
      <c r="D48">
        <f>MOD(B48-1,Constants!$B$2)+1</f>
        <v>11</v>
      </c>
      <c r="E48">
        <f>MAX(0,C48-1)</f>
        <v>3</v>
      </c>
      <c r="F48">
        <f>INT(B48*E48/Constants!$B$2)</f>
        <v>11</v>
      </c>
      <c r="G48">
        <f>MOD(B48*E48,Constants!$B$2)</f>
        <v>9</v>
      </c>
      <c r="H48">
        <f>B48+F48</f>
        <v>58</v>
      </c>
      <c r="I48">
        <f>B48+H48</f>
        <v>105</v>
      </c>
      <c r="J48">
        <f>B48</f>
        <v>47</v>
      </c>
      <c r="K48">
        <f>H48</f>
        <v>58</v>
      </c>
      <c r="L48">
        <f>B48</f>
        <v>47</v>
      </c>
      <c r="M48">
        <f>J48+K48+L48</f>
        <v>152</v>
      </c>
      <c r="N48">
        <f>2*B48+H48</f>
        <v>152</v>
      </c>
      <c r="O48">
        <f>B48+2*H48</f>
        <v>163</v>
      </c>
      <c r="P48">
        <f>B48</f>
        <v>47</v>
      </c>
      <c r="Q48" t="str">
        <f>B48&amp;"p+"&amp;H48&amp;"n+"&amp;B48&amp;"e"</f>
        <v>47p+58n+47e</v>
      </c>
      <c r="R48" t="str">
        <f>N48&amp;"u+"&amp;O48&amp;"d+"&amp;P48&amp;"e"</f>
        <v>152u+163d+47e</v>
      </c>
      <c r="S48">
        <f>COUNTIF(Shells!$E$2:$E$9,"&lt;"&amp;B48)+1</f>
        <v>4</v>
      </c>
      <c r="T48">
        <f>INDEX(Shells!$B$2:$B$9,S48)</f>
        <v>4</v>
      </c>
      <c r="U48">
        <f>INDEX(Shells!$C$2:$C$9,S48)</f>
        <v>32</v>
      </c>
      <c r="V48">
        <f>B48-IF(S48=1,0,INDEX(Shells!$E$2:$E$9,S48-1))</f>
        <v>19</v>
      </c>
      <c r="W48" t="str">
        <f>IF(V48=U48,"CLOSED_SHELL","OPEN_SHELL")</f>
        <v>OPEN_SHELL</v>
      </c>
      <c r="X48">
        <f>Constants!$B$11</f>
        <v>9.266927083333333333333333333333333333333333333333333333333333333333333333333333333333333333333333333</v>
      </c>
      <c r="Y48">
        <f>H48-B48</f>
        <v>11</v>
      </c>
      <c r="Z48">
        <f>B48*Constants!$B$11+Y48*Constants!$B$12</f>
        <v>435.7174479166666666666666666666666666666666666666666666666666666666666666666666666666666666666666667</v>
      </c>
      <c r="AA48">
        <f>Z48*Constants!$B$5</f>
        <v>3485.739583333333333333333333333333333333333333333333333333333333333333333333333333333333333333333333</v>
      </c>
      <c r="AB48">
        <f>Z48*7</f>
        <v>3050.022135416666666666666666666666666666666666666666666666666666666666666666666666666666666666666667</v>
      </c>
      <c r="AC48" t="str">
        <f>IF(B48&gt;Constants!$B$6-Constants!$B$5,"CONSTANT_FRONTIER_TAIL_Z119_Z126","CONSTANT_NATIVE_SURFACE_Z001_Z118")</f>
        <v>CONSTANT_NATIVE_SURFACE_Z001_Z118</v>
      </c>
      <c r="AD48" t="str">
        <f>IF(B48&gt;Constants!$B$6-Constants!$B$5,"CONSTANT_FRONTIER_TAIL_CANDIDATE",IF(G48=0,"CONSTANT_STABLE_ANCHOR_LANE",IF(G48=Constants!$B$2/2,"CONSTANT_HALF_WRITE_LANE","CONSTANT_BOUND_LADDER_LANE")))</f>
        <v>CONSTANT_BOUND_LADDER_LANE</v>
      </c>
    </row>
    <row r="49">
      <c r="A49" t="str">
        <f>"E"&amp;TEXT(B49,"000")</f>
        <v>E048</v>
      </c>
      <c r="B49">
        <f>ROW()-1</f>
        <v>48</v>
      </c>
      <c r="C49">
        <f>INT((B49-1)/Constants!$B$2)+1</f>
        <v>4</v>
      </c>
      <c r="D49">
        <f>MOD(B49-1,Constants!$B$2)+1</f>
        <v>12</v>
      </c>
      <c r="E49">
        <f>MAX(0,C49-1)</f>
        <v>3</v>
      </c>
      <c r="F49">
        <f>INT(B49*E49/Constants!$B$2)</f>
        <v>12</v>
      </c>
      <c r="G49">
        <f>MOD(B49*E49,Constants!$B$2)</f>
        <v>0</v>
      </c>
      <c r="H49">
        <f>B49+F49</f>
        <v>60</v>
      </c>
      <c r="I49">
        <f>B49+H49</f>
        <v>108</v>
      </c>
      <c r="J49">
        <f>B49</f>
        <v>48</v>
      </c>
      <c r="K49">
        <f>H49</f>
        <v>60</v>
      </c>
      <c r="L49">
        <f>B49</f>
        <v>48</v>
      </c>
      <c r="M49">
        <f>J49+K49+L49</f>
        <v>156</v>
      </c>
      <c r="N49">
        <f>2*B49+H49</f>
        <v>156</v>
      </c>
      <c r="O49">
        <f>B49+2*H49</f>
        <v>168</v>
      </c>
      <c r="P49">
        <f>B49</f>
        <v>48</v>
      </c>
      <c r="Q49" t="str">
        <f>B49&amp;"p+"&amp;H49&amp;"n+"&amp;B49&amp;"e"</f>
        <v>48p+60n+48e</v>
      </c>
      <c r="R49" t="str">
        <f>N49&amp;"u+"&amp;O49&amp;"d+"&amp;P49&amp;"e"</f>
        <v>156u+168d+48e</v>
      </c>
      <c r="S49">
        <f>COUNTIF(Shells!$E$2:$E$9,"&lt;"&amp;B49)+1</f>
        <v>4</v>
      </c>
      <c r="T49">
        <f>INDEX(Shells!$B$2:$B$9,S49)</f>
        <v>4</v>
      </c>
      <c r="U49">
        <f>INDEX(Shells!$C$2:$C$9,S49)</f>
        <v>32</v>
      </c>
      <c r="V49">
        <f>B49-IF(S49=1,0,INDEX(Shells!$E$2:$E$9,S49-1))</f>
        <v>20</v>
      </c>
      <c r="W49" t="str">
        <f>IF(V49=U49,"CLOSED_SHELL","OPEN_SHELL")</f>
        <v>OPEN_SHELL</v>
      </c>
      <c r="X49">
        <f>Constants!$B$11</f>
        <v>9.266927083333333333333333333333333333333333333333333333333333333333333333333333333333333333333333333</v>
      </c>
      <c r="Y49">
        <f>H49-B49</f>
        <v>12</v>
      </c>
      <c r="Z49">
        <f>B49*Constants!$B$11+Y49*Constants!$B$12</f>
        <v>445</v>
      </c>
      <c r="AA49">
        <f>Z49*Constants!$B$5</f>
        <v>3560</v>
      </c>
      <c r="AB49">
        <f>Z49*7</f>
        <v>3115</v>
      </c>
      <c r="AC49" t="str">
        <f>IF(B49&gt;Constants!$B$6-Constants!$B$5,"CONSTANT_FRONTIER_TAIL_Z119_Z126","CONSTANT_NATIVE_SURFACE_Z001_Z118")</f>
        <v>CONSTANT_NATIVE_SURFACE_Z001_Z118</v>
      </c>
      <c r="AD49" t="str">
        <f>IF(B49&gt;Constants!$B$6-Constants!$B$5,"CONSTANT_FRONTIER_TAIL_CANDIDATE",IF(G49=0,"CONSTANT_STABLE_ANCHOR_LANE",IF(G49=Constants!$B$2/2,"CONSTANT_HALF_WRITE_LANE","CONSTANT_BOUND_LADDER_LANE")))</f>
        <v>CONSTANT_STABLE_ANCHOR_LANE</v>
      </c>
    </row>
    <row r="50">
      <c r="A50" t="str">
        <f>"E"&amp;TEXT(B50,"000")</f>
        <v>E049</v>
      </c>
      <c r="B50">
        <f>ROW()-1</f>
        <v>49</v>
      </c>
      <c r="C50">
        <f>INT((B50-1)/Constants!$B$2)+1</f>
        <v>5</v>
      </c>
      <c r="D50">
        <f>MOD(B50-1,Constants!$B$2)+1</f>
        <v>1</v>
      </c>
      <c r="E50">
        <f>MAX(0,C50-1)</f>
        <v>4</v>
      </c>
      <c r="F50">
        <f>INT(B50*E50/Constants!$B$2)</f>
        <v>16</v>
      </c>
      <c r="G50">
        <f>MOD(B50*E50,Constants!$B$2)</f>
        <v>4</v>
      </c>
      <c r="H50">
        <f>B50+F50</f>
        <v>65</v>
      </c>
      <c r="I50">
        <f>B50+H50</f>
        <v>114</v>
      </c>
      <c r="J50">
        <f>B50</f>
        <v>49</v>
      </c>
      <c r="K50">
        <f>H50</f>
        <v>65</v>
      </c>
      <c r="L50">
        <f>B50</f>
        <v>49</v>
      </c>
      <c r="M50">
        <f>J50+K50+L50</f>
        <v>163</v>
      </c>
      <c r="N50">
        <f>2*B50+H50</f>
        <v>163</v>
      </c>
      <c r="O50">
        <f>B50+2*H50</f>
        <v>179</v>
      </c>
      <c r="P50">
        <f>B50</f>
        <v>49</v>
      </c>
      <c r="Q50" t="str">
        <f>B50&amp;"p+"&amp;H50&amp;"n+"&amp;B50&amp;"e"</f>
        <v>49p+65n+49e</v>
      </c>
      <c r="R50" t="str">
        <f>N50&amp;"u+"&amp;O50&amp;"d+"&amp;P50&amp;"e"</f>
        <v>163u+179d+49e</v>
      </c>
      <c r="S50">
        <f>COUNTIF(Shells!$E$2:$E$9,"&lt;"&amp;B50)+1</f>
        <v>4</v>
      </c>
      <c r="T50">
        <f>INDEX(Shells!$B$2:$B$9,S50)</f>
        <v>4</v>
      </c>
      <c r="U50">
        <f>INDEX(Shells!$C$2:$C$9,S50)</f>
        <v>32</v>
      </c>
      <c r="V50">
        <f>B50-IF(S50=1,0,INDEX(Shells!$E$2:$E$9,S50-1))</f>
        <v>21</v>
      </c>
      <c r="W50" t="str">
        <f>IF(V50=U50,"CLOSED_SHELL","OPEN_SHELL")</f>
        <v>OPEN_SHELL</v>
      </c>
      <c r="X50">
        <f>Constants!$B$11</f>
        <v>9.266927083333333333333333333333333333333333333333333333333333333333333333333333333333333333333333333</v>
      </c>
      <c r="Y50">
        <f>H50-B50</f>
        <v>16</v>
      </c>
      <c r="Z50">
        <f>B50*Constants!$B$11+Y50*Constants!$B$12</f>
        <v>454.3294270833333333333333333333333333333333333333333333333333333333333333333333333333333333333333333</v>
      </c>
      <c r="AA50">
        <f>Z50*Constants!$B$5</f>
        <v>3634.635416666666666666666666666666666666666666666666666666666666666666666666666666666666666666666667</v>
      </c>
      <c r="AB50">
        <f>Z50*7</f>
        <v>3180.305989583333333333333333333333333333333333333333333333333333333333333333333333333333333333333333</v>
      </c>
      <c r="AC50" t="str">
        <f>IF(B50&gt;Constants!$B$6-Constants!$B$5,"CONSTANT_FRONTIER_TAIL_Z119_Z126","CONSTANT_NATIVE_SURFACE_Z001_Z118")</f>
        <v>CONSTANT_NATIVE_SURFACE_Z001_Z118</v>
      </c>
      <c r="AD50" t="str">
        <f>IF(B50&gt;Constants!$B$6-Constants!$B$5,"CONSTANT_FRONTIER_TAIL_CANDIDATE",IF(G50=0,"CONSTANT_STABLE_ANCHOR_LANE",IF(G50=Constants!$B$2/2,"CONSTANT_HALF_WRITE_LANE","CONSTANT_BOUND_LADDER_LANE")))</f>
        <v>CONSTANT_BOUND_LADDER_LANE</v>
      </c>
    </row>
    <row r="51">
      <c r="A51" t="str">
        <f>"E"&amp;TEXT(B51,"000")</f>
        <v>E050</v>
      </c>
      <c r="B51">
        <f>ROW()-1</f>
        <v>50</v>
      </c>
      <c r="C51">
        <f>INT((B51-1)/Constants!$B$2)+1</f>
        <v>5</v>
      </c>
      <c r="D51">
        <f>MOD(B51-1,Constants!$B$2)+1</f>
        <v>2</v>
      </c>
      <c r="E51">
        <f>MAX(0,C51-1)</f>
        <v>4</v>
      </c>
      <c r="F51">
        <f>INT(B51*E51/Constants!$B$2)</f>
        <v>16</v>
      </c>
      <c r="G51">
        <f>MOD(B51*E51,Constants!$B$2)</f>
        <v>8</v>
      </c>
      <c r="H51">
        <f>B51+F51</f>
        <v>66</v>
      </c>
      <c r="I51">
        <f>B51+H51</f>
        <v>116</v>
      </c>
      <c r="J51">
        <f>B51</f>
        <v>50</v>
      </c>
      <c r="K51">
        <f>H51</f>
        <v>66</v>
      </c>
      <c r="L51">
        <f>B51</f>
        <v>50</v>
      </c>
      <c r="M51">
        <f>J51+K51+L51</f>
        <v>166</v>
      </c>
      <c r="N51">
        <f>2*B51+H51</f>
        <v>166</v>
      </c>
      <c r="O51">
        <f>B51+2*H51</f>
        <v>182</v>
      </c>
      <c r="P51">
        <f>B51</f>
        <v>50</v>
      </c>
      <c r="Q51" t="str">
        <f>B51&amp;"p+"&amp;H51&amp;"n+"&amp;B51&amp;"e"</f>
        <v>50p+66n+50e</v>
      </c>
      <c r="R51" t="str">
        <f>N51&amp;"u+"&amp;O51&amp;"d+"&amp;P51&amp;"e"</f>
        <v>166u+182d+50e</v>
      </c>
      <c r="S51">
        <f>COUNTIF(Shells!$E$2:$E$9,"&lt;"&amp;B51)+1</f>
        <v>4</v>
      </c>
      <c r="T51">
        <f>INDEX(Shells!$B$2:$B$9,S51)</f>
        <v>4</v>
      </c>
      <c r="U51">
        <f>INDEX(Shells!$C$2:$C$9,S51)</f>
        <v>32</v>
      </c>
      <c r="V51">
        <f>B51-IF(S51=1,0,INDEX(Shells!$E$2:$E$9,S51-1))</f>
        <v>22</v>
      </c>
      <c r="W51" t="str">
        <f>IF(V51=U51,"CLOSED_SHELL","OPEN_SHELL")</f>
        <v>OPEN_SHELL</v>
      </c>
      <c r="X51">
        <f>Constants!$B$11</f>
        <v>9.266927083333333333333333333333333333333333333333333333333333333333333333333333333333333333333333333</v>
      </c>
      <c r="Y51">
        <f>H51-B51</f>
        <v>16</v>
      </c>
      <c r="Z51">
        <f>B51*Constants!$B$11+Y51*Constants!$B$12</f>
        <v>463.5963541666666666666666666666666666666666666666666666666666666666666666666666666666666666666666667</v>
      </c>
      <c r="AA51">
        <f>Z51*Constants!$B$5</f>
        <v>3708.770833333333333333333333333333333333333333333333333333333333333333333333333333333333333333333333</v>
      </c>
      <c r="AB51">
        <f>Z51*7</f>
        <v>3245.174479166666666666666666666666666666666666666666666666666666666666666666666666666666666666666667</v>
      </c>
      <c r="AC51" t="str">
        <f>IF(B51&gt;Constants!$B$6-Constants!$B$5,"CONSTANT_FRONTIER_TAIL_Z119_Z126","CONSTANT_NATIVE_SURFACE_Z001_Z118")</f>
        <v>CONSTANT_NATIVE_SURFACE_Z001_Z118</v>
      </c>
      <c r="AD51" t="str">
        <f>IF(B51&gt;Constants!$B$6-Constants!$B$5,"CONSTANT_FRONTIER_TAIL_CANDIDATE",IF(G51=0,"CONSTANT_STABLE_ANCHOR_LANE",IF(G51=Constants!$B$2/2,"CONSTANT_HALF_WRITE_LANE","CONSTANT_BOUND_LADDER_LANE")))</f>
        <v>CONSTANT_BOUND_LADDER_LANE</v>
      </c>
    </row>
    <row r="52">
      <c r="A52" t="str">
        <f>"E"&amp;TEXT(B52,"000")</f>
        <v>E051</v>
      </c>
      <c r="B52">
        <f>ROW()-1</f>
        <v>51</v>
      </c>
      <c r="C52">
        <f>INT((B52-1)/Constants!$B$2)+1</f>
        <v>5</v>
      </c>
      <c r="D52">
        <f>MOD(B52-1,Constants!$B$2)+1</f>
        <v>3</v>
      </c>
      <c r="E52">
        <f>MAX(0,C52-1)</f>
        <v>4</v>
      </c>
      <c r="F52">
        <f>INT(B52*E52/Constants!$B$2)</f>
        <v>17</v>
      </c>
      <c r="G52">
        <f>MOD(B52*E52,Constants!$B$2)</f>
        <v>0</v>
      </c>
      <c r="H52">
        <f>B52+F52</f>
        <v>68</v>
      </c>
      <c r="I52">
        <f>B52+H52</f>
        <v>119</v>
      </c>
      <c r="J52">
        <f>B52</f>
        <v>51</v>
      </c>
      <c r="K52">
        <f>H52</f>
        <v>68</v>
      </c>
      <c r="L52">
        <f>B52</f>
        <v>51</v>
      </c>
      <c r="M52">
        <f>J52+K52+L52</f>
        <v>170</v>
      </c>
      <c r="N52">
        <f>2*B52+H52</f>
        <v>170</v>
      </c>
      <c r="O52">
        <f>B52+2*H52</f>
        <v>187</v>
      </c>
      <c r="P52">
        <f>B52</f>
        <v>51</v>
      </c>
      <c r="Q52" t="str">
        <f>B52&amp;"p+"&amp;H52&amp;"n+"&amp;B52&amp;"e"</f>
        <v>51p+68n+51e</v>
      </c>
      <c r="R52" t="str">
        <f>N52&amp;"u+"&amp;O52&amp;"d+"&amp;P52&amp;"e"</f>
        <v>170u+187d+51e</v>
      </c>
      <c r="S52">
        <f>COUNTIF(Shells!$E$2:$E$9,"&lt;"&amp;B52)+1</f>
        <v>4</v>
      </c>
      <c r="T52">
        <f>INDEX(Shells!$B$2:$B$9,S52)</f>
        <v>4</v>
      </c>
      <c r="U52">
        <f>INDEX(Shells!$C$2:$C$9,S52)</f>
        <v>32</v>
      </c>
      <c r="V52">
        <f>B52-IF(S52=1,0,INDEX(Shells!$E$2:$E$9,S52-1))</f>
        <v>23</v>
      </c>
      <c r="W52" t="str">
        <f>IF(V52=U52,"CLOSED_SHELL","OPEN_SHELL")</f>
        <v>OPEN_SHELL</v>
      </c>
      <c r="X52">
        <f>Constants!$B$11</f>
        <v>9.266927083333333333333333333333333333333333333333333333333333333333333333333333333333333333333333333</v>
      </c>
      <c r="Y52">
        <f>H52-B52</f>
        <v>17</v>
      </c>
      <c r="Z52">
        <f>B52*Constants!$B$11+Y52*Constants!$B$12</f>
        <v>472.87890625</v>
      </c>
      <c r="AA52">
        <f>Z52*Constants!$B$5</f>
        <v>3783.03125</v>
      </c>
      <c r="AB52">
        <f>Z52*7</f>
        <v>3310.15234375</v>
      </c>
      <c r="AC52" t="str">
        <f>IF(B52&gt;Constants!$B$6-Constants!$B$5,"CONSTANT_FRONTIER_TAIL_Z119_Z126","CONSTANT_NATIVE_SURFACE_Z001_Z118")</f>
        <v>CONSTANT_NATIVE_SURFACE_Z001_Z118</v>
      </c>
      <c r="AD52" t="str">
        <f>IF(B52&gt;Constants!$B$6-Constants!$B$5,"CONSTANT_FRONTIER_TAIL_CANDIDATE",IF(G52=0,"CONSTANT_STABLE_ANCHOR_LANE",IF(G52=Constants!$B$2/2,"CONSTANT_HALF_WRITE_LANE","CONSTANT_BOUND_LADDER_LANE")))</f>
        <v>CONSTANT_STABLE_ANCHOR_LANE</v>
      </c>
    </row>
    <row r="53">
      <c r="A53" t="str">
        <f>"E"&amp;TEXT(B53,"000")</f>
        <v>E052</v>
      </c>
      <c r="B53">
        <f>ROW()-1</f>
        <v>52</v>
      </c>
      <c r="C53">
        <f>INT((B53-1)/Constants!$B$2)+1</f>
        <v>5</v>
      </c>
      <c r="D53">
        <f>MOD(B53-1,Constants!$B$2)+1</f>
        <v>4</v>
      </c>
      <c r="E53">
        <f>MAX(0,C53-1)</f>
        <v>4</v>
      </c>
      <c r="F53">
        <f>INT(B53*E53/Constants!$B$2)</f>
        <v>17</v>
      </c>
      <c r="G53">
        <f>MOD(B53*E53,Constants!$B$2)</f>
        <v>4</v>
      </c>
      <c r="H53">
        <f>B53+F53</f>
        <v>69</v>
      </c>
      <c r="I53">
        <f>B53+H53</f>
        <v>121</v>
      </c>
      <c r="J53">
        <f>B53</f>
        <v>52</v>
      </c>
      <c r="K53">
        <f>H53</f>
        <v>69</v>
      </c>
      <c r="L53">
        <f>B53</f>
        <v>52</v>
      </c>
      <c r="M53">
        <f>J53+K53+L53</f>
        <v>173</v>
      </c>
      <c r="N53">
        <f>2*B53+H53</f>
        <v>173</v>
      </c>
      <c r="O53">
        <f>B53+2*H53</f>
        <v>190</v>
      </c>
      <c r="P53">
        <f>B53</f>
        <v>52</v>
      </c>
      <c r="Q53" t="str">
        <f>B53&amp;"p+"&amp;H53&amp;"n+"&amp;B53&amp;"e"</f>
        <v>52p+69n+52e</v>
      </c>
      <c r="R53" t="str">
        <f>N53&amp;"u+"&amp;O53&amp;"d+"&amp;P53&amp;"e"</f>
        <v>173u+190d+52e</v>
      </c>
      <c r="S53">
        <f>COUNTIF(Shells!$E$2:$E$9,"&lt;"&amp;B53)+1</f>
        <v>4</v>
      </c>
      <c r="T53">
        <f>INDEX(Shells!$B$2:$B$9,S53)</f>
        <v>4</v>
      </c>
      <c r="U53">
        <f>INDEX(Shells!$C$2:$C$9,S53)</f>
        <v>32</v>
      </c>
      <c r="V53">
        <f>B53-IF(S53=1,0,INDEX(Shells!$E$2:$E$9,S53-1))</f>
        <v>24</v>
      </c>
      <c r="W53" t="str">
        <f>IF(V53=U53,"CLOSED_SHELL","OPEN_SHELL")</f>
        <v>OPEN_SHELL</v>
      </c>
      <c r="X53">
        <f>Constants!$B$11</f>
        <v>9.266927083333333333333333333333333333333333333333333333333333333333333333333333333333333333333333333</v>
      </c>
      <c r="Y53">
        <f>H53-B53</f>
        <v>17</v>
      </c>
      <c r="Z53">
        <f>B53*Constants!$B$11+Y53*Constants!$B$12</f>
        <v>482.1458333333333333333333333333333333333333333333333333333333333333333333333333333333333333333333333</v>
      </c>
      <c r="AA53">
        <f>Z53*Constants!$B$5</f>
        <v>3857.166666666666666666666666666666666666666666666666666666666666666666666666666666666666666666666667</v>
      </c>
      <c r="AB53">
        <f>Z53*7</f>
        <v>3375.020833333333333333333333333333333333333333333333333333333333333333333333333333333333333333333333</v>
      </c>
      <c r="AC53" t="str">
        <f>IF(B53&gt;Constants!$B$6-Constants!$B$5,"CONSTANT_FRONTIER_TAIL_Z119_Z126","CONSTANT_NATIVE_SURFACE_Z001_Z118")</f>
        <v>CONSTANT_NATIVE_SURFACE_Z001_Z118</v>
      </c>
      <c r="AD53" t="str">
        <f>IF(B53&gt;Constants!$B$6-Constants!$B$5,"CONSTANT_FRONTIER_TAIL_CANDIDATE",IF(G53=0,"CONSTANT_STABLE_ANCHOR_LANE",IF(G53=Constants!$B$2/2,"CONSTANT_HALF_WRITE_LANE","CONSTANT_BOUND_LADDER_LANE")))</f>
        <v>CONSTANT_BOUND_LADDER_LANE</v>
      </c>
    </row>
    <row r="54">
      <c r="A54" t="str">
        <f>"E"&amp;TEXT(B54,"000")</f>
        <v>E053</v>
      </c>
      <c r="B54">
        <f>ROW()-1</f>
        <v>53</v>
      </c>
      <c r="C54">
        <f>INT((B54-1)/Constants!$B$2)+1</f>
        <v>5</v>
      </c>
      <c r="D54">
        <f>MOD(B54-1,Constants!$B$2)+1</f>
        <v>5</v>
      </c>
      <c r="E54">
        <f>MAX(0,C54-1)</f>
        <v>4</v>
      </c>
      <c r="F54">
        <f>INT(B54*E54/Constants!$B$2)</f>
        <v>17</v>
      </c>
      <c r="G54">
        <f>MOD(B54*E54,Constants!$B$2)</f>
        <v>8</v>
      </c>
      <c r="H54">
        <f>B54+F54</f>
        <v>70</v>
      </c>
      <c r="I54">
        <f>B54+H54</f>
        <v>123</v>
      </c>
      <c r="J54">
        <f>B54</f>
        <v>53</v>
      </c>
      <c r="K54">
        <f>H54</f>
        <v>70</v>
      </c>
      <c r="L54">
        <f>B54</f>
        <v>53</v>
      </c>
      <c r="M54">
        <f>J54+K54+L54</f>
        <v>176</v>
      </c>
      <c r="N54">
        <f>2*B54+H54</f>
        <v>176</v>
      </c>
      <c r="O54">
        <f>B54+2*H54</f>
        <v>193</v>
      </c>
      <c r="P54">
        <f>B54</f>
        <v>53</v>
      </c>
      <c r="Q54" t="str">
        <f>B54&amp;"p+"&amp;H54&amp;"n+"&amp;B54&amp;"e"</f>
        <v>53p+70n+53e</v>
      </c>
      <c r="R54" t="str">
        <f>N54&amp;"u+"&amp;O54&amp;"d+"&amp;P54&amp;"e"</f>
        <v>176u+193d+53e</v>
      </c>
      <c r="S54">
        <f>COUNTIF(Shells!$E$2:$E$9,"&lt;"&amp;B54)+1</f>
        <v>4</v>
      </c>
      <c r="T54">
        <f>INDEX(Shells!$B$2:$B$9,S54)</f>
        <v>4</v>
      </c>
      <c r="U54">
        <f>INDEX(Shells!$C$2:$C$9,S54)</f>
        <v>32</v>
      </c>
      <c r="V54">
        <f>B54-IF(S54=1,0,INDEX(Shells!$E$2:$E$9,S54-1))</f>
        <v>25</v>
      </c>
      <c r="W54" t="str">
        <f>IF(V54=U54,"CLOSED_SHELL","OPEN_SHELL")</f>
        <v>OPEN_SHELL</v>
      </c>
      <c r="X54">
        <f>Constants!$B$11</f>
        <v>9.266927083333333333333333333333333333333333333333333333333333333333333333333333333333333333333333333</v>
      </c>
      <c r="Y54">
        <f>H54-B54</f>
        <v>17</v>
      </c>
      <c r="Z54">
        <f>B54*Constants!$B$11+Y54*Constants!$B$12</f>
        <v>491.4127604166666666666666666666666666666666666666666666666666666666666666666666666666666666666666667</v>
      </c>
      <c r="AA54">
        <f>Z54*Constants!$B$5</f>
        <v>3931.302083333333333333333333333333333333333333333333333333333333333333333333333333333333333333333333</v>
      </c>
      <c r="AB54">
        <f>Z54*7</f>
        <v>3439.889322916666666666666666666666666666666666666666666666666666666666666666666666666666666666666667</v>
      </c>
      <c r="AC54" t="str">
        <f>IF(B54&gt;Constants!$B$6-Constants!$B$5,"CONSTANT_FRONTIER_TAIL_Z119_Z126","CONSTANT_NATIVE_SURFACE_Z001_Z118")</f>
        <v>CONSTANT_NATIVE_SURFACE_Z001_Z118</v>
      </c>
      <c r="AD54" t="str">
        <f>IF(B54&gt;Constants!$B$6-Constants!$B$5,"CONSTANT_FRONTIER_TAIL_CANDIDATE",IF(G54=0,"CONSTANT_STABLE_ANCHOR_LANE",IF(G54=Constants!$B$2/2,"CONSTANT_HALF_WRITE_LANE","CONSTANT_BOUND_LADDER_LANE")))</f>
        <v>CONSTANT_BOUND_LADDER_LANE</v>
      </c>
    </row>
    <row r="55">
      <c r="A55" t="str">
        <f>"E"&amp;TEXT(B55,"000")</f>
        <v>E054</v>
      </c>
      <c r="B55">
        <f>ROW()-1</f>
        <v>54</v>
      </c>
      <c r="C55">
        <f>INT((B55-1)/Constants!$B$2)+1</f>
        <v>5</v>
      </c>
      <c r="D55">
        <f>MOD(B55-1,Constants!$B$2)+1</f>
        <v>6</v>
      </c>
      <c r="E55">
        <f>MAX(0,C55-1)</f>
        <v>4</v>
      </c>
      <c r="F55">
        <f>INT(B55*E55/Constants!$B$2)</f>
        <v>18</v>
      </c>
      <c r="G55">
        <f>MOD(B55*E55,Constants!$B$2)</f>
        <v>0</v>
      </c>
      <c r="H55">
        <f>B55+F55</f>
        <v>72</v>
      </c>
      <c r="I55">
        <f>B55+H55</f>
        <v>126</v>
      </c>
      <c r="J55">
        <f>B55</f>
        <v>54</v>
      </c>
      <c r="K55">
        <f>H55</f>
        <v>72</v>
      </c>
      <c r="L55">
        <f>B55</f>
        <v>54</v>
      </c>
      <c r="M55">
        <f>J55+K55+L55</f>
        <v>180</v>
      </c>
      <c r="N55">
        <f>2*B55+H55</f>
        <v>180</v>
      </c>
      <c r="O55">
        <f>B55+2*H55</f>
        <v>198</v>
      </c>
      <c r="P55">
        <f>B55</f>
        <v>54</v>
      </c>
      <c r="Q55" t="str">
        <f>B55&amp;"p+"&amp;H55&amp;"n+"&amp;B55&amp;"e"</f>
        <v>54p+72n+54e</v>
      </c>
      <c r="R55" t="str">
        <f>N55&amp;"u+"&amp;O55&amp;"d+"&amp;P55&amp;"e"</f>
        <v>180u+198d+54e</v>
      </c>
      <c r="S55">
        <f>COUNTIF(Shells!$E$2:$E$9,"&lt;"&amp;B55)+1</f>
        <v>4</v>
      </c>
      <c r="T55">
        <f>INDEX(Shells!$B$2:$B$9,S55)</f>
        <v>4</v>
      </c>
      <c r="U55">
        <f>INDEX(Shells!$C$2:$C$9,S55)</f>
        <v>32</v>
      </c>
      <c r="V55">
        <f>B55-IF(S55=1,0,INDEX(Shells!$E$2:$E$9,S55-1))</f>
        <v>26</v>
      </c>
      <c r="W55" t="str">
        <f>IF(V55=U55,"CLOSED_SHELL","OPEN_SHELL")</f>
        <v>OPEN_SHELL</v>
      </c>
      <c r="X55">
        <f>Constants!$B$11</f>
        <v>9.266927083333333333333333333333333333333333333333333333333333333333333333333333333333333333333333333</v>
      </c>
      <c r="Y55">
        <f>H55-B55</f>
        <v>18</v>
      </c>
      <c r="Z55">
        <f>B55*Constants!$B$11+Y55*Constants!$B$12</f>
        <v>500.6953125</v>
      </c>
      <c r="AA55">
        <f>Z55*Constants!$B$5</f>
        <v>4005.5625</v>
      </c>
      <c r="AB55">
        <f>Z55*7</f>
        <v>3504.8671875</v>
      </c>
      <c r="AC55" t="str">
        <f>IF(B55&gt;Constants!$B$6-Constants!$B$5,"CONSTANT_FRONTIER_TAIL_Z119_Z126","CONSTANT_NATIVE_SURFACE_Z001_Z118")</f>
        <v>CONSTANT_NATIVE_SURFACE_Z001_Z118</v>
      </c>
      <c r="AD55" t="str">
        <f>IF(B55&gt;Constants!$B$6-Constants!$B$5,"CONSTANT_FRONTIER_TAIL_CANDIDATE",IF(G55=0,"CONSTANT_STABLE_ANCHOR_LANE",IF(G55=Constants!$B$2/2,"CONSTANT_HALF_WRITE_LANE","CONSTANT_BOUND_LADDER_LANE")))</f>
        <v>CONSTANT_STABLE_ANCHOR_LANE</v>
      </c>
    </row>
    <row r="56">
      <c r="A56" t="str">
        <f>"E"&amp;TEXT(B56,"000")</f>
        <v>E055</v>
      </c>
      <c r="B56">
        <f>ROW()-1</f>
        <v>55</v>
      </c>
      <c r="C56">
        <f>INT((B56-1)/Constants!$B$2)+1</f>
        <v>5</v>
      </c>
      <c r="D56">
        <f>MOD(B56-1,Constants!$B$2)+1</f>
        <v>7</v>
      </c>
      <c r="E56">
        <f>MAX(0,C56-1)</f>
        <v>4</v>
      </c>
      <c r="F56">
        <f>INT(B56*E56/Constants!$B$2)</f>
        <v>18</v>
      </c>
      <c r="G56">
        <f>MOD(B56*E56,Constants!$B$2)</f>
        <v>4</v>
      </c>
      <c r="H56">
        <f>B56+F56</f>
        <v>73</v>
      </c>
      <c r="I56">
        <f>B56+H56</f>
        <v>128</v>
      </c>
      <c r="J56">
        <f>B56</f>
        <v>55</v>
      </c>
      <c r="K56">
        <f>H56</f>
        <v>73</v>
      </c>
      <c r="L56">
        <f>B56</f>
        <v>55</v>
      </c>
      <c r="M56">
        <f>J56+K56+L56</f>
        <v>183</v>
      </c>
      <c r="N56">
        <f>2*B56+H56</f>
        <v>183</v>
      </c>
      <c r="O56">
        <f>B56+2*H56</f>
        <v>201</v>
      </c>
      <c r="P56">
        <f>B56</f>
        <v>55</v>
      </c>
      <c r="Q56" t="str">
        <f>B56&amp;"p+"&amp;H56&amp;"n+"&amp;B56&amp;"e"</f>
        <v>55p+73n+55e</v>
      </c>
      <c r="R56" t="str">
        <f>N56&amp;"u+"&amp;O56&amp;"d+"&amp;P56&amp;"e"</f>
        <v>183u+201d+55e</v>
      </c>
      <c r="S56">
        <f>COUNTIF(Shells!$E$2:$E$9,"&lt;"&amp;B56)+1</f>
        <v>4</v>
      </c>
      <c r="T56">
        <f>INDEX(Shells!$B$2:$B$9,S56)</f>
        <v>4</v>
      </c>
      <c r="U56">
        <f>INDEX(Shells!$C$2:$C$9,S56)</f>
        <v>32</v>
      </c>
      <c r="V56">
        <f>B56-IF(S56=1,0,INDEX(Shells!$E$2:$E$9,S56-1))</f>
        <v>27</v>
      </c>
      <c r="W56" t="str">
        <f>IF(V56=U56,"CLOSED_SHELL","OPEN_SHELL")</f>
        <v>OPEN_SHELL</v>
      </c>
      <c r="X56">
        <f>Constants!$B$11</f>
        <v>9.266927083333333333333333333333333333333333333333333333333333333333333333333333333333333333333333333</v>
      </c>
      <c r="Y56">
        <f>H56-B56</f>
        <v>18</v>
      </c>
      <c r="Z56">
        <f>B56*Constants!$B$11+Y56*Constants!$B$12</f>
        <v>509.9622395833333333333333333333333333333333333333333333333333333333333333333333333333333333333333333</v>
      </c>
      <c r="AA56">
        <f>Z56*Constants!$B$5</f>
        <v>4079.697916666666666666666666666666666666666666666666666666666666666666666666666666666666666666666667</v>
      </c>
      <c r="AB56">
        <f>Z56*7</f>
        <v>3569.735677083333333333333333333333333333333333333333333333333333333333333333333333333333333333333333</v>
      </c>
      <c r="AC56" t="str">
        <f>IF(B56&gt;Constants!$B$6-Constants!$B$5,"CONSTANT_FRONTIER_TAIL_Z119_Z126","CONSTANT_NATIVE_SURFACE_Z001_Z118")</f>
        <v>CONSTANT_NATIVE_SURFACE_Z001_Z118</v>
      </c>
      <c r="AD56" t="str">
        <f>IF(B56&gt;Constants!$B$6-Constants!$B$5,"CONSTANT_FRONTIER_TAIL_CANDIDATE",IF(G56=0,"CONSTANT_STABLE_ANCHOR_LANE",IF(G56=Constants!$B$2/2,"CONSTANT_HALF_WRITE_LANE","CONSTANT_BOUND_LADDER_LANE")))</f>
        <v>CONSTANT_BOUND_LADDER_LANE</v>
      </c>
    </row>
    <row r="57">
      <c r="A57" t="str">
        <f>"E"&amp;TEXT(B57,"000")</f>
        <v>E056</v>
      </c>
      <c r="B57">
        <f>ROW()-1</f>
        <v>56</v>
      </c>
      <c r="C57">
        <f>INT((B57-1)/Constants!$B$2)+1</f>
        <v>5</v>
      </c>
      <c r="D57">
        <f>MOD(B57-1,Constants!$B$2)+1</f>
        <v>8</v>
      </c>
      <c r="E57">
        <f>MAX(0,C57-1)</f>
        <v>4</v>
      </c>
      <c r="F57">
        <f>INT(B57*E57/Constants!$B$2)</f>
        <v>18</v>
      </c>
      <c r="G57">
        <f>MOD(B57*E57,Constants!$B$2)</f>
        <v>8</v>
      </c>
      <c r="H57">
        <f>B57+F57</f>
        <v>74</v>
      </c>
      <c r="I57">
        <f>B57+H57</f>
        <v>130</v>
      </c>
      <c r="J57">
        <f>B57</f>
        <v>56</v>
      </c>
      <c r="K57">
        <f>H57</f>
        <v>74</v>
      </c>
      <c r="L57">
        <f>B57</f>
        <v>56</v>
      </c>
      <c r="M57">
        <f>J57+K57+L57</f>
        <v>186</v>
      </c>
      <c r="N57">
        <f>2*B57+H57</f>
        <v>186</v>
      </c>
      <c r="O57">
        <f>B57+2*H57</f>
        <v>204</v>
      </c>
      <c r="P57">
        <f>B57</f>
        <v>56</v>
      </c>
      <c r="Q57" t="str">
        <f>B57&amp;"p+"&amp;H57&amp;"n+"&amp;B57&amp;"e"</f>
        <v>56p+74n+56e</v>
      </c>
      <c r="R57" t="str">
        <f>N57&amp;"u+"&amp;O57&amp;"d+"&amp;P57&amp;"e"</f>
        <v>186u+204d+56e</v>
      </c>
      <c r="S57">
        <f>COUNTIF(Shells!$E$2:$E$9,"&lt;"&amp;B57)+1</f>
        <v>4</v>
      </c>
      <c r="T57">
        <f>INDEX(Shells!$B$2:$B$9,S57)</f>
        <v>4</v>
      </c>
      <c r="U57">
        <f>INDEX(Shells!$C$2:$C$9,S57)</f>
        <v>32</v>
      </c>
      <c r="V57">
        <f>B57-IF(S57=1,0,INDEX(Shells!$E$2:$E$9,S57-1))</f>
        <v>28</v>
      </c>
      <c r="W57" t="str">
        <f>IF(V57=U57,"CLOSED_SHELL","OPEN_SHELL")</f>
        <v>OPEN_SHELL</v>
      </c>
      <c r="X57">
        <f>Constants!$B$11</f>
        <v>9.266927083333333333333333333333333333333333333333333333333333333333333333333333333333333333333333333</v>
      </c>
      <c r="Y57">
        <f>H57-B57</f>
        <v>18</v>
      </c>
      <c r="Z57">
        <f>B57*Constants!$B$11+Y57*Constants!$B$12</f>
        <v>519.2291666666666666666666666666666666666666666666666666666666666666666666666666666666666666666666667</v>
      </c>
      <c r="AA57">
        <f>Z57*Constants!$B$5</f>
        <v>4153.833333333333333333333333333333333333333333333333333333333333333333333333333333333333333333333333</v>
      </c>
      <c r="AB57">
        <f>Z57*7</f>
        <v>3634.604166666666666666666666666666666666666666666666666666666666666666666666666666666666666666666667</v>
      </c>
      <c r="AC57" t="str">
        <f>IF(B57&gt;Constants!$B$6-Constants!$B$5,"CONSTANT_FRONTIER_TAIL_Z119_Z126","CONSTANT_NATIVE_SURFACE_Z001_Z118")</f>
        <v>CONSTANT_NATIVE_SURFACE_Z001_Z118</v>
      </c>
      <c r="AD57" t="str">
        <f>IF(B57&gt;Constants!$B$6-Constants!$B$5,"CONSTANT_FRONTIER_TAIL_CANDIDATE",IF(G57=0,"CONSTANT_STABLE_ANCHOR_LANE",IF(G57=Constants!$B$2/2,"CONSTANT_HALF_WRITE_LANE","CONSTANT_BOUND_LADDER_LANE")))</f>
        <v>CONSTANT_BOUND_LADDER_LANE</v>
      </c>
    </row>
    <row r="58">
      <c r="A58" t="str">
        <f>"E"&amp;TEXT(B58,"000")</f>
        <v>E057</v>
      </c>
      <c r="B58">
        <f>ROW()-1</f>
        <v>57</v>
      </c>
      <c r="C58">
        <f>INT((B58-1)/Constants!$B$2)+1</f>
        <v>5</v>
      </c>
      <c r="D58">
        <f>MOD(B58-1,Constants!$B$2)+1</f>
        <v>9</v>
      </c>
      <c r="E58">
        <f>MAX(0,C58-1)</f>
        <v>4</v>
      </c>
      <c r="F58">
        <f>INT(B58*E58/Constants!$B$2)</f>
        <v>19</v>
      </c>
      <c r="G58">
        <f>MOD(B58*E58,Constants!$B$2)</f>
        <v>0</v>
      </c>
      <c r="H58">
        <f>B58+F58</f>
        <v>76</v>
      </c>
      <c r="I58">
        <f>B58+H58</f>
        <v>133</v>
      </c>
      <c r="J58">
        <f>B58</f>
        <v>57</v>
      </c>
      <c r="K58">
        <f>H58</f>
        <v>76</v>
      </c>
      <c r="L58">
        <f>B58</f>
        <v>57</v>
      </c>
      <c r="M58">
        <f>J58+K58+L58</f>
        <v>190</v>
      </c>
      <c r="N58">
        <f>2*B58+H58</f>
        <v>190</v>
      </c>
      <c r="O58">
        <f>B58+2*H58</f>
        <v>209</v>
      </c>
      <c r="P58">
        <f>B58</f>
        <v>57</v>
      </c>
      <c r="Q58" t="str">
        <f>B58&amp;"p+"&amp;H58&amp;"n+"&amp;B58&amp;"e"</f>
        <v>57p+76n+57e</v>
      </c>
      <c r="R58" t="str">
        <f>N58&amp;"u+"&amp;O58&amp;"d+"&amp;P58&amp;"e"</f>
        <v>190u+209d+57e</v>
      </c>
      <c r="S58">
        <f>COUNTIF(Shells!$E$2:$E$9,"&lt;"&amp;B58)+1</f>
        <v>4</v>
      </c>
      <c r="T58">
        <f>INDEX(Shells!$B$2:$B$9,S58)</f>
        <v>4</v>
      </c>
      <c r="U58">
        <f>INDEX(Shells!$C$2:$C$9,S58)</f>
        <v>32</v>
      </c>
      <c r="V58">
        <f>B58-IF(S58=1,0,INDEX(Shells!$E$2:$E$9,S58-1))</f>
        <v>29</v>
      </c>
      <c r="W58" t="str">
        <f>IF(V58=U58,"CLOSED_SHELL","OPEN_SHELL")</f>
        <v>OPEN_SHELL</v>
      </c>
      <c r="X58">
        <f>Constants!$B$11</f>
        <v>9.266927083333333333333333333333333333333333333333333333333333333333333333333333333333333333333333333</v>
      </c>
      <c r="Y58">
        <f>H58-B58</f>
        <v>19</v>
      </c>
      <c r="Z58">
        <f>B58*Constants!$B$11+Y58*Constants!$B$12</f>
        <v>528.51171875</v>
      </c>
      <c r="AA58">
        <f>Z58*Constants!$B$5</f>
        <v>4228.09375</v>
      </c>
      <c r="AB58">
        <f>Z58*7</f>
        <v>3699.58203125</v>
      </c>
      <c r="AC58" t="str">
        <f>IF(B58&gt;Constants!$B$6-Constants!$B$5,"CONSTANT_FRONTIER_TAIL_Z119_Z126","CONSTANT_NATIVE_SURFACE_Z001_Z118")</f>
        <v>CONSTANT_NATIVE_SURFACE_Z001_Z118</v>
      </c>
      <c r="AD58" t="str">
        <f>IF(B58&gt;Constants!$B$6-Constants!$B$5,"CONSTANT_FRONTIER_TAIL_CANDIDATE",IF(G58=0,"CONSTANT_STABLE_ANCHOR_LANE",IF(G58=Constants!$B$2/2,"CONSTANT_HALF_WRITE_LANE","CONSTANT_BOUND_LADDER_LANE")))</f>
        <v>CONSTANT_STABLE_ANCHOR_LANE</v>
      </c>
    </row>
    <row r="59">
      <c r="A59" t="str">
        <f>"E"&amp;TEXT(B59,"000")</f>
        <v>E058</v>
      </c>
      <c r="B59">
        <f>ROW()-1</f>
        <v>58</v>
      </c>
      <c r="C59">
        <f>INT((B59-1)/Constants!$B$2)+1</f>
        <v>5</v>
      </c>
      <c r="D59">
        <f>MOD(B59-1,Constants!$B$2)+1</f>
        <v>10</v>
      </c>
      <c r="E59">
        <f>MAX(0,C59-1)</f>
        <v>4</v>
      </c>
      <c r="F59">
        <f>INT(B59*E59/Constants!$B$2)</f>
        <v>19</v>
      </c>
      <c r="G59">
        <f>MOD(B59*E59,Constants!$B$2)</f>
        <v>4</v>
      </c>
      <c r="H59">
        <f>B59+F59</f>
        <v>77</v>
      </c>
      <c r="I59">
        <f>B59+H59</f>
        <v>135</v>
      </c>
      <c r="J59">
        <f>B59</f>
        <v>58</v>
      </c>
      <c r="K59">
        <f>H59</f>
        <v>77</v>
      </c>
      <c r="L59">
        <f>B59</f>
        <v>58</v>
      </c>
      <c r="M59">
        <f>J59+K59+L59</f>
        <v>193</v>
      </c>
      <c r="N59">
        <f>2*B59+H59</f>
        <v>193</v>
      </c>
      <c r="O59">
        <f>B59+2*H59</f>
        <v>212</v>
      </c>
      <c r="P59">
        <f>B59</f>
        <v>58</v>
      </c>
      <c r="Q59" t="str">
        <f>B59&amp;"p+"&amp;H59&amp;"n+"&amp;B59&amp;"e"</f>
        <v>58p+77n+58e</v>
      </c>
      <c r="R59" t="str">
        <f>N59&amp;"u+"&amp;O59&amp;"d+"&amp;P59&amp;"e"</f>
        <v>193u+212d+58e</v>
      </c>
      <c r="S59">
        <f>COUNTIF(Shells!$E$2:$E$9,"&lt;"&amp;B59)+1</f>
        <v>4</v>
      </c>
      <c r="T59">
        <f>INDEX(Shells!$B$2:$B$9,S59)</f>
        <v>4</v>
      </c>
      <c r="U59">
        <f>INDEX(Shells!$C$2:$C$9,S59)</f>
        <v>32</v>
      </c>
      <c r="V59">
        <f>B59-IF(S59=1,0,INDEX(Shells!$E$2:$E$9,S59-1))</f>
        <v>30</v>
      </c>
      <c r="W59" t="str">
        <f>IF(V59=U59,"CLOSED_SHELL","OPEN_SHELL")</f>
        <v>OPEN_SHELL</v>
      </c>
      <c r="X59">
        <f>Constants!$B$11</f>
        <v>9.266927083333333333333333333333333333333333333333333333333333333333333333333333333333333333333333333</v>
      </c>
      <c r="Y59">
        <f>H59-B59</f>
        <v>19</v>
      </c>
      <c r="Z59">
        <f>B59*Constants!$B$11+Y59*Constants!$B$12</f>
        <v>537.7786458333333333333333333333333333333333333333333333333333333333333333333333333333333333333333333</v>
      </c>
      <c r="AA59">
        <f>Z59*Constants!$B$5</f>
        <v>4302.229166666666666666666666666666666666666666666666666666666666666666666666666666666666666666666667</v>
      </c>
      <c r="AB59">
        <f>Z59*7</f>
        <v>3764.450520833333333333333333333333333333333333333333333333333333333333333333333333333333333333333333</v>
      </c>
      <c r="AC59" t="str">
        <f>IF(B59&gt;Constants!$B$6-Constants!$B$5,"CONSTANT_FRONTIER_TAIL_Z119_Z126","CONSTANT_NATIVE_SURFACE_Z001_Z118")</f>
        <v>CONSTANT_NATIVE_SURFACE_Z001_Z118</v>
      </c>
      <c r="AD59" t="str">
        <f>IF(B59&gt;Constants!$B$6-Constants!$B$5,"CONSTANT_FRONTIER_TAIL_CANDIDATE",IF(G59=0,"CONSTANT_STABLE_ANCHOR_LANE",IF(G59=Constants!$B$2/2,"CONSTANT_HALF_WRITE_LANE","CONSTANT_BOUND_LADDER_LANE")))</f>
        <v>CONSTANT_BOUND_LADDER_LANE</v>
      </c>
    </row>
    <row r="60">
      <c r="A60" t="str">
        <f>"E"&amp;TEXT(B60,"000")</f>
        <v>E059</v>
      </c>
      <c r="B60">
        <f>ROW()-1</f>
        <v>59</v>
      </c>
      <c r="C60">
        <f>INT((B60-1)/Constants!$B$2)+1</f>
        <v>5</v>
      </c>
      <c r="D60">
        <f>MOD(B60-1,Constants!$B$2)+1</f>
        <v>11</v>
      </c>
      <c r="E60">
        <f>MAX(0,C60-1)</f>
        <v>4</v>
      </c>
      <c r="F60">
        <f>INT(B60*E60/Constants!$B$2)</f>
        <v>19</v>
      </c>
      <c r="G60">
        <f>MOD(B60*E60,Constants!$B$2)</f>
        <v>8</v>
      </c>
      <c r="H60">
        <f>B60+F60</f>
        <v>78</v>
      </c>
      <c r="I60">
        <f>B60+H60</f>
        <v>137</v>
      </c>
      <c r="J60">
        <f>B60</f>
        <v>59</v>
      </c>
      <c r="K60">
        <f>H60</f>
        <v>78</v>
      </c>
      <c r="L60">
        <f>B60</f>
        <v>59</v>
      </c>
      <c r="M60">
        <f>J60+K60+L60</f>
        <v>196</v>
      </c>
      <c r="N60">
        <f>2*B60+H60</f>
        <v>196</v>
      </c>
      <c r="O60">
        <f>B60+2*H60</f>
        <v>215</v>
      </c>
      <c r="P60">
        <f>B60</f>
        <v>59</v>
      </c>
      <c r="Q60" t="str">
        <f>B60&amp;"p+"&amp;H60&amp;"n+"&amp;B60&amp;"e"</f>
        <v>59p+78n+59e</v>
      </c>
      <c r="R60" t="str">
        <f>N60&amp;"u+"&amp;O60&amp;"d+"&amp;P60&amp;"e"</f>
        <v>196u+215d+59e</v>
      </c>
      <c r="S60">
        <f>COUNTIF(Shells!$E$2:$E$9,"&lt;"&amp;B60)+1</f>
        <v>4</v>
      </c>
      <c r="T60">
        <f>INDEX(Shells!$B$2:$B$9,S60)</f>
        <v>4</v>
      </c>
      <c r="U60">
        <f>INDEX(Shells!$C$2:$C$9,S60)</f>
        <v>32</v>
      </c>
      <c r="V60">
        <f>B60-IF(S60=1,0,INDEX(Shells!$E$2:$E$9,S60-1))</f>
        <v>31</v>
      </c>
      <c r="W60" t="str">
        <f>IF(V60=U60,"CLOSED_SHELL","OPEN_SHELL")</f>
        <v>OPEN_SHELL</v>
      </c>
      <c r="X60">
        <f>Constants!$B$11</f>
        <v>9.266927083333333333333333333333333333333333333333333333333333333333333333333333333333333333333333333</v>
      </c>
      <c r="Y60">
        <f>H60-B60</f>
        <v>19</v>
      </c>
      <c r="Z60">
        <f>B60*Constants!$B$11+Y60*Constants!$B$12</f>
        <v>547.0455729166666666666666666666666666666666666666666666666666666666666666666666666666666666666666667</v>
      </c>
      <c r="AA60">
        <f>Z60*Constants!$B$5</f>
        <v>4376.364583333333333333333333333333333333333333333333333333333333333333333333333333333333333333333333</v>
      </c>
      <c r="AB60">
        <f>Z60*7</f>
        <v>3829.319010416666666666666666666666666666666666666666666666666666666666666666666666666666666666666667</v>
      </c>
      <c r="AC60" t="str">
        <f>IF(B60&gt;Constants!$B$6-Constants!$B$5,"CONSTANT_FRONTIER_TAIL_Z119_Z126","CONSTANT_NATIVE_SURFACE_Z001_Z118")</f>
        <v>CONSTANT_NATIVE_SURFACE_Z001_Z118</v>
      </c>
      <c r="AD60" t="str">
        <f>IF(B60&gt;Constants!$B$6-Constants!$B$5,"CONSTANT_FRONTIER_TAIL_CANDIDATE",IF(G60=0,"CONSTANT_STABLE_ANCHOR_LANE",IF(G60=Constants!$B$2/2,"CONSTANT_HALF_WRITE_LANE","CONSTANT_BOUND_LADDER_LANE")))</f>
        <v>CONSTANT_BOUND_LADDER_LANE</v>
      </c>
    </row>
    <row r="61">
      <c r="A61" t="str">
        <f>"E"&amp;TEXT(B61,"000")</f>
        <v>E060</v>
      </c>
      <c r="B61">
        <f>ROW()-1</f>
        <v>60</v>
      </c>
      <c r="C61">
        <f>INT((B61-1)/Constants!$B$2)+1</f>
        <v>5</v>
      </c>
      <c r="D61">
        <f>MOD(B61-1,Constants!$B$2)+1</f>
        <v>12</v>
      </c>
      <c r="E61">
        <f>MAX(0,C61-1)</f>
        <v>4</v>
      </c>
      <c r="F61">
        <f>INT(B61*E61/Constants!$B$2)</f>
        <v>20</v>
      </c>
      <c r="G61">
        <f>MOD(B61*E61,Constants!$B$2)</f>
        <v>0</v>
      </c>
      <c r="H61">
        <f>B61+F61</f>
        <v>80</v>
      </c>
      <c r="I61">
        <f>B61+H61</f>
        <v>140</v>
      </c>
      <c r="J61">
        <f>B61</f>
        <v>60</v>
      </c>
      <c r="K61">
        <f>H61</f>
        <v>80</v>
      </c>
      <c r="L61">
        <f>B61</f>
        <v>60</v>
      </c>
      <c r="M61">
        <f>J61+K61+L61</f>
        <v>200</v>
      </c>
      <c r="N61">
        <f>2*B61+H61</f>
        <v>200</v>
      </c>
      <c r="O61">
        <f>B61+2*H61</f>
        <v>220</v>
      </c>
      <c r="P61">
        <f>B61</f>
        <v>60</v>
      </c>
      <c r="Q61" t="str">
        <f>B61&amp;"p+"&amp;H61&amp;"n+"&amp;B61&amp;"e"</f>
        <v>60p+80n+60e</v>
      </c>
      <c r="R61" t="str">
        <f>N61&amp;"u+"&amp;O61&amp;"d+"&amp;P61&amp;"e"</f>
        <v>200u+220d+60e</v>
      </c>
      <c r="S61">
        <f>COUNTIF(Shells!$E$2:$E$9,"&lt;"&amp;B61)+1</f>
        <v>4</v>
      </c>
      <c r="T61">
        <f>INDEX(Shells!$B$2:$B$9,S61)</f>
        <v>4</v>
      </c>
      <c r="U61">
        <f>INDEX(Shells!$C$2:$C$9,S61)</f>
        <v>32</v>
      </c>
      <c r="V61">
        <f>B61-IF(S61=1,0,INDEX(Shells!$E$2:$E$9,S61-1))</f>
        <v>32</v>
      </c>
      <c r="W61" t="str">
        <f>IF(V61=U61,"CLOSED_SHELL","OPEN_SHELL")</f>
        <v>CLOSED_SHELL</v>
      </c>
      <c r="X61">
        <f>Constants!$B$11</f>
        <v>9.266927083333333333333333333333333333333333333333333333333333333333333333333333333333333333333333333</v>
      </c>
      <c r="Y61">
        <f>H61-B61</f>
        <v>20</v>
      </c>
      <c r="Z61">
        <f>B61*Constants!$B$11+Y61*Constants!$B$12</f>
        <v>556.328125</v>
      </c>
      <c r="AA61">
        <f>Z61*Constants!$B$5</f>
        <v>4450.625</v>
      </c>
      <c r="AB61">
        <f>Z61*7</f>
        <v>3894.296875</v>
      </c>
      <c r="AC61" t="str">
        <f>IF(B61&gt;Constants!$B$6-Constants!$B$5,"CONSTANT_FRONTIER_TAIL_Z119_Z126","CONSTANT_NATIVE_SURFACE_Z001_Z118")</f>
        <v>CONSTANT_NATIVE_SURFACE_Z001_Z118</v>
      </c>
      <c r="AD61" t="str">
        <f>IF(B61&gt;Constants!$B$6-Constants!$B$5,"CONSTANT_FRONTIER_TAIL_CANDIDATE",IF(G61=0,"CONSTANT_STABLE_ANCHOR_LANE",IF(G61=Constants!$B$2/2,"CONSTANT_HALF_WRITE_LANE","CONSTANT_BOUND_LADDER_LANE")))</f>
        <v>CONSTANT_STABLE_ANCHOR_LANE</v>
      </c>
    </row>
    <row r="62">
      <c r="A62" t="str">
        <f>"E"&amp;TEXT(B62,"000")</f>
        <v>E061</v>
      </c>
      <c r="B62">
        <f>ROW()-1</f>
        <v>61</v>
      </c>
      <c r="C62">
        <f>INT((B62-1)/Constants!$B$2)+1</f>
        <v>6</v>
      </c>
      <c r="D62">
        <f>MOD(B62-1,Constants!$B$2)+1</f>
        <v>1</v>
      </c>
      <c r="E62">
        <f>MAX(0,C62-1)</f>
        <v>5</v>
      </c>
      <c r="F62">
        <f>INT(B62*E62/Constants!$B$2)</f>
        <v>25</v>
      </c>
      <c r="G62">
        <f>MOD(B62*E62,Constants!$B$2)</f>
        <v>5</v>
      </c>
      <c r="H62">
        <f>B62+F62</f>
        <v>86</v>
      </c>
      <c r="I62">
        <f>B62+H62</f>
        <v>147</v>
      </c>
      <c r="J62">
        <f>B62</f>
        <v>61</v>
      </c>
      <c r="K62">
        <f>H62</f>
        <v>86</v>
      </c>
      <c r="L62">
        <f>B62</f>
        <v>61</v>
      </c>
      <c r="M62">
        <f>J62+K62+L62</f>
        <v>208</v>
      </c>
      <c r="N62">
        <f>2*B62+H62</f>
        <v>208</v>
      </c>
      <c r="O62">
        <f>B62+2*H62</f>
        <v>233</v>
      </c>
      <c r="P62">
        <f>B62</f>
        <v>61</v>
      </c>
      <c r="Q62" t="str">
        <f>B62&amp;"p+"&amp;H62&amp;"n+"&amp;B62&amp;"e"</f>
        <v>61p+86n+61e</v>
      </c>
      <c r="R62" t="str">
        <f>N62&amp;"u+"&amp;O62&amp;"d+"&amp;P62&amp;"e"</f>
        <v>208u+233d+61e</v>
      </c>
      <c r="S62">
        <f>COUNTIF(Shells!$E$2:$E$9,"&lt;"&amp;B62)+1</f>
        <v>5</v>
      </c>
      <c r="T62">
        <f>INDEX(Shells!$B$2:$B$9,S62)</f>
        <v>4</v>
      </c>
      <c r="U62">
        <f>INDEX(Shells!$C$2:$C$9,S62)</f>
        <v>32</v>
      </c>
      <c r="V62">
        <f>B62-IF(S62=1,0,INDEX(Shells!$E$2:$E$9,S62-1))</f>
        <v>1</v>
      </c>
      <c r="W62" t="str">
        <f>IF(V62=U62,"CLOSED_SHELL","OPEN_SHELL")</f>
        <v>OPEN_SHELL</v>
      </c>
      <c r="X62">
        <f>Constants!$B$11</f>
        <v>9.266927083333333333333333333333333333333333333333333333333333333333333333333333333333333333333333333</v>
      </c>
      <c r="Y62">
        <f>H62-B62</f>
        <v>25</v>
      </c>
      <c r="Z62">
        <f>B62*Constants!$B$11+Y62*Constants!$B$12</f>
        <v>565.6731770833333333333333333333333333333333333333333333333333333333333333333333333333333333333333333</v>
      </c>
      <c r="AA62">
        <f>Z62*Constants!$B$5</f>
        <v>4525.385416666666666666666666666666666666666666666666666666666666666666666666666666666666666666666667</v>
      </c>
      <c r="AB62">
        <f>Z62*7</f>
        <v>3959.712239583333333333333333333333333333333333333333333333333333333333333333333333333333333333333333</v>
      </c>
      <c r="AC62" t="str">
        <f>IF(B62&gt;Constants!$B$6-Constants!$B$5,"CONSTANT_FRONTIER_TAIL_Z119_Z126","CONSTANT_NATIVE_SURFACE_Z001_Z118")</f>
        <v>CONSTANT_NATIVE_SURFACE_Z001_Z118</v>
      </c>
      <c r="AD62" t="str">
        <f>IF(B62&gt;Constants!$B$6-Constants!$B$5,"CONSTANT_FRONTIER_TAIL_CANDIDATE",IF(G62=0,"CONSTANT_STABLE_ANCHOR_LANE",IF(G62=Constants!$B$2/2,"CONSTANT_HALF_WRITE_LANE","CONSTANT_BOUND_LADDER_LANE")))</f>
        <v>CONSTANT_BOUND_LADDER_LANE</v>
      </c>
    </row>
    <row r="63">
      <c r="A63" t="str">
        <f>"E"&amp;TEXT(B63,"000")</f>
        <v>E062</v>
      </c>
      <c r="B63">
        <f>ROW()-1</f>
        <v>62</v>
      </c>
      <c r="C63">
        <f>INT((B63-1)/Constants!$B$2)+1</f>
        <v>6</v>
      </c>
      <c r="D63">
        <f>MOD(B63-1,Constants!$B$2)+1</f>
        <v>2</v>
      </c>
      <c r="E63">
        <f>MAX(0,C63-1)</f>
        <v>5</v>
      </c>
      <c r="F63">
        <f>INT(B63*E63/Constants!$B$2)</f>
        <v>25</v>
      </c>
      <c r="G63">
        <f>MOD(B63*E63,Constants!$B$2)</f>
        <v>10</v>
      </c>
      <c r="H63">
        <f>B63+F63</f>
        <v>87</v>
      </c>
      <c r="I63">
        <f>B63+H63</f>
        <v>149</v>
      </c>
      <c r="J63">
        <f>B63</f>
        <v>62</v>
      </c>
      <c r="K63">
        <f>H63</f>
        <v>87</v>
      </c>
      <c r="L63">
        <f>B63</f>
        <v>62</v>
      </c>
      <c r="M63">
        <f>J63+K63+L63</f>
        <v>211</v>
      </c>
      <c r="N63">
        <f>2*B63+H63</f>
        <v>211</v>
      </c>
      <c r="O63">
        <f>B63+2*H63</f>
        <v>236</v>
      </c>
      <c r="P63">
        <f>B63</f>
        <v>62</v>
      </c>
      <c r="Q63" t="str">
        <f>B63&amp;"p+"&amp;H63&amp;"n+"&amp;B63&amp;"e"</f>
        <v>62p+87n+62e</v>
      </c>
      <c r="R63" t="str">
        <f>N63&amp;"u+"&amp;O63&amp;"d+"&amp;P63&amp;"e"</f>
        <v>211u+236d+62e</v>
      </c>
      <c r="S63">
        <f>COUNTIF(Shells!$E$2:$E$9,"&lt;"&amp;B63)+1</f>
        <v>5</v>
      </c>
      <c r="T63">
        <f>INDEX(Shells!$B$2:$B$9,S63)</f>
        <v>4</v>
      </c>
      <c r="U63">
        <f>INDEX(Shells!$C$2:$C$9,S63)</f>
        <v>32</v>
      </c>
      <c r="V63">
        <f>B63-IF(S63=1,0,INDEX(Shells!$E$2:$E$9,S63-1))</f>
        <v>2</v>
      </c>
      <c r="W63" t="str">
        <f>IF(V63=U63,"CLOSED_SHELL","OPEN_SHELL")</f>
        <v>OPEN_SHELL</v>
      </c>
      <c r="X63">
        <f>Constants!$B$11</f>
        <v>9.266927083333333333333333333333333333333333333333333333333333333333333333333333333333333333333333333</v>
      </c>
      <c r="Y63">
        <f>H63-B63</f>
        <v>25</v>
      </c>
      <c r="Z63">
        <f>B63*Constants!$B$11+Y63*Constants!$B$12</f>
        <v>574.9401041666666666666666666666666666666666666666666666666666666666666666666666666666666666666666667</v>
      </c>
      <c r="AA63">
        <f>Z63*Constants!$B$5</f>
        <v>4599.520833333333333333333333333333333333333333333333333333333333333333333333333333333333333333333333</v>
      </c>
      <c r="AB63">
        <f>Z63*7</f>
        <v>4024.580729166666666666666666666666666666666666666666666666666666666666666666666666666666666666666667</v>
      </c>
      <c r="AC63" t="str">
        <f>IF(B63&gt;Constants!$B$6-Constants!$B$5,"CONSTANT_FRONTIER_TAIL_Z119_Z126","CONSTANT_NATIVE_SURFACE_Z001_Z118")</f>
        <v>CONSTANT_NATIVE_SURFACE_Z001_Z118</v>
      </c>
      <c r="AD63" t="str">
        <f>IF(B63&gt;Constants!$B$6-Constants!$B$5,"CONSTANT_FRONTIER_TAIL_CANDIDATE",IF(G63=0,"CONSTANT_STABLE_ANCHOR_LANE",IF(G63=Constants!$B$2/2,"CONSTANT_HALF_WRITE_LANE","CONSTANT_BOUND_LADDER_LANE")))</f>
        <v>CONSTANT_BOUND_LADDER_LANE</v>
      </c>
    </row>
    <row r="64">
      <c r="A64" t="str">
        <f>"E"&amp;TEXT(B64,"000")</f>
        <v>E063</v>
      </c>
      <c r="B64">
        <f>ROW()-1</f>
        <v>63</v>
      </c>
      <c r="C64">
        <f>INT((B64-1)/Constants!$B$2)+1</f>
        <v>6</v>
      </c>
      <c r="D64">
        <f>MOD(B64-1,Constants!$B$2)+1</f>
        <v>3</v>
      </c>
      <c r="E64">
        <f>MAX(0,C64-1)</f>
        <v>5</v>
      </c>
      <c r="F64">
        <f>INT(B64*E64/Constants!$B$2)</f>
        <v>26</v>
      </c>
      <c r="G64">
        <f>MOD(B64*E64,Constants!$B$2)</f>
        <v>3</v>
      </c>
      <c r="H64">
        <f>B64+F64</f>
        <v>89</v>
      </c>
      <c r="I64">
        <f>B64+H64</f>
        <v>152</v>
      </c>
      <c r="J64">
        <f>B64</f>
        <v>63</v>
      </c>
      <c r="K64">
        <f>H64</f>
        <v>89</v>
      </c>
      <c r="L64">
        <f>B64</f>
        <v>63</v>
      </c>
      <c r="M64">
        <f>J64+K64+L64</f>
        <v>215</v>
      </c>
      <c r="N64">
        <f>2*B64+H64</f>
        <v>215</v>
      </c>
      <c r="O64">
        <f>B64+2*H64</f>
        <v>241</v>
      </c>
      <c r="P64">
        <f>B64</f>
        <v>63</v>
      </c>
      <c r="Q64" t="str">
        <f>B64&amp;"p+"&amp;H64&amp;"n+"&amp;B64&amp;"e"</f>
        <v>63p+89n+63e</v>
      </c>
      <c r="R64" t="str">
        <f>N64&amp;"u+"&amp;O64&amp;"d+"&amp;P64&amp;"e"</f>
        <v>215u+241d+63e</v>
      </c>
      <c r="S64">
        <f>COUNTIF(Shells!$E$2:$E$9,"&lt;"&amp;B64)+1</f>
        <v>5</v>
      </c>
      <c r="T64">
        <f>INDEX(Shells!$B$2:$B$9,S64)</f>
        <v>4</v>
      </c>
      <c r="U64">
        <f>INDEX(Shells!$C$2:$C$9,S64)</f>
        <v>32</v>
      </c>
      <c r="V64">
        <f>B64-IF(S64=1,0,INDEX(Shells!$E$2:$E$9,S64-1))</f>
        <v>3</v>
      </c>
      <c r="W64" t="str">
        <f>IF(V64=U64,"CLOSED_SHELL","OPEN_SHELL")</f>
        <v>OPEN_SHELL</v>
      </c>
      <c r="X64">
        <f>Constants!$B$11</f>
        <v>9.266927083333333333333333333333333333333333333333333333333333333333333333333333333333333333333333333</v>
      </c>
      <c r="Y64">
        <f>H64-B64</f>
        <v>26</v>
      </c>
      <c r="Z64">
        <f>B64*Constants!$B$11+Y64*Constants!$B$12</f>
        <v>584.22265625</v>
      </c>
      <c r="AA64">
        <f>Z64*Constants!$B$5</f>
        <v>4673.78125</v>
      </c>
      <c r="AB64">
        <f>Z64*7</f>
        <v>4089.55859375</v>
      </c>
      <c r="AC64" t="str">
        <f>IF(B64&gt;Constants!$B$6-Constants!$B$5,"CONSTANT_FRONTIER_TAIL_Z119_Z126","CONSTANT_NATIVE_SURFACE_Z001_Z118")</f>
        <v>CONSTANT_NATIVE_SURFACE_Z001_Z118</v>
      </c>
      <c r="AD64" t="str">
        <f>IF(B64&gt;Constants!$B$6-Constants!$B$5,"CONSTANT_FRONTIER_TAIL_CANDIDATE",IF(G64=0,"CONSTANT_STABLE_ANCHOR_LANE",IF(G64=Constants!$B$2/2,"CONSTANT_HALF_WRITE_LANE","CONSTANT_BOUND_LADDER_LANE")))</f>
        <v>CONSTANT_BOUND_LADDER_LANE</v>
      </c>
    </row>
    <row r="65">
      <c r="A65" t="str">
        <f>"E"&amp;TEXT(B65,"000")</f>
        <v>E064</v>
      </c>
      <c r="B65">
        <f>ROW()-1</f>
        <v>64</v>
      </c>
      <c r="C65">
        <f>INT((B65-1)/Constants!$B$2)+1</f>
        <v>6</v>
      </c>
      <c r="D65">
        <f>MOD(B65-1,Constants!$B$2)+1</f>
        <v>4</v>
      </c>
      <c r="E65">
        <f>MAX(0,C65-1)</f>
        <v>5</v>
      </c>
      <c r="F65">
        <f>INT(B65*E65/Constants!$B$2)</f>
        <v>26</v>
      </c>
      <c r="G65">
        <f>MOD(B65*E65,Constants!$B$2)</f>
        <v>8</v>
      </c>
      <c r="H65">
        <f>B65+F65</f>
        <v>90</v>
      </c>
      <c r="I65">
        <f>B65+H65</f>
        <v>154</v>
      </c>
      <c r="J65">
        <f>B65</f>
        <v>64</v>
      </c>
      <c r="K65">
        <f>H65</f>
        <v>90</v>
      </c>
      <c r="L65">
        <f>B65</f>
        <v>64</v>
      </c>
      <c r="M65">
        <f>J65+K65+L65</f>
        <v>218</v>
      </c>
      <c r="N65">
        <f>2*B65+H65</f>
        <v>218</v>
      </c>
      <c r="O65">
        <f>B65+2*H65</f>
        <v>244</v>
      </c>
      <c r="P65">
        <f>B65</f>
        <v>64</v>
      </c>
      <c r="Q65" t="str">
        <f>B65&amp;"p+"&amp;H65&amp;"n+"&amp;B65&amp;"e"</f>
        <v>64p+90n+64e</v>
      </c>
      <c r="R65" t="str">
        <f>N65&amp;"u+"&amp;O65&amp;"d+"&amp;P65&amp;"e"</f>
        <v>218u+244d+64e</v>
      </c>
      <c r="S65">
        <f>COUNTIF(Shells!$E$2:$E$9,"&lt;"&amp;B65)+1</f>
        <v>5</v>
      </c>
      <c r="T65">
        <f>INDEX(Shells!$B$2:$B$9,S65)</f>
        <v>4</v>
      </c>
      <c r="U65">
        <f>INDEX(Shells!$C$2:$C$9,S65)</f>
        <v>32</v>
      </c>
      <c r="V65">
        <f>B65-IF(S65=1,0,INDEX(Shells!$E$2:$E$9,S65-1))</f>
        <v>4</v>
      </c>
      <c r="W65" t="str">
        <f>IF(V65=U65,"CLOSED_SHELL","OPEN_SHELL")</f>
        <v>OPEN_SHELL</v>
      </c>
      <c r="X65">
        <f>Constants!$B$11</f>
        <v>9.266927083333333333333333333333333333333333333333333333333333333333333333333333333333333333333333333</v>
      </c>
      <c r="Y65">
        <f>H65-B65</f>
        <v>26</v>
      </c>
      <c r="Z65">
        <f>B65*Constants!$B$11+Y65*Constants!$B$12</f>
        <v>593.4895833333333333333333333333333333333333333333333333333333333333333333333333333333333333333333333</v>
      </c>
      <c r="AA65">
        <f>Z65*Constants!$B$5</f>
        <v>4747.916666666666666666666666666666666666666666666666666666666666666666666666666666666666666666666667</v>
      </c>
      <c r="AB65">
        <f>Z65*7</f>
        <v>4154.427083333333333333333333333333333333333333333333333333333333333333333333333333333333333333333333</v>
      </c>
      <c r="AC65" t="str">
        <f>IF(B65&gt;Constants!$B$6-Constants!$B$5,"CONSTANT_FRONTIER_TAIL_Z119_Z126","CONSTANT_NATIVE_SURFACE_Z001_Z118")</f>
        <v>CONSTANT_NATIVE_SURFACE_Z001_Z118</v>
      </c>
      <c r="AD65" t="str">
        <f>IF(B65&gt;Constants!$B$6-Constants!$B$5,"CONSTANT_FRONTIER_TAIL_CANDIDATE",IF(G65=0,"CONSTANT_STABLE_ANCHOR_LANE",IF(G65=Constants!$B$2/2,"CONSTANT_HALF_WRITE_LANE","CONSTANT_BOUND_LADDER_LANE")))</f>
        <v>CONSTANT_BOUND_LADDER_LANE</v>
      </c>
    </row>
    <row r="66">
      <c r="A66" t="str">
        <f>"E"&amp;TEXT(B66,"000")</f>
        <v>E065</v>
      </c>
      <c r="B66">
        <f>ROW()-1</f>
        <v>65</v>
      </c>
      <c r="C66">
        <f>INT((B66-1)/Constants!$B$2)+1</f>
        <v>6</v>
      </c>
      <c r="D66">
        <f>MOD(B66-1,Constants!$B$2)+1</f>
        <v>5</v>
      </c>
      <c r="E66">
        <f>MAX(0,C66-1)</f>
        <v>5</v>
      </c>
      <c r="F66">
        <f>INT(B66*E66/Constants!$B$2)</f>
        <v>27</v>
      </c>
      <c r="G66">
        <f>MOD(B66*E66,Constants!$B$2)</f>
        <v>1</v>
      </c>
      <c r="H66">
        <f>B66+F66</f>
        <v>92</v>
      </c>
      <c r="I66">
        <f>B66+H66</f>
        <v>157</v>
      </c>
      <c r="J66">
        <f>B66</f>
        <v>65</v>
      </c>
      <c r="K66">
        <f>H66</f>
        <v>92</v>
      </c>
      <c r="L66">
        <f>B66</f>
        <v>65</v>
      </c>
      <c r="M66">
        <f>J66+K66+L66</f>
        <v>222</v>
      </c>
      <c r="N66">
        <f>2*B66+H66</f>
        <v>222</v>
      </c>
      <c r="O66">
        <f>B66+2*H66</f>
        <v>249</v>
      </c>
      <c r="P66">
        <f>B66</f>
        <v>65</v>
      </c>
      <c r="Q66" t="str">
        <f>B66&amp;"p+"&amp;H66&amp;"n+"&amp;B66&amp;"e"</f>
        <v>65p+92n+65e</v>
      </c>
      <c r="R66" t="str">
        <f>N66&amp;"u+"&amp;O66&amp;"d+"&amp;P66&amp;"e"</f>
        <v>222u+249d+65e</v>
      </c>
      <c r="S66">
        <f>COUNTIF(Shells!$E$2:$E$9,"&lt;"&amp;B66)+1</f>
        <v>5</v>
      </c>
      <c r="T66">
        <f>INDEX(Shells!$B$2:$B$9,S66)</f>
        <v>4</v>
      </c>
      <c r="U66">
        <f>INDEX(Shells!$C$2:$C$9,S66)</f>
        <v>32</v>
      </c>
      <c r="V66">
        <f>B66-IF(S66=1,0,INDEX(Shells!$E$2:$E$9,S66-1))</f>
        <v>5</v>
      </c>
      <c r="W66" t="str">
        <f>IF(V66=U66,"CLOSED_SHELL","OPEN_SHELL")</f>
        <v>OPEN_SHELL</v>
      </c>
      <c r="X66">
        <f>Constants!$B$11</f>
        <v>9.266927083333333333333333333333333333333333333333333333333333333333333333333333333333333333333333333</v>
      </c>
      <c r="Y66">
        <f>H66-B66</f>
        <v>27</v>
      </c>
      <c r="Z66">
        <f>B66*Constants!$B$11+Y66*Constants!$B$12</f>
        <v>602.7721354166666666666666666666666666666666666666666666666666666666666666666666666666666666666666667</v>
      </c>
      <c r="AA66">
        <f>Z66*Constants!$B$5</f>
        <v>4822.177083333333333333333333333333333333333333333333333333333333333333333333333333333333333333333333</v>
      </c>
      <c r="AB66">
        <f>Z66*7</f>
        <v>4219.404947916666666666666666666666666666666666666666666666666666666666666666666666666666666666666667</v>
      </c>
      <c r="AC66" t="str">
        <f>IF(B66&gt;Constants!$B$6-Constants!$B$5,"CONSTANT_FRONTIER_TAIL_Z119_Z126","CONSTANT_NATIVE_SURFACE_Z001_Z118")</f>
        <v>CONSTANT_NATIVE_SURFACE_Z001_Z118</v>
      </c>
      <c r="AD66" t="str">
        <f>IF(B66&gt;Constants!$B$6-Constants!$B$5,"CONSTANT_FRONTIER_TAIL_CANDIDATE",IF(G66=0,"CONSTANT_STABLE_ANCHOR_LANE",IF(G66=Constants!$B$2/2,"CONSTANT_HALF_WRITE_LANE","CONSTANT_BOUND_LADDER_LANE")))</f>
        <v>CONSTANT_BOUND_LADDER_LANE</v>
      </c>
    </row>
    <row r="67">
      <c r="A67" t="str">
        <f>"E"&amp;TEXT(B67,"000")</f>
        <v>E066</v>
      </c>
      <c r="B67">
        <f>ROW()-1</f>
        <v>66</v>
      </c>
      <c r="C67">
        <f>INT((B67-1)/Constants!$B$2)+1</f>
        <v>6</v>
      </c>
      <c r="D67">
        <f>MOD(B67-1,Constants!$B$2)+1</f>
        <v>6</v>
      </c>
      <c r="E67">
        <f>MAX(0,C67-1)</f>
        <v>5</v>
      </c>
      <c r="F67">
        <f>INT(B67*E67/Constants!$B$2)</f>
        <v>27</v>
      </c>
      <c r="G67">
        <f>MOD(B67*E67,Constants!$B$2)</f>
        <v>6</v>
      </c>
      <c r="H67">
        <f>B67+F67</f>
        <v>93</v>
      </c>
      <c r="I67">
        <f>B67+H67</f>
        <v>159</v>
      </c>
      <c r="J67">
        <f>B67</f>
        <v>66</v>
      </c>
      <c r="K67">
        <f>H67</f>
        <v>93</v>
      </c>
      <c r="L67">
        <f>B67</f>
        <v>66</v>
      </c>
      <c r="M67">
        <f>J67+K67+L67</f>
        <v>225</v>
      </c>
      <c r="N67">
        <f>2*B67+H67</f>
        <v>225</v>
      </c>
      <c r="O67">
        <f>B67+2*H67</f>
        <v>252</v>
      </c>
      <c r="P67">
        <f>B67</f>
        <v>66</v>
      </c>
      <c r="Q67" t="str">
        <f>B67&amp;"p+"&amp;H67&amp;"n+"&amp;B67&amp;"e"</f>
        <v>66p+93n+66e</v>
      </c>
      <c r="R67" t="str">
        <f>N67&amp;"u+"&amp;O67&amp;"d+"&amp;P67&amp;"e"</f>
        <v>225u+252d+66e</v>
      </c>
      <c r="S67">
        <f>COUNTIF(Shells!$E$2:$E$9,"&lt;"&amp;B67)+1</f>
        <v>5</v>
      </c>
      <c r="T67">
        <f>INDEX(Shells!$B$2:$B$9,S67)</f>
        <v>4</v>
      </c>
      <c r="U67">
        <f>INDEX(Shells!$C$2:$C$9,S67)</f>
        <v>32</v>
      </c>
      <c r="V67">
        <f>B67-IF(S67=1,0,INDEX(Shells!$E$2:$E$9,S67-1))</f>
        <v>6</v>
      </c>
      <c r="W67" t="str">
        <f>IF(V67=U67,"CLOSED_SHELL","OPEN_SHELL")</f>
        <v>OPEN_SHELL</v>
      </c>
      <c r="X67">
        <f>Constants!$B$11</f>
        <v>9.266927083333333333333333333333333333333333333333333333333333333333333333333333333333333333333333333</v>
      </c>
      <c r="Y67">
        <f>H67-B67</f>
        <v>27</v>
      </c>
      <c r="Z67">
        <f>B67*Constants!$B$11+Y67*Constants!$B$12</f>
        <v>612.0390625</v>
      </c>
      <c r="AA67">
        <f>Z67*Constants!$B$5</f>
        <v>4896.3125</v>
      </c>
      <c r="AB67">
        <f>Z67*7</f>
        <v>4284.2734375</v>
      </c>
      <c r="AC67" t="str">
        <f>IF(B67&gt;Constants!$B$6-Constants!$B$5,"CONSTANT_FRONTIER_TAIL_Z119_Z126","CONSTANT_NATIVE_SURFACE_Z001_Z118")</f>
        <v>CONSTANT_NATIVE_SURFACE_Z001_Z118</v>
      </c>
      <c r="AD67" t="str">
        <f>IF(B67&gt;Constants!$B$6-Constants!$B$5,"CONSTANT_FRONTIER_TAIL_CANDIDATE",IF(G67=0,"CONSTANT_STABLE_ANCHOR_LANE",IF(G67=Constants!$B$2/2,"CONSTANT_HALF_WRITE_LANE","CONSTANT_BOUND_LADDER_LANE")))</f>
        <v>CONSTANT_HALF_WRITE_LANE</v>
      </c>
    </row>
    <row r="68">
      <c r="A68" t="str">
        <f>"E"&amp;TEXT(B68,"000")</f>
        <v>E067</v>
      </c>
      <c r="B68">
        <f>ROW()-1</f>
        <v>67</v>
      </c>
      <c r="C68">
        <f>INT((B68-1)/Constants!$B$2)+1</f>
        <v>6</v>
      </c>
      <c r="D68">
        <f>MOD(B68-1,Constants!$B$2)+1</f>
        <v>7</v>
      </c>
      <c r="E68">
        <f>MAX(0,C68-1)</f>
        <v>5</v>
      </c>
      <c r="F68">
        <f>INT(B68*E68/Constants!$B$2)</f>
        <v>27</v>
      </c>
      <c r="G68">
        <f>MOD(B68*E68,Constants!$B$2)</f>
        <v>11</v>
      </c>
      <c r="H68">
        <f>B68+F68</f>
        <v>94</v>
      </c>
      <c r="I68">
        <f>B68+H68</f>
        <v>161</v>
      </c>
      <c r="J68">
        <f>B68</f>
        <v>67</v>
      </c>
      <c r="K68">
        <f>H68</f>
        <v>94</v>
      </c>
      <c r="L68">
        <f>B68</f>
        <v>67</v>
      </c>
      <c r="M68">
        <f>J68+K68+L68</f>
        <v>228</v>
      </c>
      <c r="N68">
        <f>2*B68+H68</f>
        <v>228</v>
      </c>
      <c r="O68">
        <f>B68+2*H68</f>
        <v>255</v>
      </c>
      <c r="P68">
        <f>B68</f>
        <v>67</v>
      </c>
      <c r="Q68" t="str">
        <f>B68&amp;"p+"&amp;H68&amp;"n+"&amp;B68&amp;"e"</f>
        <v>67p+94n+67e</v>
      </c>
      <c r="R68" t="str">
        <f>N68&amp;"u+"&amp;O68&amp;"d+"&amp;P68&amp;"e"</f>
        <v>228u+255d+67e</v>
      </c>
      <c r="S68">
        <f>COUNTIF(Shells!$E$2:$E$9,"&lt;"&amp;B68)+1</f>
        <v>5</v>
      </c>
      <c r="T68">
        <f>INDEX(Shells!$B$2:$B$9,S68)</f>
        <v>4</v>
      </c>
      <c r="U68">
        <f>INDEX(Shells!$C$2:$C$9,S68)</f>
        <v>32</v>
      </c>
      <c r="V68">
        <f>B68-IF(S68=1,0,INDEX(Shells!$E$2:$E$9,S68-1))</f>
        <v>7</v>
      </c>
      <c r="W68" t="str">
        <f>IF(V68=U68,"CLOSED_SHELL","OPEN_SHELL")</f>
        <v>OPEN_SHELL</v>
      </c>
      <c r="X68">
        <f>Constants!$B$11</f>
        <v>9.266927083333333333333333333333333333333333333333333333333333333333333333333333333333333333333333333</v>
      </c>
      <c r="Y68">
        <f>H68-B68</f>
        <v>27</v>
      </c>
      <c r="Z68">
        <f>B68*Constants!$B$11+Y68*Constants!$B$12</f>
        <v>621.3059895833333333333333333333333333333333333333333333333333333333333333333333333333333333333333333</v>
      </c>
      <c r="AA68">
        <f>Z68*Constants!$B$5</f>
        <v>4970.447916666666666666666666666666666666666666666666666666666666666666666666666666666666666666666667</v>
      </c>
      <c r="AB68">
        <f>Z68*7</f>
        <v>4349.141927083333333333333333333333333333333333333333333333333333333333333333333333333333333333333333</v>
      </c>
      <c r="AC68" t="str">
        <f>IF(B68&gt;Constants!$B$6-Constants!$B$5,"CONSTANT_FRONTIER_TAIL_Z119_Z126","CONSTANT_NATIVE_SURFACE_Z001_Z118")</f>
        <v>CONSTANT_NATIVE_SURFACE_Z001_Z118</v>
      </c>
      <c r="AD68" t="str">
        <f>IF(B68&gt;Constants!$B$6-Constants!$B$5,"CONSTANT_FRONTIER_TAIL_CANDIDATE",IF(G68=0,"CONSTANT_STABLE_ANCHOR_LANE",IF(G68=Constants!$B$2/2,"CONSTANT_HALF_WRITE_LANE","CONSTANT_BOUND_LADDER_LANE")))</f>
        <v>CONSTANT_BOUND_LADDER_LANE</v>
      </c>
    </row>
    <row r="69">
      <c r="A69" t="str">
        <f>"E"&amp;TEXT(B69,"000")</f>
        <v>E068</v>
      </c>
      <c r="B69">
        <f>ROW()-1</f>
        <v>68</v>
      </c>
      <c r="C69">
        <f>INT((B69-1)/Constants!$B$2)+1</f>
        <v>6</v>
      </c>
      <c r="D69">
        <f>MOD(B69-1,Constants!$B$2)+1</f>
        <v>8</v>
      </c>
      <c r="E69">
        <f>MAX(0,C69-1)</f>
        <v>5</v>
      </c>
      <c r="F69">
        <f>INT(B69*E69/Constants!$B$2)</f>
        <v>28</v>
      </c>
      <c r="G69">
        <f>MOD(B69*E69,Constants!$B$2)</f>
        <v>4</v>
      </c>
      <c r="H69">
        <f>B69+F69</f>
        <v>96</v>
      </c>
      <c r="I69">
        <f>B69+H69</f>
        <v>164</v>
      </c>
      <c r="J69">
        <f>B69</f>
        <v>68</v>
      </c>
      <c r="K69">
        <f>H69</f>
        <v>96</v>
      </c>
      <c r="L69">
        <f>B69</f>
        <v>68</v>
      </c>
      <c r="M69">
        <f>J69+K69+L69</f>
        <v>232</v>
      </c>
      <c r="N69">
        <f>2*B69+H69</f>
        <v>232</v>
      </c>
      <c r="O69">
        <f>B69+2*H69</f>
        <v>260</v>
      </c>
      <c r="P69">
        <f>B69</f>
        <v>68</v>
      </c>
      <c r="Q69" t="str">
        <f>B69&amp;"p+"&amp;H69&amp;"n+"&amp;B69&amp;"e"</f>
        <v>68p+96n+68e</v>
      </c>
      <c r="R69" t="str">
        <f>N69&amp;"u+"&amp;O69&amp;"d+"&amp;P69&amp;"e"</f>
        <v>232u+260d+68e</v>
      </c>
      <c r="S69">
        <f>COUNTIF(Shells!$E$2:$E$9,"&lt;"&amp;B69)+1</f>
        <v>5</v>
      </c>
      <c r="T69">
        <f>INDEX(Shells!$B$2:$B$9,S69)</f>
        <v>4</v>
      </c>
      <c r="U69">
        <f>INDEX(Shells!$C$2:$C$9,S69)</f>
        <v>32</v>
      </c>
      <c r="V69">
        <f>B69-IF(S69=1,0,INDEX(Shells!$E$2:$E$9,S69-1))</f>
        <v>8</v>
      </c>
      <c r="W69" t="str">
        <f>IF(V69=U69,"CLOSED_SHELL","OPEN_SHELL")</f>
        <v>OPEN_SHELL</v>
      </c>
      <c r="X69">
        <f>Constants!$B$11</f>
        <v>9.266927083333333333333333333333333333333333333333333333333333333333333333333333333333333333333333333</v>
      </c>
      <c r="Y69">
        <f>H69-B69</f>
        <v>28</v>
      </c>
      <c r="Z69">
        <f>B69*Constants!$B$11+Y69*Constants!$B$12</f>
        <v>630.5885416666666666666666666666666666666666666666666666666666666666666666666666666666666666666666667</v>
      </c>
      <c r="AA69">
        <f>Z69*Constants!$B$5</f>
        <v>5044.708333333333333333333333333333333333333333333333333333333333333333333333333333333333333333333333</v>
      </c>
      <c r="AB69">
        <f>Z69*7</f>
        <v>4414.119791666666666666666666666666666666666666666666666666666666666666666666666666666666666666666667</v>
      </c>
      <c r="AC69" t="str">
        <f>IF(B69&gt;Constants!$B$6-Constants!$B$5,"CONSTANT_FRONTIER_TAIL_Z119_Z126","CONSTANT_NATIVE_SURFACE_Z001_Z118")</f>
        <v>CONSTANT_NATIVE_SURFACE_Z001_Z118</v>
      </c>
      <c r="AD69" t="str">
        <f>IF(B69&gt;Constants!$B$6-Constants!$B$5,"CONSTANT_FRONTIER_TAIL_CANDIDATE",IF(G69=0,"CONSTANT_STABLE_ANCHOR_LANE",IF(G69=Constants!$B$2/2,"CONSTANT_HALF_WRITE_LANE","CONSTANT_BOUND_LADDER_LANE")))</f>
        <v>CONSTANT_BOUND_LADDER_LANE</v>
      </c>
    </row>
    <row r="70">
      <c r="A70" t="str">
        <f>"E"&amp;TEXT(B70,"000")</f>
        <v>E069</v>
      </c>
      <c r="B70">
        <f>ROW()-1</f>
        <v>69</v>
      </c>
      <c r="C70">
        <f>INT((B70-1)/Constants!$B$2)+1</f>
        <v>6</v>
      </c>
      <c r="D70">
        <f>MOD(B70-1,Constants!$B$2)+1</f>
        <v>9</v>
      </c>
      <c r="E70">
        <f>MAX(0,C70-1)</f>
        <v>5</v>
      </c>
      <c r="F70">
        <f>INT(B70*E70/Constants!$B$2)</f>
        <v>28</v>
      </c>
      <c r="G70">
        <f>MOD(B70*E70,Constants!$B$2)</f>
        <v>9</v>
      </c>
      <c r="H70">
        <f>B70+F70</f>
        <v>97</v>
      </c>
      <c r="I70">
        <f>B70+H70</f>
        <v>166</v>
      </c>
      <c r="J70">
        <f>B70</f>
        <v>69</v>
      </c>
      <c r="K70">
        <f>H70</f>
        <v>97</v>
      </c>
      <c r="L70">
        <f>B70</f>
        <v>69</v>
      </c>
      <c r="M70">
        <f>J70+K70+L70</f>
        <v>235</v>
      </c>
      <c r="N70">
        <f>2*B70+H70</f>
        <v>235</v>
      </c>
      <c r="O70">
        <f>B70+2*H70</f>
        <v>263</v>
      </c>
      <c r="P70">
        <f>B70</f>
        <v>69</v>
      </c>
      <c r="Q70" t="str">
        <f>B70&amp;"p+"&amp;H70&amp;"n+"&amp;B70&amp;"e"</f>
        <v>69p+97n+69e</v>
      </c>
      <c r="R70" t="str">
        <f>N70&amp;"u+"&amp;O70&amp;"d+"&amp;P70&amp;"e"</f>
        <v>235u+263d+69e</v>
      </c>
      <c r="S70">
        <f>COUNTIF(Shells!$E$2:$E$9,"&lt;"&amp;B70)+1</f>
        <v>5</v>
      </c>
      <c r="T70">
        <f>INDEX(Shells!$B$2:$B$9,S70)</f>
        <v>4</v>
      </c>
      <c r="U70">
        <f>INDEX(Shells!$C$2:$C$9,S70)</f>
        <v>32</v>
      </c>
      <c r="V70">
        <f>B70-IF(S70=1,0,INDEX(Shells!$E$2:$E$9,S70-1))</f>
        <v>9</v>
      </c>
      <c r="W70" t="str">
        <f>IF(V70=U70,"CLOSED_SHELL","OPEN_SHELL")</f>
        <v>OPEN_SHELL</v>
      </c>
      <c r="X70">
        <f>Constants!$B$11</f>
        <v>9.266927083333333333333333333333333333333333333333333333333333333333333333333333333333333333333333333</v>
      </c>
      <c r="Y70">
        <f>H70-B70</f>
        <v>28</v>
      </c>
      <c r="Z70">
        <f>B70*Constants!$B$11+Y70*Constants!$B$12</f>
        <v>639.85546875</v>
      </c>
      <c r="AA70">
        <f>Z70*Constants!$B$5</f>
        <v>5118.84375</v>
      </c>
      <c r="AB70">
        <f>Z70*7</f>
        <v>4478.98828125</v>
      </c>
      <c r="AC70" t="str">
        <f>IF(B70&gt;Constants!$B$6-Constants!$B$5,"CONSTANT_FRONTIER_TAIL_Z119_Z126","CONSTANT_NATIVE_SURFACE_Z001_Z118")</f>
        <v>CONSTANT_NATIVE_SURFACE_Z001_Z118</v>
      </c>
      <c r="AD70" t="str">
        <f>IF(B70&gt;Constants!$B$6-Constants!$B$5,"CONSTANT_FRONTIER_TAIL_CANDIDATE",IF(G70=0,"CONSTANT_STABLE_ANCHOR_LANE",IF(G70=Constants!$B$2/2,"CONSTANT_HALF_WRITE_LANE","CONSTANT_BOUND_LADDER_LANE")))</f>
        <v>CONSTANT_BOUND_LADDER_LANE</v>
      </c>
    </row>
    <row r="71">
      <c r="A71" t="str">
        <f>"E"&amp;TEXT(B71,"000")</f>
        <v>E070</v>
      </c>
      <c r="B71">
        <f>ROW()-1</f>
        <v>70</v>
      </c>
      <c r="C71">
        <f>INT((B71-1)/Constants!$B$2)+1</f>
        <v>6</v>
      </c>
      <c r="D71">
        <f>MOD(B71-1,Constants!$B$2)+1</f>
        <v>10</v>
      </c>
      <c r="E71">
        <f>MAX(0,C71-1)</f>
        <v>5</v>
      </c>
      <c r="F71">
        <f>INT(B71*E71/Constants!$B$2)</f>
        <v>29</v>
      </c>
      <c r="G71">
        <f>MOD(B71*E71,Constants!$B$2)</f>
        <v>2</v>
      </c>
      <c r="H71">
        <f>B71+F71</f>
        <v>99</v>
      </c>
      <c r="I71">
        <f>B71+H71</f>
        <v>169</v>
      </c>
      <c r="J71">
        <f>B71</f>
        <v>70</v>
      </c>
      <c r="K71">
        <f>H71</f>
        <v>99</v>
      </c>
      <c r="L71">
        <f>B71</f>
        <v>70</v>
      </c>
      <c r="M71">
        <f>J71+K71+L71</f>
        <v>239</v>
      </c>
      <c r="N71">
        <f>2*B71+H71</f>
        <v>239</v>
      </c>
      <c r="O71">
        <f>B71+2*H71</f>
        <v>268</v>
      </c>
      <c r="P71">
        <f>B71</f>
        <v>70</v>
      </c>
      <c r="Q71" t="str">
        <f>B71&amp;"p+"&amp;H71&amp;"n+"&amp;B71&amp;"e"</f>
        <v>70p+99n+70e</v>
      </c>
      <c r="R71" t="str">
        <f>N71&amp;"u+"&amp;O71&amp;"d+"&amp;P71&amp;"e"</f>
        <v>239u+268d+70e</v>
      </c>
      <c r="S71">
        <f>COUNTIF(Shells!$E$2:$E$9,"&lt;"&amp;B71)+1</f>
        <v>5</v>
      </c>
      <c r="T71">
        <f>INDEX(Shells!$B$2:$B$9,S71)</f>
        <v>4</v>
      </c>
      <c r="U71">
        <f>INDEX(Shells!$C$2:$C$9,S71)</f>
        <v>32</v>
      </c>
      <c r="V71">
        <f>B71-IF(S71=1,0,INDEX(Shells!$E$2:$E$9,S71-1))</f>
        <v>10</v>
      </c>
      <c r="W71" t="str">
        <f>IF(V71=U71,"CLOSED_SHELL","OPEN_SHELL")</f>
        <v>OPEN_SHELL</v>
      </c>
      <c r="X71">
        <f>Constants!$B$11</f>
        <v>9.266927083333333333333333333333333333333333333333333333333333333333333333333333333333333333333333333</v>
      </c>
      <c r="Y71">
        <f>H71-B71</f>
        <v>29</v>
      </c>
      <c r="Z71">
        <f>B71*Constants!$B$11+Y71*Constants!$B$12</f>
        <v>649.1380208333333333333333333333333333333333333333333333333333333333333333333333333333333333333333333</v>
      </c>
      <c r="AA71">
        <f>Z71*Constants!$B$5</f>
        <v>5193.104166666666666666666666666666666666666666666666666666666666666666666666666666666666666666666667</v>
      </c>
      <c r="AB71">
        <f>Z71*7</f>
        <v>4543.966145833333333333333333333333333333333333333333333333333333333333333333333333333333333333333333</v>
      </c>
      <c r="AC71" t="str">
        <f>IF(B71&gt;Constants!$B$6-Constants!$B$5,"CONSTANT_FRONTIER_TAIL_Z119_Z126","CONSTANT_NATIVE_SURFACE_Z001_Z118")</f>
        <v>CONSTANT_NATIVE_SURFACE_Z001_Z118</v>
      </c>
      <c r="AD71" t="str">
        <f>IF(B71&gt;Constants!$B$6-Constants!$B$5,"CONSTANT_FRONTIER_TAIL_CANDIDATE",IF(G71=0,"CONSTANT_STABLE_ANCHOR_LANE",IF(G71=Constants!$B$2/2,"CONSTANT_HALF_WRITE_LANE","CONSTANT_BOUND_LADDER_LANE")))</f>
        <v>CONSTANT_BOUND_LADDER_LANE</v>
      </c>
    </row>
    <row r="72">
      <c r="A72" t="str">
        <f>"E"&amp;TEXT(B72,"000")</f>
        <v>E071</v>
      </c>
      <c r="B72">
        <f>ROW()-1</f>
        <v>71</v>
      </c>
      <c r="C72">
        <f>INT((B72-1)/Constants!$B$2)+1</f>
        <v>6</v>
      </c>
      <c r="D72">
        <f>MOD(B72-1,Constants!$B$2)+1</f>
        <v>11</v>
      </c>
      <c r="E72">
        <f>MAX(0,C72-1)</f>
        <v>5</v>
      </c>
      <c r="F72">
        <f>INT(B72*E72/Constants!$B$2)</f>
        <v>29</v>
      </c>
      <c r="G72">
        <f>MOD(B72*E72,Constants!$B$2)</f>
        <v>7</v>
      </c>
      <c r="H72">
        <f>B72+F72</f>
        <v>100</v>
      </c>
      <c r="I72">
        <f>B72+H72</f>
        <v>171</v>
      </c>
      <c r="J72">
        <f>B72</f>
        <v>71</v>
      </c>
      <c r="K72">
        <f>H72</f>
        <v>100</v>
      </c>
      <c r="L72">
        <f>B72</f>
        <v>71</v>
      </c>
      <c r="M72">
        <f>J72+K72+L72</f>
        <v>242</v>
      </c>
      <c r="N72">
        <f>2*B72+H72</f>
        <v>242</v>
      </c>
      <c r="O72">
        <f>B72+2*H72</f>
        <v>271</v>
      </c>
      <c r="P72">
        <f>B72</f>
        <v>71</v>
      </c>
      <c r="Q72" t="str">
        <f>B72&amp;"p+"&amp;H72&amp;"n+"&amp;B72&amp;"e"</f>
        <v>71p+100n+71e</v>
      </c>
      <c r="R72" t="str">
        <f>N72&amp;"u+"&amp;O72&amp;"d+"&amp;P72&amp;"e"</f>
        <v>242u+271d+71e</v>
      </c>
      <c r="S72">
        <f>COUNTIF(Shells!$E$2:$E$9,"&lt;"&amp;B72)+1</f>
        <v>5</v>
      </c>
      <c r="T72">
        <f>INDEX(Shells!$B$2:$B$9,S72)</f>
        <v>4</v>
      </c>
      <c r="U72">
        <f>INDEX(Shells!$C$2:$C$9,S72)</f>
        <v>32</v>
      </c>
      <c r="V72">
        <f>B72-IF(S72=1,0,INDEX(Shells!$E$2:$E$9,S72-1))</f>
        <v>11</v>
      </c>
      <c r="W72" t="str">
        <f>IF(V72=U72,"CLOSED_SHELL","OPEN_SHELL")</f>
        <v>OPEN_SHELL</v>
      </c>
      <c r="X72">
        <f>Constants!$B$11</f>
        <v>9.266927083333333333333333333333333333333333333333333333333333333333333333333333333333333333333333333</v>
      </c>
      <c r="Y72">
        <f>H72-B72</f>
        <v>29</v>
      </c>
      <c r="Z72">
        <f>B72*Constants!$B$11+Y72*Constants!$B$12</f>
        <v>658.4049479166666666666666666666666666666666666666666666666666666666666666666666666666666666666666667</v>
      </c>
      <c r="AA72">
        <f>Z72*Constants!$B$5</f>
        <v>5267.239583333333333333333333333333333333333333333333333333333333333333333333333333333333333333333333</v>
      </c>
      <c r="AB72">
        <f>Z72*7</f>
        <v>4608.834635416666666666666666666666666666666666666666666666666666666666666666666666666666666666666667</v>
      </c>
      <c r="AC72" t="str">
        <f>IF(B72&gt;Constants!$B$6-Constants!$B$5,"CONSTANT_FRONTIER_TAIL_Z119_Z126","CONSTANT_NATIVE_SURFACE_Z001_Z118")</f>
        <v>CONSTANT_NATIVE_SURFACE_Z001_Z118</v>
      </c>
      <c r="AD72" t="str">
        <f>IF(B72&gt;Constants!$B$6-Constants!$B$5,"CONSTANT_FRONTIER_TAIL_CANDIDATE",IF(G72=0,"CONSTANT_STABLE_ANCHOR_LANE",IF(G72=Constants!$B$2/2,"CONSTANT_HALF_WRITE_LANE","CONSTANT_BOUND_LADDER_LANE")))</f>
        <v>CONSTANT_BOUND_LADDER_LANE</v>
      </c>
    </row>
    <row r="73">
      <c r="A73" t="str">
        <f>"E"&amp;TEXT(B73,"000")</f>
        <v>E072</v>
      </c>
      <c r="B73">
        <f>ROW()-1</f>
        <v>72</v>
      </c>
      <c r="C73">
        <f>INT((B73-1)/Constants!$B$2)+1</f>
        <v>6</v>
      </c>
      <c r="D73">
        <f>MOD(B73-1,Constants!$B$2)+1</f>
        <v>12</v>
      </c>
      <c r="E73">
        <f>MAX(0,C73-1)</f>
        <v>5</v>
      </c>
      <c r="F73">
        <f>INT(B73*E73/Constants!$B$2)</f>
        <v>30</v>
      </c>
      <c r="G73">
        <f>MOD(B73*E73,Constants!$B$2)</f>
        <v>0</v>
      </c>
      <c r="H73">
        <f>B73+F73</f>
        <v>102</v>
      </c>
      <c r="I73">
        <f>B73+H73</f>
        <v>174</v>
      </c>
      <c r="J73">
        <f>B73</f>
        <v>72</v>
      </c>
      <c r="K73">
        <f>H73</f>
        <v>102</v>
      </c>
      <c r="L73">
        <f>B73</f>
        <v>72</v>
      </c>
      <c r="M73">
        <f>J73+K73+L73</f>
        <v>246</v>
      </c>
      <c r="N73">
        <f>2*B73+H73</f>
        <v>246</v>
      </c>
      <c r="O73">
        <f>B73+2*H73</f>
        <v>276</v>
      </c>
      <c r="P73">
        <f>B73</f>
        <v>72</v>
      </c>
      <c r="Q73" t="str">
        <f>B73&amp;"p+"&amp;H73&amp;"n+"&amp;B73&amp;"e"</f>
        <v>72p+102n+72e</v>
      </c>
      <c r="R73" t="str">
        <f>N73&amp;"u+"&amp;O73&amp;"d+"&amp;P73&amp;"e"</f>
        <v>246u+276d+72e</v>
      </c>
      <c r="S73">
        <f>COUNTIF(Shells!$E$2:$E$9,"&lt;"&amp;B73)+1</f>
        <v>5</v>
      </c>
      <c r="T73">
        <f>INDEX(Shells!$B$2:$B$9,S73)</f>
        <v>4</v>
      </c>
      <c r="U73">
        <f>INDEX(Shells!$C$2:$C$9,S73)</f>
        <v>32</v>
      </c>
      <c r="V73">
        <f>B73-IF(S73=1,0,INDEX(Shells!$E$2:$E$9,S73-1))</f>
        <v>12</v>
      </c>
      <c r="W73" t="str">
        <f>IF(V73=U73,"CLOSED_SHELL","OPEN_SHELL")</f>
        <v>OPEN_SHELL</v>
      </c>
      <c r="X73">
        <f>Constants!$B$11</f>
        <v>9.266927083333333333333333333333333333333333333333333333333333333333333333333333333333333333333333333</v>
      </c>
      <c r="Y73">
        <f>H73-B73</f>
        <v>30</v>
      </c>
      <c r="Z73">
        <f>B73*Constants!$B$11+Y73*Constants!$B$12</f>
        <v>667.6875</v>
      </c>
      <c r="AA73">
        <f>Z73*Constants!$B$5</f>
        <v>5341.5</v>
      </c>
      <c r="AB73">
        <f>Z73*7</f>
        <v>4673.8125</v>
      </c>
      <c r="AC73" t="str">
        <f>IF(B73&gt;Constants!$B$6-Constants!$B$5,"CONSTANT_FRONTIER_TAIL_Z119_Z126","CONSTANT_NATIVE_SURFACE_Z001_Z118")</f>
        <v>CONSTANT_NATIVE_SURFACE_Z001_Z118</v>
      </c>
      <c r="AD73" t="str">
        <f>IF(B73&gt;Constants!$B$6-Constants!$B$5,"CONSTANT_FRONTIER_TAIL_CANDIDATE",IF(G73=0,"CONSTANT_STABLE_ANCHOR_LANE",IF(G73=Constants!$B$2/2,"CONSTANT_HALF_WRITE_LANE","CONSTANT_BOUND_LADDER_LANE")))</f>
        <v>CONSTANT_STABLE_ANCHOR_LANE</v>
      </c>
    </row>
    <row r="74">
      <c r="A74" t="str">
        <f>"E"&amp;TEXT(B74,"000")</f>
        <v>E073</v>
      </c>
      <c r="B74">
        <f>ROW()-1</f>
        <v>73</v>
      </c>
      <c r="C74">
        <f>INT((B74-1)/Constants!$B$2)+1</f>
        <v>7</v>
      </c>
      <c r="D74">
        <f>MOD(B74-1,Constants!$B$2)+1</f>
        <v>1</v>
      </c>
      <c r="E74">
        <f>MAX(0,C74-1)</f>
        <v>6</v>
      </c>
      <c r="F74">
        <f>INT(B74*E74/Constants!$B$2)</f>
        <v>36</v>
      </c>
      <c r="G74">
        <f>MOD(B74*E74,Constants!$B$2)</f>
        <v>6</v>
      </c>
      <c r="H74">
        <f>B74+F74</f>
        <v>109</v>
      </c>
      <c r="I74">
        <f>B74+H74</f>
        <v>182</v>
      </c>
      <c r="J74">
        <f>B74</f>
        <v>73</v>
      </c>
      <c r="K74">
        <f>H74</f>
        <v>109</v>
      </c>
      <c r="L74">
        <f>B74</f>
        <v>73</v>
      </c>
      <c r="M74">
        <f>J74+K74+L74</f>
        <v>255</v>
      </c>
      <c r="N74">
        <f>2*B74+H74</f>
        <v>255</v>
      </c>
      <c r="O74">
        <f>B74+2*H74</f>
        <v>291</v>
      </c>
      <c r="P74">
        <f>B74</f>
        <v>73</v>
      </c>
      <c r="Q74" t="str">
        <f>B74&amp;"p+"&amp;H74&amp;"n+"&amp;B74&amp;"e"</f>
        <v>73p+109n+73e</v>
      </c>
      <c r="R74" t="str">
        <f>N74&amp;"u+"&amp;O74&amp;"d+"&amp;P74&amp;"e"</f>
        <v>255u+291d+73e</v>
      </c>
      <c r="S74">
        <f>COUNTIF(Shells!$E$2:$E$9,"&lt;"&amp;B74)+1</f>
        <v>5</v>
      </c>
      <c r="T74">
        <f>INDEX(Shells!$B$2:$B$9,S74)</f>
        <v>4</v>
      </c>
      <c r="U74">
        <f>INDEX(Shells!$C$2:$C$9,S74)</f>
        <v>32</v>
      </c>
      <c r="V74">
        <f>B74-IF(S74=1,0,INDEX(Shells!$E$2:$E$9,S74-1))</f>
        <v>13</v>
      </c>
      <c r="W74" t="str">
        <f>IF(V74=U74,"CLOSED_SHELL","OPEN_SHELL")</f>
        <v>OPEN_SHELL</v>
      </c>
      <c r="X74">
        <f>Constants!$B$11</f>
        <v>9.266927083333333333333333333333333333333333333333333333333333333333333333333333333333333333333333333</v>
      </c>
      <c r="Y74">
        <f>H74-B74</f>
        <v>36</v>
      </c>
      <c r="Z74">
        <f>B74*Constants!$B$11+Y74*Constants!$B$12</f>
        <v>677.0481770833333333333333333333333333333333333333333333333333333333333333333333333333333333333333333</v>
      </c>
      <c r="AA74">
        <f>Z74*Constants!$B$5</f>
        <v>5416.385416666666666666666666666666666666666666666666666666666666666666666666666666666666666666666667</v>
      </c>
      <c r="AB74">
        <f>Z74*7</f>
        <v>4739.337239583333333333333333333333333333333333333333333333333333333333333333333333333333333333333333</v>
      </c>
      <c r="AC74" t="str">
        <f>IF(B74&gt;Constants!$B$6-Constants!$B$5,"CONSTANT_FRONTIER_TAIL_Z119_Z126","CONSTANT_NATIVE_SURFACE_Z001_Z118")</f>
        <v>CONSTANT_NATIVE_SURFACE_Z001_Z118</v>
      </c>
      <c r="AD74" t="str">
        <f>IF(B74&gt;Constants!$B$6-Constants!$B$5,"CONSTANT_FRONTIER_TAIL_CANDIDATE",IF(G74=0,"CONSTANT_STABLE_ANCHOR_LANE",IF(G74=Constants!$B$2/2,"CONSTANT_HALF_WRITE_LANE","CONSTANT_BOUND_LADDER_LANE")))</f>
        <v>CONSTANT_HALF_WRITE_LANE</v>
      </c>
    </row>
    <row r="75">
      <c r="A75" t="str">
        <f>"E"&amp;TEXT(B75,"000")</f>
        <v>E074</v>
      </c>
      <c r="B75">
        <f>ROW()-1</f>
        <v>74</v>
      </c>
      <c r="C75">
        <f>INT((B75-1)/Constants!$B$2)+1</f>
        <v>7</v>
      </c>
      <c r="D75">
        <f>MOD(B75-1,Constants!$B$2)+1</f>
        <v>2</v>
      </c>
      <c r="E75">
        <f>MAX(0,C75-1)</f>
        <v>6</v>
      </c>
      <c r="F75">
        <f>INT(B75*E75/Constants!$B$2)</f>
        <v>37</v>
      </c>
      <c r="G75">
        <f>MOD(B75*E75,Constants!$B$2)</f>
        <v>0</v>
      </c>
      <c r="H75">
        <f>B75+F75</f>
        <v>111</v>
      </c>
      <c r="I75">
        <f>B75+H75</f>
        <v>185</v>
      </c>
      <c r="J75">
        <f>B75</f>
        <v>74</v>
      </c>
      <c r="K75">
        <f>H75</f>
        <v>111</v>
      </c>
      <c r="L75">
        <f>B75</f>
        <v>74</v>
      </c>
      <c r="M75">
        <f>J75+K75+L75</f>
        <v>259</v>
      </c>
      <c r="N75">
        <f>2*B75+H75</f>
        <v>259</v>
      </c>
      <c r="O75">
        <f>B75+2*H75</f>
        <v>296</v>
      </c>
      <c r="P75">
        <f>B75</f>
        <v>74</v>
      </c>
      <c r="Q75" t="str">
        <f>B75&amp;"p+"&amp;H75&amp;"n+"&amp;B75&amp;"e"</f>
        <v>74p+111n+74e</v>
      </c>
      <c r="R75" t="str">
        <f>N75&amp;"u+"&amp;O75&amp;"d+"&amp;P75&amp;"e"</f>
        <v>259u+296d+74e</v>
      </c>
      <c r="S75">
        <f>COUNTIF(Shells!$E$2:$E$9,"&lt;"&amp;B75)+1</f>
        <v>5</v>
      </c>
      <c r="T75">
        <f>INDEX(Shells!$B$2:$B$9,S75)</f>
        <v>4</v>
      </c>
      <c r="U75">
        <f>INDEX(Shells!$C$2:$C$9,S75)</f>
        <v>32</v>
      </c>
      <c r="V75">
        <f>B75-IF(S75=1,0,INDEX(Shells!$E$2:$E$9,S75-1))</f>
        <v>14</v>
      </c>
      <c r="W75" t="str">
        <f>IF(V75=U75,"CLOSED_SHELL","OPEN_SHELL")</f>
        <v>OPEN_SHELL</v>
      </c>
      <c r="X75">
        <f>Constants!$B$11</f>
        <v>9.266927083333333333333333333333333333333333333333333333333333333333333333333333333333333333333333333</v>
      </c>
      <c r="Y75">
        <f>H75-B75</f>
        <v>37</v>
      </c>
      <c r="Z75">
        <f>B75*Constants!$B$11+Y75*Constants!$B$12</f>
        <v>686.3307291666666666666666666666666666666666666666666666666666666666666666666666666666666666666666667</v>
      </c>
      <c r="AA75">
        <f>Z75*Constants!$B$5</f>
        <v>5490.645833333333333333333333333333333333333333333333333333333333333333333333333333333333333333333333</v>
      </c>
      <c r="AB75">
        <f>Z75*7</f>
        <v>4804.315104166666666666666666666666666666666666666666666666666666666666666666666666666666666666666667</v>
      </c>
      <c r="AC75" t="str">
        <f>IF(B75&gt;Constants!$B$6-Constants!$B$5,"CONSTANT_FRONTIER_TAIL_Z119_Z126","CONSTANT_NATIVE_SURFACE_Z001_Z118")</f>
        <v>CONSTANT_NATIVE_SURFACE_Z001_Z118</v>
      </c>
      <c r="AD75" t="str">
        <f>IF(B75&gt;Constants!$B$6-Constants!$B$5,"CONSTANT_FRONTIER_TAIL_CANDIDATE",IF(G75=0,"CONSTANT_STABLE_ANCHOR_LANE",IF(G75=Constants!$B$2/2,"CONSTANT_HALF_WRITE_LANE","CONSTANT_BOUND_LADDER_LANE")))</f>
        <v>CONSTANT_STABLE_ANCHOR_LANE</v>
      </c>
    </row>
    <row r="76">
      <c r="A76" t="str">
        <f>"E"&amp;TEXT(B76,"000")</f>
        <v>E075</v>
      </c>
      <c r="B76">
        <f>ROW()-1</f>
        <v>75</v>
      </c>
      <c r="C76">
        <f>INT((B76-1)/Constants!$B$2)+1</f>
        <v>7</v>
      </c>
      <c r="D76">
        <f>MOD(B76-1,Constants!$B$2)+1</f>
        <v>3</v>
      </c>
      <c r="E76">
        <f>MAX(0,C76-1)</f>
        <v>6</v>
      </c>
      <c r="F76">
        <f>INT(B76*E76/Constants!$B$2)</f>
        <v>37</v>
      </c>
      <c r="G76">
        <f>MOD(B76*E76,Constants!$B$2)</f>
        <v>6</v>
      </c>
      <c r="H76">
        <f>B76+F76</f>
        <v>112</v>
      </c>
      <c r="I76">
        <f>B76+H76</f>
        <v>187</v>
      </c>
      <c r="J76">
        <f>B76</f>
        <v>75</v>
      </c>
      <c r="K76">
        <f>H76</f>
        <v>112</v>
      </c>
      <c r="L76">
        <f>B76</f>
        <v>75</v>
      </c>
      <c r="M76">
        <f>J76+K76+L76</f>
        <v>262</v>
      </c>
      <c r="N76">
        <f>2*B76+H76</f>
        <v>262</v>
      </c>
      <c r="O76">
        <f>B76+2*H76</f>
        <v>299</v>
      </c>
      <c r="P76">
        <f>B76</f>
        <v>75</v>
      </c>
      <c r="Q76" t="str">
        <f>B76&amp;"p+"&amp;H76&amp;"n+"&amp;B76&amp;"e"</f>
        <v>75p+112n+75e</v>
      </c>
      <c r="R76" t="str">
        <f>N76&amp;"u+"&amp;O76&amp;"d+"&amp;P76&amp;"e"</f>
        <v>262u+299d+75e</v>
      </c>
      <c r="S76">
        <f>COUNTIF(Shells!$E$2:$E$9,"&lt;"&amp;B76)+1</f>
        <v>5</v>
      </c>
      <c r="T76">
        <f>INDEX(Shells!$B$2:$B$9,S76)</f>
        <v>4</v>
      </c>
      <c r="U76">
        <f>INDEX(Shells!$C$2:$C$9,S76)</f>
        <v>32</v>
      </c>
      <c r="V76">
        <f>B76-IF(S76=1,0,INDEX(Shells!$E$2:$E$9,S76-1))</f>
        <v>15</v>
      </c>
      <c r="W76" t="str">
        <f>IF(V76=U76,"CLOSED_SHELL","OPEN_SHELL")</f>
        <v>OPEN_SHELL</v>
      </c>
      <c r="X76">
        <f>Constants!$B$11</f>
        <v>9.266927083333333333333333333333333333333333333333333333333333333333333333333333333333333333333333333</v>
      </c>
      <c r="Y76">
        <f>H76-B76</f>
        <v>37</v>
      </c>
      <c r="Z76">
        <f>B76*Constants!$B$11+Y76*Constants!$B$12</f>
        <v>695.59765625</v>
      </c>
      <c r="AA76">
        <f>Z76*Constants!$B$5</f>
        <v>5564.78125</v>
      </c>
      <c r="AB76">
        <f>Z76*7</f>
        <v>4869.18359375</v>
      </c>
      <c r="AC76" t="str">
        <f>IF(B76&gt;Constants!$B$6-Constants!$B$5,"CONSTANT_FRONTIER_TAIL_Z119_Z126","CONSTANT_NATIVE_SURFACE_Z001_Z118")</f>
        <v>CONSTANT_NATIVE_SURFACE_Z001_Z118</v>
      </c>
      <c r="AD76" t="str">
        <f>IF(B76&gt;Constants!$B$6-Constants!$B$5,"CONSTANT_FRONTIER_TAIL_CANDIDATE",IF(G76=0,"CONSTANT_STABLE_ANCHOR_LANE",IF(G76=Constants!$B$2/2,"CONSTANT_HALF_WRITE_LANE","CONSTANT_BOUND_LADDER_LANE")))</f>
        <v>CONSTANT_HALF_WRITE_LANE</v>
      </c>
    </row>
    <row r="77">
      <c r="A77" t="str">
        <f>"E"&amp;TEXT(B77,"000")</f>
        <v>E076</v>
      </c>
      <c r="B77">
        <f>ROW()-1</f>
        <v>76</v>
      </c>
      <c r="C77">
        <f>INT((B77-1)/Constants!$B$2)+1</f>
        <v>7</v>
      </c>
      <c r="D77">
        <f>MOD(B77-1,Constants!$B$2)+1</f>
        <v>4</v>
      </c>
      <c r="E77">
        <f>MAX(0,C77-1)</f>
        <v>6</v>
      </c>
      <c r="F77">
        <f>INT(B77*E77/Constants!$B$2)</f>
        <v>38</v>
      </c>
      <c r="G77">
        <f>MOD(B77*E77,Constants!$B$2)</f>
        <v>0</v>
      </c>
      <c r="H77">
        <f>B77+F77</f>
        <v>114</v>
      </c>
      <c r="I77">
        <f>B77+H77</f>
        <v>190</v>
      </c>
      <c r="J77">
        <f>B77</f>
        <v>76</v>
      </c>
      <c r="K77">
        <f>H77</f>
        <v>114</v>
      </c>
      <c r="L77">
        <f>B77</f>
        <v>76</v>
      </c>
      <c r="M77">
        <f>J77+K77+L77</f>
        <v>266</v>
      </c>
      <c r="N77">
        <f>2*B77+H77</f>
        <v>266</v>
      </c>
      <c r="O77">
        <f>B77+2*H77</f>
        <v>304</v>
      </c>
      <c r="P77">
        <f>B77</f>
        <v>76</v>
      </c>
      <c r="Q77" t="str">
        <f>B77&amp;"p+"&amp;H77&amp;"n+"&amp;B77&amp;"e"</f>
        <v>76p+114n+76e</v>
      </c>
      <c r="R77" t="str">
        <f>N77&amp;"u+"&amp;O77&amp;"d+"&amp;P77&amp;"e"</f>
        <v>266u+304d+76e</v>
      </c>
      <c r="S77">
        <f>COUNTIF(Shells!$E$2:$E$9,"&lt;"&amp;B77)+1</f>
        <v>5</v>
      </c>
      <c r="T77">
        <f>INDEX(Shells!$B$2:$B$9,S77)</f>
        <v>4</v>
      </c>
      <c r="U77">
        <f>INDEX(Shells!$C$2:$C$9,S77)</f>
        <v>32</v>
      </c>
      <c r="V77">
        <f>B77-IF(S77=1,0,INDEX(Shells!$E$2:$E$9,S77-1))</f>
        <v>16</v>
      </c>
      <c r="W77" t="str">
        <f>IF(V77=U77,"CLOSED_SHELL","OPEN_SHELL")</f>
        <v>OPEN_SHELL</v>
      </c>
      <c r="X77">
        <f>Constants!$B$11</f>
        <v>9.266927083333333333333333333333333333333333333333333333333333333333333333333333333333333333333333333</v>
      </c>
      <c r="Y77">
        <f>H77-B77</f>
        <v>38</v>
      </c>
      <c r="Z77">
        <f>B77*Constants!$B$11+Y77*Constants!$B$12</f>
        <v>704.8802083333333333333333333333333333333333333333333333333333333333333333333333333333333333333333333</v>
      </c>
      <c r="AA77">
        <f>Z77*Constants!$B$5</f>
        <v>5639.041666666666666666666666666666666666666666666666666666666666666666666666666666666666666666666667</v>
      </c>
      <c r="AB77">
        <f>Z77*7</f>
        <v>4934.161458333333333333333333333333333333333333333333333333333333333333333333333333333333333333333333</v>
      </c>
      <c r="AC77" t="str">
        <f>IF(B77&gt;Constants!$B$6-Constants!$B$5,"CONSTANT_FRONTIER_TAIL_Z119_Z126","CONSTANT_NATIVE_SURFACE_Z001_Z118")</f>
        <v>CONSTANT_NATIVE_SURFACE_Z001_Z118</v>
      </c>
      <c r="AD77" t="str">
        <f>IF(B77&gt;Constants!$B$6-Constants!$B$5,"CONSTANT_FRONTIER_TAIL_CANDIDATE",IF(G77=0,"CONSTANT_STABLE_ANCHOR_LANE",IF(G77=Constants!$B$2/2,"CONSTANT_HALF_WRITE_LANE","CONSTANT_BOUND_LADDER_LANE")))</f>
        <v>CONSTANT_STABLE_ANCHOR_LANE</v>
      </c>
    </row>
    <row r="78">
      <c r="A78" t="str">
        <f>"E"&amp;TEXT(B78,"000")</f>
        <v>E077</v>
      </c>
      <c r="B78">
        <f>ROW()-1</f>
        <v>77</v>
      </c>
      <c r="C78">
        <f>INT((B78-1)/Constants!$B$2)+1</f>
        <v>7</v>
      </c>
      <c r="D78">
        <f>MOD(B78-1,Constants!$B$2)+1</f>
        <v>5</v>
      </c>
      <c r="E78">
        <f>MAX(0,C78-1)</f>
        <v>6</v>
      </c>
      <c r="F78">
        <f>INT(B78*E78/Constants!$B$2)</f>
        <v>38</v>
      </c>
      <c r="G78">
        <f>MOD(B78*E78,Constants!$B$2)</f>
        <v>6</v>
      </c>
      <c r="H78">
        <f>B78+F78</f>
        <v>115</v>
      </c>
      <c r="I78">
        <f>B78+H78</f>
        <v>192</v>
      </c>
      <c r="J78">
        <f>B78</f>
        <v>77</v>
      </c>
      <c r="K78">
        <f>H78</f>
        <v>115</v>
      </c>
      <c r="L78">
        <f>B78</f>
        <v>77</v>
      </c>
      <c r="M78">
        <f>J78+K78+L78</f>
        <v>269</v>
      </c>
      <c r="N78">
        <f>2*B78+H78</f>
        <v>269</v>
      </c>
      <c r="O78">
        <f>B78+2*H78</f>
        <v>307</v>
      </c>
      <c r="P78">
        <f>B78</f>
        <v>77</v>
      </c>
      <c r="Q78" t="str">
        <f>B78&amp;"p+"&amp;H78&amp;"n+"&amp;B78&amp;"e"</f>
        <v>77p+115n+77e</v>
      </c>
      <c r="R78" t="str">
        <f>N78&amp;"u+"&amp;O78&amp;"d+"&amp;P78&amp;"e"</f>
        <v>269u+307d+77e</v>
      </c>
      <c r="S78">
        <f>COUNTIF(Shells!$E$2:$E$9,"&lt;"&amp;B78)+1</f>
        <v>5</v>
      </c>
      <c r="T78">
        <f>INDEX(Shells!$B$2:$B$9,S78)</f>
        <v>4</v>
      </c>
      <c r="U78">
        <f>INDEX(Shells!$C$2:$C$9,S78)</f>
        <v>32</v>
      </c>
      <c r="V78">
        <f>B78-IF(S78=1,0,INDEX(Shells!$E$2:$E$9,S78-1))</f>
        <v>17</v>
      </c>
      <c r="W78" t="str">
        <f>IF(V78=U78,"CLOSED_SHELL","OPEN_SHELL")</f>
        <v>OPEN_SHELL</v>
      </c>
      <c r="X78">
        <f>Constants!$B$11</f>
        <v>9.266927083333333333333333333333333333333333333333333333333333333333333333333333333333333333333333333</v>
      </c>
      <c r="Y78">
        <f>H78-B78</f>
        <v>38</v>
      </c>
      <c r="Z78">
        <f>B78*Constants!$B$11+Y78*Constants!$B$12</f>
        <v>714.1471354166666666666666666666666666666666666666666666666666666666666666666666666666666666666666667</v>
      </c>
      <c r="AA78">
        <f>Z78*Constants!$B$5</f>
        <v>5713.177083333333333333333333333333333333333333333333333333333333333333333333333333333333333333333333</v>
      </c>
      <c r="AB78">
        <f>Z78*7</f>
        <v>4999.029947916666666666666666666666666666666666666666666666666666666666666666666666666666666666666667</v>
      </c>
      <c r="AC78" t="str">
        <f>IF(B78&gt;Constants!$B$6-Constants!$B$5,"CONSTANT_FRONTIER_TAIL_Z119_Z126","CONSTANT_NATIVE_SURFACE_Z001_Z118")</f>
        <v>CONSTANT_NATIVE_SURFACE_Z001_Z118</v>
      </c>
      <c r="AD78" t="str">
        <f>IF(B78&gt;Constants!$B$6-Constants!$B$5,"CONSTANT_FRONTIER_TAIL_CANDIDATE",IF(G78=0,"CONSTANT_STABLE_ANCHOR_LANE",IF(G78=Constants!$B$2/2,"CONSTANT_HALF_WRITE_LANE","CONSTANT_BOUND_LADDER_LANE")))</f>
        <v>CONSTANT_HALF_WRITE_LANE</v>
      </c>
    </row>
    <row r="79">
      <c r="A79" t="str">
        <f>"E"&amp;TEXT(B79,"000")</f>
        <v>E078</v>
      </c>
      <c r="B79">
        <f>ROW()-1</f>
        <v>78</v>
      </c>
      <c r="C79">
        <f>INT((B79-1)/Constants!$B$2)+1</f>
        <v>7</v>
      </c>
      <c r="D79">
        <f>MOD(B79-1,Constants!$B$2)+1</f>
        <v>6</v>
      </c>
      <c r="E79">
        <f>MAX(0,C79-1)</f>
        <v>6</v>
      </c>
      <c r="F79">
        <f>INT(B79*E79/Constants!$B$2)</f>
        <v>39</v>
      </c>
      <c r="G79">
        <f>MOD(B79*E79,Constants!$B$2)</f>
        <v>0</v>
      </c>
      <c r="H79">
        <f>B79+F79</f>
        <v>117</v>
      </c>
      <c r="I79">
        <f>B79+H79</f>
        <v>195</v>
      </c>
      <c r="J79">
        <f>B79</f>
        <v>78</v>
      </c>
      <c r="K79">
        <f>H79</f>
        <v>117</v>
      </c>
      <c r="L79">
        <f>B79</f>
        <v>78</v>
      </c>
      <c r="M79">
        <f>J79+K79+L79</f>
        <v>273</v>
      </c>
      <c r="N79">
        <f>2*B79+H79</f>
        <v>273</v>
      </c>
      <c r="O79">
        <f>B79+2*H79</f>
        <v>312</v>
      </c>
      <c r="P79">
        <f>B79</f>
        <v>78</v>
      </c>
      <c r="Q79" t="str">
        <f>B79&amp;"p+"&amp;H79&amp;"n+"&amp;B79&amp;"e"</f>
        <v>78p+117n+78e</v>
      </c>
      <c r="R79" t="str">
        <f>N79&amp;"u+"&amp;O79&amp;"d+"&amp;P79&amp;"e"</f>
        <v>273u+312d+78e</v>
      </c>
      <c r="S79">
        <f>COUNTIF(Shells!$E$2:$E$9,"&lt;"&amp;B79)+1</f>
        <v>5</v>
      </c>
      <c r="T79">
        <f>INDEX(Shells!$B$2:$B$9,S79)</f>
        <v>4</v>
      </c>
      <c r="U79">
        <f>INDEX(Shells!$C$2:$C$9,S79)</f>
        <v>32</v>
      </c>
      <c r="V79">
        <f>B79-IF(S79=1,0,INDEX(Shells!$E$2:$E$9,S79-1))</f>
        <v>18</v>
      </c>
      <c r="W79" t="str">
        <f>IF(V79=U79,"CLOSED_SHELL","OPEN_SHELL")</f>
        <v>OPEN_SHELL</v>
      </c>
      <c r="X79">
        <f>Constants!$B$11</f>
        <v>9.266927083333333333333333333333333333333333333333333333333333333333333333333333333333333333333333333</v>
      </c>
      <c r="Y79">
        <f>H79-B79</f>
        <v>39</v>
      </c>
      <c r="Z79">
        <f>B79*Constants!$B$11+Y79*Constants!$B$12</f>
        <v>723.4296875</v>
      </c>
      <c r="AA79">
        <f>Z79*Constants!$B$5</f>
        <v>5787.4375</v>
      </c>
      <c r="AB79">
        <f>Z79*7</f>
        <v>5064.0078125</v>
      </c>
      <c r="AC79" t="str">
        <f>IF(B79&gt;Constants!$B$6-Constants!$B$5,"CONSTANT_FRONTIER_TAIL_Z119_Z126","CONSTANT_NATIVE_SURFACE_Z001_Z118")</f>
        <v>CONSTANT_NATIVE_SURFACE_Z001_Z118</v>
      </c>
      <c r="AD79" t="str">
        <f>IF(B79&gt;Constants!$B$6-Constants!$B$5,"CONSTANT_FRONTIER_TAIL_CANDIDATE",IF(G79=0,"CONSTANT_STABLE_ANCHOR_LANE",IF(G79=Constants!$B$2/2,"CONSTANT_HALF_WRITE_LANE","CONSTANT_BOUND_LADDER_LANE")))</f>
        <v>CONSTANT_STABLE_ANCHOR_LANE</v>
      </c>
    </row>
    <row r="80">
      <c r="A80" t="str">
        <f>"E"&amp;TEXT(B80,"000")</f>
        <v>E079</v>
      </c>
      <c r="B80">
        <f>ROW()-1</f>
        <v>79</v>
      </c>
      <c r="C80">
        <f>INT((B80-1)/Constants!$B$2)+1</f>
        <v>7</v>
      </c>
      <c r="D80">
        <f>MOD(B80-1,Constants!$B$2)+1</f>
        <v>7</v>
      </c>
      <c r="E80">
        <f>MAX(0,C80-1)</f>
        <v>6</v>
      </c>
      <c r="F80">
        <f>INT(B80*E80/Constants!$B$2)</f>
        <v>39</v>
      </c>
      <c r="G80">
        <f>MOD(B80*E80,Constants!$B$2)</f>
        <v>6</v>
      </c>
      <c r="H80">
        <f>B80+F80</f>
        <v>118</v>
      </c>
      <c r="I80">
        <f>B80+H80</f>
        <v>197</v>
      </c>
      <c r="J80">
        <f>B80</f>
        <v>79</v>
      </c>
      <c r="K80">
        <f>H80</f>
        <v>118</v>
      </c>
      <c r="L80">
        <f>B80</f>
        <v>79</v>
      </c>
      <c r="M80">
        <f>J80+K80+L80</f>
        <v>276</v>
      </c>
      <c r="N80">
        <f>2*B80+H80</f>
        <v>276</v>
      </c>
      <c r="O80">
        <f>B80+2*H80</f>
        <v>315</v>
      </c>
      <c r="P80">
        <f>B80</f>
        <v>79</v>
      </c>
      <c r="Q80" t="str">
        <f>B80&amp;"p+"&amp;H80&amp;"n+"&amp;B80&amp;"e"</f>
        <v>79p+118n+79e</v>
      </c>
      <c r="R80" t="str">
        <f>N80&amp;"u+"&amp;O80&amp;"d+"&amp;P80&amp;"e"</f>
        <v>276u+315d+79e</v>
      </c>
      <c r="S80">
        <f>COUNTIF(Shells!$E$2:$E$9,"&lt;"&amp;B80)+1</f>
        <v>5</v>
      </c>
      <c r="T80">
        <f>INDEX(Shells!$B$2:$B$9,S80)</f>
        <v>4</v>
      </c>
      <c r="U80">
        <f>INDEX(Shells!$C$2:$C$9,S80)</f>
        <v>32</v>
      </c>
      <c r="V80">
        <f>B80-IF(S80=1,0,INDEX(Shells!$E$2:$E$9,S80-1))</f>
        <v>19</v>
      </c>
      <c r="W80" t="str">
        <f>IF(V80=U80,"CLOSED_SHELL","OPEN_SHELL")</f>
        <v>OPEN_SHELL</v>
      </c>
      <c r="X80">
        <f>Constants!$B$11</f>
        <v>9.266927083333333333333333333333333333333333333333333333333333333333333333333333333333333333333333333</v>
      </c>
      <c r="Y80">
        <f>H80-B80</f>
        <v>39</v>
      </c>
      <c r="Z80">
        <f>B80*Constants!$B$11+Y80*Constants!$B$12</f>
        <v>732.6966145833333333333333333333333333333333333333333333333333333333333333333333333333333333333333333</v>
      </c>
      <c r="AA80">
        <f>Z80*Constants!$B$5</f>
        <v>5861.572916666666666666666666666666666666666666666666666666666666666666666666666666666666666666666667</v>
      </c>
      <c r="AB80">
        <f>Z80*7</f>
        <v>5128.876302083333333333333333333333333333333333333333333333333333333333333333333333333333333333333333</v>
      </c>
      <c r="AC80" t="str">
        <f>IF(B80&gt;Constants!$B$6-Constants!$B$5,"CONSTANT_FRONTIER_TAIL_Z119_Z126","CONSTANT_NATIVE_SURFACE_Z001_Z118")</f>
        <v>CONSTANT_NATIVE_SURFACE_Z001_Z118</v>
      </c>
      <c r="AD80" t="str">
        <f>IF(B80&gt;Constants!$B$6-Constants!$B$5,"CONSTANT_FRONTIER_TAIL_CANDIDATE",IF(G80=0,"CONSTANT_STABLE_ANCHOR_LANE",IF(G80=Constants!$B$2/2,"CONSTANT_HALF_WRITE_LANE","CONSTANT_BOUND_LADDER_LANE")))</f>
        <v>CONSTANT_HALF_WRITE_LANE</v>
      </c>
    </row>
    <row r="81">
      <c r="A81" t="str">
        <f>"E"&amp;TEXT(B81,"000")</f>
        <v>E080</v>
      </c>
      <c r="B81">
        <f>ROW()-1</f>
        <v>80</v>
      </c>
      <c r="C81">
        <f>INT((B81-1)/Constants!$B$2)+1</f>
        <v>7</v>
      </c>
      <c r="D81">
        <f>MOD(B81-1,Constants!$B$2)+1</f>
        <v>8</v>
      </c>
      <c r="E81">
        <f>MAX(0,C81-1)</f>
        <v>6</v>
      </c>
      <c r="F81">
        <f>INT(B81*E81/Constants!$B$2)</f>
        <v>40</v>
      </c>
      <c r="G81">
        <f>MOD(B81*E81,Constants!$B$2)</f>
        <v>0</v>
      </c>
      <c r="H81">
        <f>B81+F81</f>
        <v>120</v>
      </c>
      <c r="I81">
        <f>B81+H81</f>
        <v>200</v>
      </c>
      <c r="J81">
        <f>B81</f>
        <v>80</v>
      </c>
      <c r="K81">
        <f>H81</f>
        <v>120</v>
      </c>
      <c r="L81">
        <f>B81</f>
        <v>80</v>
      </c>
      <c r="M81">
        <f>J81+K81+L81</f>
        <v>280</v>
      </c>
      <c r="N81">
        <f>2*B81+H81</f>
        <v>280</v>
      </c>
      <c r="O81">
        <f>B81+2*H81</f>
        <v>320</v>
      </c>
      <c r="P81">
        <f>B81</f>
        <v>80</v>
      </c>
      <c r="Q81" t="str">
        <f>B81&amp;"p+"&amp;H81&amp;"n+"&amp;B81&amp;"e"</f>
        <v>80p+120n+80e</v>
      </c>
      <c r="R81" t="str">
        <f>N81&amp;"u+"&amp;O81&amp;"d+"&amp;P81&amp;"e"</f>
        <v>280u+320d+80e</v>
      </c>
      <c r="S81">
        <f>COUNTIF(Shells!$E$2:$E$9,"&lt;"&amp;B81)+1</f>
        <v>5</v>
      </c>
      <c r="T81">
        <f>INDEX(Shells!$B$2:$B$9,S81)</f>
        <v>4</v>
      </c>
      <c r="U81">
        <f>INDEX(Shells!$C$2:$C$9,S81)</f>
        <v>32</v>
      </c>
      <c r="V81">
        <f>B81-IF(S81=1,0,INDEX(Shells!$E$2:$E$9,S81-1))</f>
        <v>20</v>
      </c>
      <c r="W81" t="str">
        <f>IF(V81=U81,"CLOSED_SHELL","OPEN_SHELL")</f>
        <v>OPEN_SHELL</v>
      </c>
      <c r="X81">
        <f>Constants!$B$11</f>
        <v>9.266927083333333333333333333333333333333333333333333333333333333333333333333333333333333333333333333</v>
      </c>
      <c r="Y81">
        <f>H81-B81</f>
        <v>40</v>
      </c>
      <c r="Z81">
        <f>B81*Constants!$B$11+Y81*Constants!$B$12</f>
        <v>741.9791666666666666666666666666666666666666666666666666666666666666666666666666666666666666666666667</v>
      </c>
      <c r="AA81">
        <f>Z81*Constants!$B$5</f>
        <v>5935.833333333333333333333333333333333333333333333333333333333333333333333333333333333333333333333333</v>
      </c>
      <c r="AB81">
        <f>Z81*7</f>
        <v>5193.854166666666666666666666666666666666666666666666666666666666666666666666666666666666666666666667</v>
      </c>
      <c r="AC81" t="str">
        <f>IF(B81&gt;Constants!$B$6-Constants!$B$5,"CONSTANT_FRONTIER_TAIL_Z119_Z126","CONSTANT_NATIVE_SURFACE_Z001_Z118")</f>
        <v>CONSTANT_NATIVE_SURFACE_Z001_Z118</v>
      </c>
      <c r="AD81" t="str">
        <f>IF(B81&gt;Constants!$B$6-Constants!$B$5,"CONSTANT_FRONTIER_TAIL_CANDIDATE",IF(G81=0,"CONSTANT_STABLE_ANCHOR_LANE",IF(G81=Constants!$B$2/2,"CONSTANT_HALF_WRITE_LANE","CONSTANT_BOUND_LADDER_LANE")))</f>
        <v>CONSTANT_STABLE_ANCHOR_LANE</v>
      </c>
    </row>
    <row r="82">
      <c r="A82" t="str">
        <f>"E"&amp;TEXT(B82,"000")</f>
        <v>E081</v>
      </c>
      <c r="B82">
        <f>ROW()-1</f>
        <v>81</v>
      </c>
      <c r="C82">
        <f>INT((B82-1)/Constants!$B$2)+1</f>
        <v>7</v>
      </c>
      <c r="D82">
        <f>MOD(B82-1,Constants!$B$2)+1</f>
        <v>9</v>
      </c>
      <c r="E82">
        <f>MAX(0,C82-1)</f>
        <v>6</v>
      </c>
      <c r="F82">
        <f>INT(B82*E82/Constants!$B$2)</f>
        <v>40</v>
      </c>
      <c r="G82">
        <f>MOD(B82*E82,Constants!$B$2)</f>
        <v>6</v>
      </c>
      <c r="H82">
        <f>B82+F82</f>
        <v>121</v>
      </c>
      <c r="I82">
        <f>B82+H82</f>
        <v>202</v>
      </c>
      <c r="J82">
        <f>B82</f>
        <v>81</v>
      </c>
      <c r="K82">
        <f>H82</f>
        <v>121</v>
      </c>
      <c r="L82">
        <f>B82</f>
        <v>81</v>
      </c>
      <c r="M82">
        <f>J82+K82+L82</f>
        <v>283</v>
      </c>
      <c r="N82">
        <f>2*B82+H82</f>
        <v>283</v>
      </c>
      <c r="O82">
        <f>B82+2*H82</f>
        <v>323</v>
      </c>
      <c r="P82">
        <f>B82</f>
        <v>81</v>
      </c>
      <c r="Q82" t="str">
        <f>B82&amp;"p+"&amp;H82&amp;"n+"&amp;B82&amp;"e"</f>
        <v>81p+121n+81e</v>
      </c>
      <c r="R82" t="str">
        <f>N82&amp;"u+"&amp;O82&amp;"d+"&amp;P82&amp;"e"</f>
        <v>283u+323d+81e</v>
      </c>
      <c r="S82">
        <f>COUNTIF(Shells!$E$2:$E$9,"&lt;"&amp;B82)+1</f>
        <v>5</v>
      </c>
      <c r="T82">
        <f>INDEX(Shells!$B$2:$B$9,S82)</f>
        <v>4</v>
      </c>
      <c r="U82">
        <f>INDEX(Shells!$C$2:$C$9,S82)</f>
        <v>32</v>
      </c>
      <c r="V82">
        <f>B82-IF(S82=1,0,INDEX(Shells!$E$2:$E$9,S82-1))</f>
        <v>21</v>
      </c>
      <c r="W82" t="str">
        <f>IF(V82=U82,"CLOSED_SHELL","OPEN_SHELL")</f>
        <v>OPEN_SHELL</v>
      </c>
      <c r="X82">
        <f>Constants!$B$11</f>
        <v>9.266927083333333333333333333333333333333333333333333333333333333333333333333333333333333333333333333</v>
      </c>
      <c r="Y82">
        <f>H82-B82</f>
        <v>40</v>
      </c>
      <c r="Z82">
        <f>B82*Constants!$B$11+Y82*Constants!$B$12</f>
        <v>751.24609375</v>
      </c>
      <c r="AA82">
        <f>Z82*Constants!$B$5</f>
        <v>6009.96875</v>
      </c>
      <c r="AB82">
        <f>Z82*7</f>
        <v>5258.72265625</v>
      </c>
      <c r="AC82" t="str">
        <f>IF(B82&gt;Constants!$B$6-Constants!$B$5,"CONSTANT_FRONTIER_TAIL_Z119_Z126","CONSTANT_NATIVE_SURFACE_Z001_Z118")</f>
        <v>CONSTANT_NATIVE_SURFACE_Z001_Z118</v>
      </c>
      <c r="AD82" t="str">
        <f>IF(B82&gt;Constants!$B$6-Constants!$B$5,"CONSTANT_FRONTIER_TAIL_CANDIDATE",IF(G82=0,"CONSTANT_STABLE_ANCHOR_LANE",IF(G82=Constants!$B$2/2,"CONSTANT_HALF_WRITE_LANE","CONSTANT_BOUND_LADDER_LANE")))</f>
        <v>CONSTANT_HALF_WRITE_LANE</v>
      </c>
    </row>
    <row r="83">
      <c r="A83" t="str">
        <f>"E"&amp;TEXT(B83,"000")</f>
        <v>E082</v>
      </c>
      <c r="B83">
        <f>ROW()-1</f>
        <v>82</v>
      </c>
      <c r="C83">
        <f>INT((B83-1)/Constants!$B$2)+1</f>
        <v>7</v>
      </c>
      <c r="D83">
        <f>MOD(B83-1,Constants!$B$2)+1</f>
        <v>10</v>
      </c>
      <c r="E83">
        <f>MAX(0,C83-1)</f>
        <v>6</v>
      </c>
      <c r="F83">
        <f>INT(B83*E83/Constants!$B$2)</f>
        <v>41</v>
      </c>
      <c r="G83">
        <f>MOD(B83*E83,Constants!$B$2)</f>
        <v>0</v>
      </c>
      <c r="H83">
        <f>B83+F83</f>
        <v>123</v>
      </c>
      <c r="I83">
        <f>B83+H83</f>
        <v>205</v>
      </c>
      <c r="J83">
        <f>B83</f>
        <v>82</v>
      </c>
      <c r="K83">
        <f>H83</f>
        <v>123</v>
      </c>
      <c r="L83">
        <f>B83</f>
        <v>82</v>
      </c>
      <c r="M83">
        <f>J83+K83+L83</f>
        <v>287</v>
      </c>
      <c r="N83">
        <f>2*B83+H83</f>
        <v>287</v>
      </c>
      <c r="O83">
        <f>B83+2*H83</f>
        <v>328</v>
      </c>
      <c r="P83">
        <f>B83</f>
        <v>82</v>
      </c>
      <c r="Q83" t="str">
        <f>B83&amp;"p+"&amp;H83&amp;"n+"&amp;B83&amp;"e"</f>
        <v>82p+123n+82e</v>
      </c>
      <c r="R83" t="str">
        <f>N83&amp;"u+"&amp;O83&amp;"d+"&amp;P83&amp;"e"</f>
        <v>287u+328d+82e</v>
      </c>
      <c r="S83">
        <f>COUNTIF(Shells!$E$2:$E$9,"&lt;"&amp;B83)+1</f>
        <v>5</v>
      </c>
      <c r="T83">
        <f>INDEX(Shells!$B$2:$B$9,S83)</f>
        <v>4</v>
      </c>
      <c r="U83">
        <f>INDEX(Shells!$C$2:$C$9,S83)</f>
        <v>32</v>
      </c>
      <c r="V83">
        <f>B83-IF(S83=1,0,INDEX(Shells!$E$2:$E$9,S83-1))</f>
        <v>22</v>
      </c>
      <c r="W83" t="str">
        <f>IF(V83=U83,"CLOSED_SHELL","OPEN_SHELL")</f>
        <v>OPEN_SHELL</v>
      </c>
      <c r="X83">
        <f>Constants!$B$11</f>
        <v>9.266927083333333333333333333333333333333333333333333333333333333333333333333333333333333333333333333</v>
      </c>
      <c r="Y83">
        <f>H83-B83</f>
        <v>41</v>
      </c>
      <c r="Z83">
        <f>B83*Constants!$B$11+Y83*Constants!$B$12</f>
        <v>760.5286458333333333333333333333333333333333333333333333333333333333333333333333333333333333333333333</v>
      </c>
      <c r="AA83">
        <f>Z83*Constants!$B$5</f>
        <v>6084.229166666666666666666666666666666666666666666666666666666666666666666666666666666666666666666667</v>
      </c>
      <c r="AB83">
        <f>Z83*7</f>
        <v>5323.700520833333333333333333333333333333333333333333333333333333333333333333333333333333333333333333</v>
      </c>
      <c r="AC83" t="str">
        <f>IF(B83&gt;Constants!$B$6-Constants!$B$5,"CONSTANT_FRONTIER_TAIL_Z119_Z126","CONSTANT_NATIVE_SURFACE_Z001_Z118")</f>
        <v>CONSTANT_NATIVE_SURFACE_Z001_Z118</v>
      </c>
      <c r="AD83" t="str">
        <f>IF(B83&gt;Constants!$B$6-Constants!$B$5,"CONSTANT_FRONTIER_TAIL_CANDIDATE",IF(G83=0,"CONSTANT_STABLE_ANCHOR_LANE",IF(G83=Constants!$B$2/2,"CONSTANT_HALF_WRITE_LANE","CONSTANT_BOUND_LADDER_LANE")))</f>
        <v>CONSTANT_STABLE_ANCHOR_LANE</v>
      </c>
    </row>
    <row r="84">
      <c r="A84" t="str">
        <f>"E"&amp;TEXT(B84,"000")</f>
        <v>E083</v>
      </c>
      <c r="B84">
        <f>ROW()-1</f>
        <v>83</v>
      </c>
      <c r="C84">
        <f>INT((B84-1)/Constants!$B$2)+1</f>
        <v>7</v>
      </c>
      <c r="D84">
        <f>MOD(B84-1,Constants!$B$2)+1</f>
        <v>11</v>
      </c>
      <c r="E84">
        <f>MAX(0,C84-1)</f>
        <v>6</v>
      </c>
      <c r="F84">
        <f>INT(B84*E84/Constants!$B$2)</f>
        <v>41</v>
      </c>
      <c r="G84">
        <f>MOD(B84*E84,Constants!$B$2)</f>
        <v>6</v>
      </c>
      <c r="H84">
        <f>B84+F84</f>
        <v>124</v>
      </c>
      <c r="I84">
        <f>B84+H84</f>
        <v>207</v>
      </c>
      <c r="J84">
        <f>B84</f>
        <v>83</v>
      </c>
      <c r="K84">
        <f>H84</f>
        <v>124</v>
      </c>
      <c r="L84">
        <f>B84</f>
        <v>83</v>
      </c>
      <c r="M84">
        <f>J84+K84+L84</f>
        <v>290</v>
      </c>
      <c r="N84">
        <f>2*B84+H84</f>
        <v>290</v>
      </c>
      <c r="O84">
        <f>B84+2*H84</f>
        <v>331</v>
      </c>
      <c r="P84">
        <f>B84</f>
        <v>83</v>
      </c>
      <c r="Q84" t="str">
        <f>B84&amp;"p+"&amp;H84&amp;"n+"&amp;B84&amp;"e"</f>
        <v>83p+124n+83e</v>
      </c>
      <c r="R84" t="str">
        <f>N84&amp;"u+"&amp;O84&amp;"d+"&amp;P84&amp;"e"</f>
        <v>290u+331d+83e</v>
      </c>
      <c r="S84">
        <f>COUNTIF(Shells!$E$2:$E$9,"&lt;"&amp;B84)+1</f>
        <v>5</v>
      </c>
      <c r="T84">
        <f>INDEX(Shells!$B$2:$B$9,S84)</f>
        <v>4</v>
      </c>
      <c r="U84">
        <f>INDEX(Shells!$C$2:$C$9,S84)</f>
        <v>32</v>
      </c>
      <c r="V84">
        <f>B84-IF(S84=1,0,INDEX(Shells!$E$2:$E$9,S84-1))</f>
        <v>23</v>
      </c>
      <c r="W84" t="str">
        <f>IF(V84=U84,"CLOSED_SHELL","OPEN_SHELL")</f>
        <v>OPEN_SHELL</v>
      </c>
      <c r="X84">
        <f>Constants!$B$11</f>
        <v>9.266927083333333333333333333333333333333333333333333333333333333333333333333333333333333333333333333</v>
      </c>
      <c r="Y84">
        <f>H84-B84</f>
        <v>41</v>
      </c>
      <c r="Z84">
        <f>B84*Constants!$B$11+Y84*Constants!$B$12</f>
        <v>769.7955729166666666666666666666666666666666666666666666666666666666666666666666666666666666666666667</v>
      </c>
      <c r="AA84">
        <f>Z84*Constants!$B$5</f>
        <v>6158.364583333333333333333333333333333333333333333333333333333333333333333333333333333333333333333333</v>
      </c>
      <c r="AB84">
        <f>Z84*7</f>
        <v>5388.569010416666666666666666666666666666666666666666666666666666666666666666666666666666666666666667</v>
      </c>
      <c r="AC84" t="str">
        <f>IF(B84&gt;Constants!$B$6-Constants!$B$5,"CONSTANT_FRONTIER_TAIL_Z119_Z126","CONSTANT_NATIVE_SURFACE_Z001_Z118")</f>
        <v>CONSTANT_NATIVE_SURFACE_Z001_Z118</v>
      </c>
      <c r="AD84" t="str">
        <f>IF(B84&gt;Constants!$B$6-Constants!$B$5,"CONSTANT_FRONTIER_TAIL_CANDIDATE",IF(G84=0,"CONSTANT_STABLE_ANCHOR_LANE",IF(G84=Constants!$B$2/2,"CONSTANT_HALF_WRITE_LANE","CONSTANT_BOUND_LADDER_LANE")))</f>
        <v>CONSTANT_HALF_WRITE_LANE</v>
      </c>
    </row>
    <row r="85">
      <c r="A85" t="str">
        <f>"E"&amp;TEXT(B85,"000")</f>
        <v>E084</v>
      </c>
      <c r="B85">
        <f>ROW()-1</f>
        <v>84</v>
      </c>
      <c r="C85">
        <f>INT((B85-1)/Constants!$B$2)+1</f>
        <v>7</v>
      </c>
      <c r="D85">
        <f>MOD(B85-1,Constants!$B$2)+1</f>
        <v>12</v>
      </c>
      <c r="E85">
        <f>MAX(0,C85-1)</f>
        <v>6</v>
      </c>
      <c r="F85">
        <f>INT(B85*E85/Constants!$B$2)</f>
        <v>42</v>
      </c>
      <c r="G85">
        <f>MOD(B85*E85,Constants!$B$2)</f>
        <v>0</v>
      </c>
      <c r="H85">
        <f>B85+F85</f>
        <v>126</v>
      </c>
      <c r="I85">
        <f>B85+H85</f>
        <v>210</v>
      </c>
      <c r="J85">
        <f>B85</f>
        <v>84</v>
      </c>
      <c r="K85">
        <f>H85</f>
        <v>126</v>
      </c>
      <c r="L85">
        <f>B85</f>
        <v>84</v>
      </c>
      <c r="M85">
        <f>J85+K85+L85</f>
        <v>294</v>
      </c>
      <c r="N85">
        <f>2*B85+H85</f>
        <v>294</v>
      </c>
      <c r="O85">
        <f>B85+2*H85</f>
        <v>336</v>
      </c>
      <c r="P85">
        <f>B85</f>
        <v>84</v>
      </c>
      <c r="Q85" t="str">
        <f>B85&amp;"p+"&amp;H85&amp;"n+"&amp;B85&amp;"e"</f>
        <v>84p+126n+84e</v>
      </c>
      <c r="R85" t="str">
        <f>N85&amp;"u+"&amp;O85&amp;"d+"&amp;P85&amp;"e"</f>
        <v>294u+336d+84e</v>
      </c>
      <c r="S85">
        <f>COUNTIF(Shells!$E$2:$E$9,"&lt;"&amp;B85)+1</f>
        <v>5</v>
      </c>
      <c r="T85">
        <f>INDEX(Shells!$B$2:$B$9,S85)</f>
        <v>4</v>
      </c>
      <c r="U85">
        <f>INDEX(Shells!$C$2:$C$9,S85)</f>
        <v>32</v>
      </c>
      <c r="V85">
        <f>B85-IF(S85=1,0,INDEX(Shells!$E$2:$E$9,S85-1))</f>
        <v>24</v>
      </c>
      <c r="W85" t="str">
        <f>IF(V85=U85,"CLOSED_SHELL","OPEN_SHELL")</f>
        <v>OPEN_SHELL</v>
      </c>
      <c r="X85">
        <f>Constants!$B$11</f>
        <v>9.266927083333333333333333333333333333333333333333333333333333333333333333333333333333333333333333333</v>
      </c>
      <c r="Y85">
        <f>H85-B85</f>
        <v>42</v>
      </c>
      <c r="Z85">
        <f>B85*Constants!$B$11+Y85*Constants!$B$12</f>
        <v>779.078125</v>
      </c>
      <c r="AA85">
        <f>Z85*Constants!$B$5</f>
        <v>6232.625</v>
      </c>
      <c r="AB85">
        <f>Z85*7</f>
        <v>5453.546875</v>
      </c>
      <c r="AC85" t="str">
        <f>IF(B85&gt;Constants!$B$6-Constants!$B$5,"CONSTANT_FRONTIER_TAIL_Z119_Z126","CONSTANT_NATIVE_SURFACE_Z001_Z118")</f>
        <v>CONSTANT_NATIVE_SURFACE_Z001_Z118</v>
      </c>
      <c r="AD85" t="str">
        <f>IF(B85&gt;Constants!$B$6-Constants!$B$5,"CONSTANT_FRONTIER_TAIL_CANDIDATE",IF(G85=0,"CONSTANT_STABLE_ANCHOR_LANE",IF(G85=Constants!$B$2/2,"CONSTANT_HALF_WRITE_LANE","CONSTANT_BOUND_LADDER_LANE")))</f>
        <v>CONSTANT_STABLE_ANCHOR_LANE</v>
      </c>
    </row>
    <row r="86">
      <c r="A86" t="str">
        <f>"E"&amp;TEXT(B86,"000")</f>
        <v>E085</v>
      </c>
      <c r="B86">
        <f>ROW()-1</f>
        <v>85</v>
      </c>
      <c r="C86">
        <f>INT((B86-1)/Constants!$B$2)+1</f>
        <v>8</v>
      </c>
      <c r="D86">
        <f>MOD(B86-1,Constants!$B$2)+1</f>
        <v>1</v>
      </c>
      <c r="E86">
        <f>MAX(0,C86-1)</f>
        <v>7</v>
      </c>
      <c r="F86">
        <f>INT(B86*E86/Constants!$B$2)</f>
        <v>49</v>
      </c>
      <c r="G86">
        <f>MOD(B86*E86,Constants!$B$2)</f>
        <v>7</v>
      </c>
      <c r="H86">
        <f>B86+F86</f>
        <v>134</v>
      </c>
      <c r="I86">
        <f>B86+H86</f>
        <v>219</v>
      </c>
      <c r="J86">
        <f>B86</f>
        <v>85</v>
      </c>
      <c r="K86">
        <f>H86</f>
        <v>134</v>
      </c>
      <c r="L86">
        <f>B86</f>
        <v>85</v>
      </c>
      <c r="M86">
        <f>J86+K86+L86</f>
        <v>304</v>
      </c>
      <c r="N86">
        <f>2*B86+H86</f>
        <v>304</v>
      </c>
      <c r="O86">
        <f>B86+2*H86</f>
        <v>353</v>
      </c>
      <c r="P86">
        <f>B86</f>
        <v>85</v>
      </c>
      <c r="Q86" t="str">
        <f>B86&amp;"p+"&amp;H86&amp;"n+"&amp;B86&amp;"e"</f>
        <v>85p+134n+85e</v>
      </c>
      <c r="R86" t="str">
        <f>N86&amp;"u+"&amp;O86&amp;"d+"&amp;P86&amp;"e"</f>
        <v>304u+353d+85e</v>
      </c>
      <c r="S86">
        <f>COUNTIF(Shells!$E$2:$E$9,"&lt;"&amp;B86)+1</f>
        <v>5</v>
      </c>
      <c r="T86">
        <f>INDEX(Shells!$B$2:$B$9,S86)</f>
        <v>4</v>
      </c>
      <c r="U86">
        <f>INDEX(Shells!$C$2:$C$9,S86)</f>
        <v>32</v>
      </c>
      <c r="V86">
        <f>B86-IF(S86=1,0,INDEX(Shells!$E$2:$E$9,S86-1))</f>
        <v>25</v>
      </c>
      <c r="W86" t="str">
        <f>IF(V86=U86,"CLOSED_SHELL","OPEN_SHELL")</f>
        <v>OPEN_SHELL</v>
      </c>
      <c r="X86">
        <f>Constants!$B$11</f>
        <v>9.266927083333333333333333333333333333333333333333333333333333333333333333333333333333333333333333333</v>
      </c>
      <c r="Y86">
        <f>H86-B86</f>
        <v>49</v>
      </c>
      <c r="Z86">
        <f>B86*Constants!$B$11+Y86*Constants!$B$12</f>
        <v>788.4544270833333333333333333333333333333333333333333333333333333333333333333333333333333333333333333</v>
      </c>
      <c r="AA86">
        <f>Z86*Constants!$B$5</f>
        <v>6307.635416666666666666666666666666666666666666666666666666666666666666666666666666666666666666666667</v>
      </c>
      <c r="AB86">
        <f>Z86*7</f>
        <v>5519.180989583333333333333333333333333333333333333333333333333333333333333333333333333333333333333333</v>
      </c>
      <c r="AC86" t="str">
        <f>IF(B86&gt;Constants!$B$6-Constants!$B$5,"CONSTANT_FRONTIER_TAIL_Z119_Z126","CONSTANT_NATIVE_SURFACE_Z001_Z118")</f>
        <v>CONSTANT_NATIVE_SURFACE_Z001_Z118</v>
      </c>
      <c r="AD86" t="str">
        <f>IF(B86&gt;Constants!$B$6-Constants!$B$5,"CONSTANT_FRONTIER_TAIL_CANDIDATE",IF(G86=0,"CONSTANT_STABLE_ANCHOR_LANE",IF(G86=Constants!$B$2/2,"CONSTANT_HALF_WRITE_LANE","CONSTANT_BOUND_LADDER_LANE")))</f>
        <v>CONSTANT_BOUND_LADDER_LANE</v>
      </c>
    </row>
    <row r="87">
      <c r="A87" t="str">
        <f>"E"&amp;TEXT(B87,"000")</f>
        <v>E086</v>
      </c>
      <c r="B87">
        <f>ROW()-1</f>
        <v>86</v>
      </c>
      <c r="C87">
        <f>INT((B87-1)/Constants!$B$2)+1</f>
        <v>8</v>
      </c>
      <c r="D87">
        <f>MOD(B87-1,Constants!$B$2)+1</f>
        <v>2</v>
      </c>
      <c r="E87">
        <f>MAX(0,C87-1)</f>
        <v>7</v>
      </c>
      <c r="F87">
        <f>INT(B87*E87/Constants!$B$2)</f>
        <v>50</v>
      </c>
      <c r="G87">
        <f>MOD(B87*E87,Constants!$B$2)</f>
        <v>2</v>
      </c>
      <c r="H87">
        <f>B87+F87</f>
        <v>136</v>
      </c>
      <c r="I87">
        <f>B87+H87</f>
        <v>222</v>
      </c>
      <c r="J87">
        <f>B87</f>
        <v>86</v>
      </c>
      <c r="K87">
        <f>H87</f>
        <v>136</v>
      </c>
      <c r="L87">
        <f>B87</f>
        <v>86</v>
      </c>
      <c r="M87">
        <f>J87+K87+L87</f>
        <v>308</v>
      </c>
      <c r="N87">
        <f>2*B87+H87</f>
        <v>308</v>
      </c>
      <c r="O87">
        <f>B87+2*H87</f>
        <v>358</v>
      </c>
      <c r="P87">
        <f>B87</f>
        <v>86</v>
      </c>
      <c r="Q87" t="str">
        <f>B87&amp;"p+"&amp;H87&amp;"n+"&amp;B87&amp;"e"</f>
        <v>86p+136n+86e</v>
      </c>
      <c r="R87" t="str">
        <f>N87&amp;"u+"&amp;O87&amp;"d+"&amp;P87&amp;"e"</f>
        <v>308u+358d+86e</v>
      </c>
      <c r="S87">
        <f>COUNTIF(Shells!$E$2:$E$9,"&lt;"&amp;B87)+1</f>
        <v>5</v>
      </c>
      <c r="T87">
        <f>INDEX(Shells!$B$2:$B$9,S87)</f>
        <v>4</v>
      </c>
      <c r="U87">
        <f>INDEX(Shells!$C$2:$C$9,S87)</f>
        <v>32</v>
      </c>
      <c r="V87">
        <f>B87-IF(S87=1,0,INDEX(Shells!$E$2:$E$9,S87-1))</f>
        <v>26</v>
      </c>
      <c r="W87" t="str">
        <f>IF(V87=U87,"CLOSED_SHELL","OPEN_SHELL")</f>
        <v>OPEN_SHELL</v>
      </c>
      <c r="X87">
        <f>Constants!$B$11</f>
        <v>9.266927083333333333333333333333333333333333333333333333333333333333333333333333333333333333333333333</v>
      </c>
      <c r="Y87">
        <f>H87-B87</f>
        <v>50</v>
      </c>
      <c r="Z87">
        <f>B87*Constants!$B$11+Y87*Constants!$B$12</f>
        <v>797.7369791666666666666666666666666666666666666666666666666666666666666666666666666666666666666666667</v>
      </c>
      <c r="AA87">
        <f>Z87*Constants!$B$5</f>
        <v>6381.895833333333333333333333333333333333333333333333333333333333333333333333333333333333333333333333</v>
      </c>
      <c r="AB87">
        <f>Z87*7</f>
        <v>5584.158854166666666666666666666666666666666666666666666666666666666666666666666666666666666666666667</v>
      </c>
      <c r="AC87" t="str">
        <f>IF(B87&gt;Constants!$B$6-Constants!$B$5,"CONSTANT_FRONTIER_TAIL_Z119_Z126","CONSTANT_NATIVE_SURFACE_Z001_Z118")</f>
        <v>CONSTANT_NATIVE_SURFACE_Z001_Z118</v>
      </c>
      <c r="AD87" t="str">
        <f>IF(B87&gt;Constants!$B$6-Constants!$B$5,"CONSTANT_FRONTIER_TAIL_CANDIDATE",IF(G87=0,"CONSTANT_STABLE_ANCHOR_LANE",IF(G87=Constants!$B$2/2,"CONSTANT_HALF_WRITE_LANE","CONSTANT_BOUND_LADDER_LANE")))</f>
        <v>CONSTANT_BOUND_LADDER_LANE</v>
      </c>
    </row>
    <row r="88">
      <c r="A88" t="str">
        <f>"E"&amp;TEXT(B88,"000")</f>
        <v>E087</v>
      </c>
      <c r="B88">
        <f>ROW()-1</f>
        <v>87</v>
      </c>
      <c r="C88">
        <f>INT((B88-1)/Constants!$B$2)+1</f>
        <v>8</v>
      </c>
      <c r="D88">
        <f>MOD(B88-1,Constants!$B$2)+1</f>
        <v>3</v>
      </c>
      <c r="E88">
        <f>MAX(0,C88-1)</f>
        <v>7</v>
      </c>
      <c r="F88">
        <f>INT(B88*E88/Constants!$B$2)</f>
        <v>50</v>
      </c>
      <c r="G88">
        <f>MOD(B88*E88,Constants!$B$2)</f>
        <v>9</v>
      </c>
      <c r="H88">
        <f>B88+F88</f>
        <v>137</v>
      </c>
      <c r="I88">
        <f>B88+H88</f>
        <v>224</v>
      </c>
      <c r="J88">
        <f>B88</f>
        <v>87</v>
      </c>
      <c r="K88">
        <f>H88</f>
        <v>137</v>
      </c>
      <c r="L88">
        <f>B88</f>
        <v>87</v>
      </c>
      <c r="M88">
        <f>J88+K88+L88</f>
        <v>311</v>
      </c>
      <c r="N88">
        <f>2*B88+H88</f>
        <v>311</v>
      </c>
      <c r="O88">
        <f>B88+2*H88</f>
        <v>361</v>
      </c>
      <c r="P88">
        <f>B88</f>
        <v>87</v>
      </c>
      <c r="Q88" t="str">
        <f>B88&amp;"p+"&amp;H88&amp;"n+"&amp;B88&amp;"e"</f>
        <v>87p+137n+87e</v>
      </c>
      <c r="R88" t="str">
        <f>N88&amp;"u+"&amp;O88&amp;"d+"&amp;P88&amp;"e"</f>
        <v>311u+361d+87e</v>
      </c>
      <c r="S88">
        <f>COUNTIF(Shells!$E$2:$E$9,"&lt;"&amp;B88)+1</f>
        <v>5</v>
      </c>
      <c r="T88">
        <f>INDEX(Shells!$B$2:$B$9,S88)</f>
        <v>4</v>
      </c>
      <c r="U88">
        <f>INDEX(Shells!$C$2:$C$9,S88)</f>
        <v>32</v>
      </c>
      <c r="V88">
        <f>B88-IF(S88=1,0,INDEX(Shells!$E$2:$E$9,S88-1))</f>
        <v>27</v>
      </c>
      <c r="W88" t="str">
        <f>IF(V88=U88,"CLOSED_SHELL","OPEN_SHELL")</f>
        <v>OPEN_SHELL</v>
      </c>
      <c r="X88">
        <f>Constants!$B$11</f>
        <v>9.266927083333333333333333333333333333333333333333333333333333333333333333333333333333333333333333333</v>
      </c>
      <c r="Y88">
        <f>H88-B88</f>
        <v>50</v>
      </c>
      <c r="Z88">
        <f>B88*Constants!$B$11+Y88*Constants!$B$12</f>
        <v>807.00390625</v>
      </c>
      <c r="AA88">
        <f>Z88*Constants!$B$5</f>
        <v>6456.03125</v>
      </c>
      <c r="AB88">
        <f>Z88*7</f>
        <v>5649.02734375</v>
      </c>
      <c r="AC88" t="str">
        <f>IF(B88&gt;Constants!$B$6-Constants!$B$5,"CONSTANT_FRONTIER_TAIL_Z119_Z126","CONSTANT_NATIVE_SURFACE_Z001_Z118")</f>
        <v>CONSTANT_NATIVE_SURFACE_Z001_Z118</v>
      </c>
      <c r="AD88" t="str">
        <f>IF(B88&gt;Constants!$B$6-Constants!$B$5,"CONSTANT_FRONTIER_TAIL_CANDIDATE",IF(G88=0,"CONSTANT_STABLE_ANCHOR_LANE",IF(G88=Constants!$B$2/2,"CONSTANT_HALF_WRITE_LANE","CONSTANT_BOUND_LADDER_LANE")))</f>
        <v>CONSTANT_BOUND_LADDER_LANE</v>
      </c>
    </row>
    <row r="89">
      <c r="A89" t="str">
        <f>"E"&amp;TEXT(B89,"000")</f>
        <v>E088</v>
      </c>
      <c r="B89">
        <f>ROW()-1</f>
        <v>88</v>
      </c>
      <c r="C89">
        <f>INT((B89-1)/Constants!$B$2)+1</f>
        <v>8</v>
      </c>
      <c r="D89">
        <f>MOD(B89-1,Constants!$B$2)+1</f>
        <v>4</v>
      </c>
      <c r="E89">
        <f>MAX(0,C89-1)</f>
        <v>7</v>
      </c>
      <c r="F89">
        <f>INT(B89*E89/Constants!$B$2)</f>
        <v>51</v>
      </c>
      <c r="G89">
        <f>MOD(B89*E89,Constants!$B$2)</f>
        <v>4</v>
      </c>
      <c r="H89">
        <f>B89+F89</f>
        <v>139</v>
      </c>
      <c r="I89">
        <f>B89+H89</f>
        <v>227</v>
      </c>
      <c r="J89">
        <f>B89</f>
        <v>88</v>
      </c>
      <c r="K89">
        <f>H89</f>
        <v>139</v>
      </c>
      <c r="L89">
        <f>B89</f>
        <v>88</v>
      </c>
      <c r="M89">
        <f>J89+K89+L89</f>
        <v>315</v>
      </c>
      <c r="N89">
        <f>2*B89+H89</f>
        <v>315</v>
      </c>
      <c r="O89">
        <f>B89+2*H89</f>
        <v>366</v>
      </c>
      <c r="P89">
        <f>B89</f>
        <v>88</v>
      </c>
      <c r="Q89" t="str">
        <f>B89&amp;"p+"&amp;H89&amp;"n+"&amp;B89&amp;"e"</f>
        <v>88p+139n+88e</v>
      </c>
      <c r="R89" t="str">
        <f>N89&amp;"u+"&amp;O89&amp;"d+"&amp;P89&amp;"e"</f>
        <v>315u+366d+88e</v>
      </c>
      <c r="S89">
        <f>COUNTIF(Shells!$E$2:$E$9,"&lt;"&amp;B89)+1</f>
        <v>5</v>
      </c>
      <c r="T89">
        <f>INDEX(Shells!$B$2:$B$9,S89)</f>
        <v>4</v>
      </c>
      <c r="U89">
        <f>INDEX(Shells!$C$2:$C$9,S89)</f>
        <v>32</v>
      </c>
      <c r="V89">
        <f>B89-IF(S89=1,0,INDEX(Shells!$E$2:$E$9,S89-1))</f>
        <v>28</v>
      </c>
      <c r="W89" t="str">
        <f>IF(V89=U89,"CLOSED_SHELL","OPEN_SHELL")</f>
        <v>OPEN_SHELL</v>
      </c>
      <c r="X89">
        <f>Constants!$B$11</f>
        <v>9.266927083333333333333333333333333333333333333333333333333333333333333333333333333333333333333333333</v>
      </c>
      <c r="Y89">
        <f>H89-B89</f>
        <v>51</v>
      </c>
      <c r="Z89">
        <f>B89*Constants!$B$11+Y89*Constants!$B$12</f>
        <v>816.2864583333333333333333333333333333333333333333333333333333333333333333333333333333333333333333333</v>
      </c>
      <c r="AA89">
        <f>Z89*Constants!$B$5</f>
        <v>6530.291666666666666666666666666666666666666666666666666666666666666666666666666666666666666666666667</v>
      </c>
      <c r="AB89">
        <f>Z89*7</f>
        <v>5714.005208333333333333333333333333333333333333333333333333333333333333333333333333333333333333333333</v>
      </c>
      <c r="AC89" t="str">
        <f>IF(B89&gt;Constants!$B$6-Constants!$B$5,"CONSTANT_FRONTIER_TAIL_Z119_Z126","CONSTANT_NATIVE_SURFACE_Z001_Z118")</f>
        <v>CONSTANT_NATIVE_SURFACE_Z001_Z118</v>
      </c>
      <c r="AD89" t="str">
        <f>IF(B89&gt;Constants!$B$6-Constants!$B$5,"CONSTANT_FRONTIER_TAIL_CANDIDATE",IF(G89=0,"CONSTANT_STABLE_ANCHOR_LANE",IF(G89=Constants!$B$2/2,"CONSTANT_HALF_WRITE_LANE","CONSTANT_BOUND_LADDER_LANE")))</f>
        <v>CONSTANT_BOUND_LADDER_LANE</v>
      </c>
    </row>
    <row r="90">
      <c r="A90" t="str">
        <f>"E"&amp;TEXT(B90,"000")</f>
        <v>E089</v>
      </c>
      <c r="B90">
        <f>ROW()-1</f>
        <v>89</v>
      </c>
      <c r="C90">
        <f>INT((B90-1)/Constants!$B$2)+1</f>
        <v>8</v>
      </c>
      <c r="D90">
        <f>MOD(B90-1,Constants!$B$2)+1</f>
        <v>5</v>
      </c>
      <c r="E90">
        <f>MAX(0,C90-1)</f>
        <v>7</v>
      </c>
      <c r="F90">
        <f>INT(B90*E90/Constants!$B$2)</f>
        <v>51</v>
      </c>
      <c r="G90">
        <f>MOD(B90*E90,Constants!$B$2)</f>
        <v>11</v>
      </c>
      <c r="H90">
        <f>B90+F90</f>
        <v>140</v>
      </c>
      <c r="I90">
        <f>B90+H90</f>
        <v>229</v>
      </c>
      <c r="J90">
        <f>B90</f>
        <v>89</v>
      </c>
      <c r="K90">
        <f>H90</f>
        <v>140</v>
      </c>
      <c r="L90">
        <f>B90</f>
        <v>89</v>
      </c>
      <c r="M90">
        <f>J90+K90+L90</f>
        <v>318</v>
      </c>
      <c r="N90">
        <f>2*B90+H90</f>
        <v>318</v>
      </c>
      <c r="O90">
        <f>B90+2*H90</f>
        <v>369</v>
      </c>
      <c r="P90">
        <f>B90</f>
        <v>89</v>
      </c>
      <c r="Q90" t="str">
        <f>B90&amp;"p+"&amp;H90&amp;"n+"&amp;B90&amp;"e"</f>
        <v>89p+140n+89e</v>
      </c>
      <c r="R90" t="str">
        <f>N90&amp;"u+"&amp;O90&amp;"d+"&amp;P90&amp;"e"</f>
        <v>318u+369d+89e</v>
      </c>
      <c r="S90">
        <f>COUNTIF(Shells!$E$2:$E$9,"&lt;"&amp;B90)+1</f>
        <v>5</v>
      </c>
      <c r="T90">
        <f>INDEX(Shells!$B$2:$B$9,S90)</f>
        <v>4</v>
      </c>
      <c r="U90">
        <f>INDEX(Shells!$C$2:$C$9,S90)</f>
        <v>32</v>
      </c>
      <c r="V90">
        <f>B90-IF(S90=1,0,INDEX(Shells!$E$2:$E$9,S90-1))</f>
        <v>29</v>
      </c>
      <c r="W90" t="str">
        <f>IF(V90=U90,"CLOSED_SHELL","OPEN_SHELL")</f>
        <v>OPEN_SHELL</v>
      </c>
      <c r="X90">
        <f>Constants!$B$11</f>
        <v>9.266927083333333333333333333333333333333333333333333333333333333333333333333333333333333333333333333</v>
      </c>
      <c r="Y90">
        <f>H90-B90</f>
        <v>51</v>
      </c>
      <c r="Z90">
        <f>B90*Constants!$B$11+Y90*Constants!$B$12</f>
        <v>825.5533854166666666666666666666666666666666666666666666666666666666666666666666666666666666666666667</v>
      </c>
      <c r="AA90">
        <f>Z90*Constants!$B$5</f>
        <v>6604.427083333333333333333333333333333333333333333333333333333333333333333333333333333333333333333333</v>
      </c>
      <c r="AB90">
        <f>Z90*7</f>
        <v>5778.873697916666666666666666666666666666666666666666666666666666666666666666666666666666666666666667</v>
      </c>
      <c r="AC90" t="str">
        <f>IF(B90&gt;Constants!$B$6-Constants!$B$5,"CONSTANT_FRONTIER_TAIL_Z119_Z126","CONSTANT_NATIVE_SURFACE_Z001_Z118")</f>
        <v>CONSTANT_NATIVE_SURFACE_Z001_Z118</v>
      </c>
      <c r="AD90" t="str">
        <f>IF(B90&gt;Constants!$B$6-Constants!$B$5,"CONSTANT_FRONTIER_TAIL_CANDIDATE",IF(G90=0,"CONSTANT_STABLE_ANCHOR_LANE",IF(G90=Constants!$B$2/2,"CONSTANT_HALF_WRITE_LANE","CONSTANT_BOUND_LADDER_LANE")))</f>
        <v>CONSTANT_BOUND_LADDER_LANE</v>
      </c>
    </row>
    <row r="91">
      <c r="A91" t="str">
        <f>"E"&amp;TEXT(B91,"000")</f>
        <v>E090</v>
      </c>
      <c r="B91">
        <f>ROW()-1</f>
        <v>90</v>
      </c>
      <c r="C91">
        <f>INT((B91-1)/Constants!$B$2)+1</f>
        <v>8</v>
      </c>
      <c r="D91">
        <f>MOD(B91-1,Constants!$B$2)+1</f>
        <v>6</v>
      </c>
      <c r="E91">
        <f>MAX(0,C91-1)</f>
        <v>7</v>
      </c>
      <c r="F91">
        <f>INT(B91*E91/Constants!$B$2)</f>
        <v>52</v>
      </c>
      <c r="G91">
        <f>MOD(B91*E91,Constants!$B$2)</f>
        <v>6</v>
      </c>
      <c r="H91">
        <f>B91+F91</f>
        <v>142</v>
      </c>
      <c r="I91">
        <f>B91+H91</f>
        <v>232</v>
      </c>
      <c r="J91">
        <f>B91</f>
        <v>90</v>
      </c>
      <c r="K91">
        <f>H91</f>
        <v>142</v>
      </c>
      <c r="L91">
        <f>B91</f>
        <v>90</v>
      </c>
      <c r="M91">
        <f>J91+K91+L91</f>
        <v>322</v>
      </c>
      <c r="N91">
        <f>2*B91+H91</f>
        <v>322</v>
      </c>
      <c r="O91">
        <f>B91+2*H91</f>
        <v>374</v>
      </c>
      <c r="P91">
        <f>B91</f>
        <v>90</v>
      </c>
      <c r="Q91" t="str">
        <f>B91&amp;"p+"&amp;H91&amp;"n+"&amp;B91&amp;"e"</f>
        <v>90p+142n+90e</v>
      </c>
      <c r="R91" t="str">
        <f>N91&amp;"u+"&amp;O91&amp;"d+"&amp;P91&amp;"e"</f>
        <v>322u+374d+90e</v>
      </c>
      <c r="S91">
        <f>COUNTIF(Shells!$E$2:$E$9,"&lt;"&amp;B91)+1</f>
        <v>5</v>
      </c>
      <c r="T91">
        <f>INDEX(Shells!$B$2:$B$9,S91)</f>
        <v>4</v>
      </c>
      <c r="U91">
        <f>INDEX(Shells!$C$2:$C$9,S91)</f>
        <v>32</v>
      </c>
      <c r="V91">
        <f>B91-IF(S91=1,0,INDEX(Shells!$E$2:$E$9,S91-1))</f>
        <v>30</v>
      </c>
      <c r="W91" t="str">
        <f>IF(V91=U91,"CLOSED_SHELL","OPEN_SHELL")</f>
        <v>OPEN_SHELL</v>
      </c>
      <c r="X91">
        <f>Constants!$B$11</f>
        <v>9.266927083333333333333333333333333333333333333333333333333333333333333333333333333333333333333333333</v>
      </c>
      <c r="Y91">
        <f>H91-B91</f>
        <v>52</v>
      </c>
      <c r="Z91">
        <f>B91*Constants!$B$11+Y91*Constants!$B$12</f>
        <v>834.8359375</v>
      </c>
      <c r="AA91">
        <f>Z91*Constants!$B$5</f>
        <v>6678.6875</v>
      </c>
      <c r="AB91">
        <f>Z91*7</f>
        <v>5843.8515625</v>
      </c>
      <c r="AC91" t="str">
        <f>IF(B91&gt;Constants!$B$6-Constants!$B$5,"CONSTANT_FRONTIER_TAIL_Z119_Z126","CONSTANT_NATIVE_SURFACE_Z001_Z118")</f>
        <v>CONSTANT_NATIVE_SURFACE_Z001_Z118</v>
      </c>
      <c r="AD91" t="str">
        <f>IF(B91&gt;Constants!$B$6-Constants!$B$5,"CONSTANT_FRONTIER_TAIL_CANDIDATE",IF(G91=0,"CONSTANT_STABLE_ANCHOR_LANE",IF(G91=Constants!$B$2/2,"CONSTANT_HALF_WRITE_LANE","CONSTANT_BOUND_LADDER_LANE")))</f>
        <v>CONSTANT_HALF_WRITE_LANE</v>
      </c>
    </row>
    <row r="92">
      <c r="A92" t="str">
        <f>"E"&amp;TEXT(B92,"000")</f>
        <v>E091</v>
      </c>
      <c r="B92">
        <f>ROW()-1</f>
        <v>91</v>
      </c>
      <c r="C92">
        <f>INT((B92-1)/Constants!$B$2)+1</f>
        <v>8</v>
      </c>
      <c r="D92">
        <f>MOD(B92-1,Constants!$B$2)+1</f>
        <v>7</v>
      </c>
      <c r="E92">
        <f>MAX(0,C92-1)</f>
        <v>7</v>
      </c>
      <c r="F92">
        <f>INT(B92*E92/Constants!$B$2)</f>
        <v>53</v>
      </c>
      <c r="G92">
        <f>MOD(B92*E92,Constants!$B$2)</f>
        <v>1</v>
      </c>
      <c r="H92">
        <f>B92+F92</f>
        <v>144</v>
      </c>
      <c r="I92">
        <f>B92+H92</f>
        <v>235</v>
      </c>
      <c r="J92">
        <f>B92</f>
        <v>91</v>
      </c>
      <c r="K92">
        <f>H92</f>
        <v>144</v>
      </c>
      <c r="L92">
        <f>B92</f>
        <v>91</v>
      </c>
      <c r="M92">
        <f>J92+K92+L92</f>
        <v>326</v>
      </c>
      <c r="N92">
        <f>2*B92+H92</f>
        <v>326</v>
      </c>
      <c r="O92">
        <f>B92+2*H92</f>
        <v>379</v>
      </c>
      <c r="P92">
        <f>B92</f>
        <v>91</v>
      </c>
      <c r="Q92" t="str">
        <f>B92&amp;"p+"&amp;H92&amp;"n+"&amp;B92&amp;"e"</f>
        <v>91p+144n+91e</v>
      </c>
      <c r="R92" t="str">
        <f>N92&amp;"u+"&amp;O92&amp;"d+"&amp;P92&amp;"e"</f>
        <v>326u+379d+91e</v>
      </c>
      <c r="S92">
        <f>COUNTIF(Shells!$E$2:$E$9,"&lt;"&amp;B92)+1</f>
        <v>5</v>
      </c>
      <c r="T92">
        <f>INDEX(Shells!$B$2:$B$9,S92)</f>
        <v>4</v>
      </c>
      <c r="U92">
        <f>INDEX(Shells!$C$2:$C$9,S92)</f>
        <v>32</v>
      </c>
      <c r="V92">
        <f>B92-IF(S92=1,0,INDEX(Shells!$E$2:$E$9,S92-1))</f>
        <v>31</v>
      </c>
      <c r="W92" t="str">
        <f>IF(V92=U92,"CLOSED_SHELL","OPEN_SHELL")</f>
        <v>OPEN_SHELL</v>
      </c>
      <c r="X92">
        <f>Constants!$B$11</f>
        <v>9.266927083333333333333333333333333333333333333333333333333333333333333333333333333333333333333333333</v>
      </c>
      <c r="Y92">
        <f>H92-B92</f>
        <v>53</v>
      </c>
      <c r="Z92">
        <f>B92*Constants!$B$11+Y92*Constants!$B$12</f>
        <v>844.1184895833333333333333333333333333333333333333333333333333333333333333333333333333333333333333333</v>
      </c>
      <c r="AA92">
        <f>Z92*Constants!$B$5</f>
        <v>6752.947916666666666666666666666666666666666666666666666666666666666666666666666666666666666666666667</v>
      </c>
      <c r="AB92">
        <f>Z92*7</f>
        <v>5908.829427083333333333333333333333333333333333333333333333333333333333333333333333333333333333333333</v>
      </c>
      <c r="AC92" t="str">
        <f>IF(B92&gt;Constants!$B$6-Constants!$B$5,"CONSTANT_FRONTIER_TAIL_Z119_Z126","CONSTANT_NATIVE_SURFACE_Z001_Z118")</f>
        <v>CONSTANT_NATIVE_SURFACE_Z001_Z118</v>
      </c>
      <c r="AD92" t="str">
        <f>IF(B92&gt;Constants!$B$6-Constants!$B$5,"CONSTANT_FRONTIER_TAIL_CANDIDATE",IF(G92=0,"CONSTANT_STABLE_ANCHOR_LANE",IF(G92=Constants!$B$2/2,"CONSTANT_HALF_WRITE_LANE","CONSTANT_BOUND_LADDER_LANE")))</f>
        <v>CONSTANT_BOUND_LADDER_LANE</v>
      </c>
    </row>
    <row r="93">
      <c r="A93" t="str">
        <f>"E"&amp;TEXT(B93,"000")</f>
        <v>E092</v>
      </c>
      <c r="B93">
        <f>ROW()-1</f>
        <v>92</v>
      </c>
      <c r="C93">
        <f>INT((B93-1)/Constants!$B$2)+1</f>
        <v>8</v>
      </c>
      <c r="D93">
        <f>MOD(B93-1,Constants!$B$2)+1</f>
        <v>8</v>
      </c>
      <c r="E93">
        <f>MAX(0,C93-1)</f>
        <v>7</v>
      </c>
      <c r="F93">
        <f>INT(B93*E93/Constants!$B$2)</f>
        <v>53</v>
      </c>
      <c r="G93">
        <f>MOD(B93*E93,Constants!$B$2)</f>
        <v>8</v>
      </c>
      <c r="H93">
        <f>B93+F93</f>
        <v>145</v>
      </c>
      <c r="I93">
        <f>B93+H93</f>
        <v>237</v>
      </c>
      <c r="J93">
        <f>B93</f>
        <v>92</v>
      </c>
      <c r="K93">
        <f>H93</f>
        <v>145</v>
      </c>
      <c r="L93">
        <f>B93</f>
        <v>92</v>
      </c>
      <c r="M93">
        <f>J93+K93+L93</f>
        <v>329</v>
      </c>
      <c r="N93">
        <f>2*B93+H93</f>
        <v>329</v>
      </c>
      <c r="O93">
        <f>B93+2*H93</f>
        <v>382</v>
      </c>
      <c r="P93">
        <f>B93</f>
        <v>92</v>
      </c>
      <c r="Q93" t="str">
        <f>B93&amp;"p+"&amp;H93&amp;"n+"&amp;B93&amp;"e"</f>
        <v>92p+145n+92e</v>
      </c>
      <c r="R93" t="str">
        <f>N93&amp;"u+"&amp;O93&amp;"d+"&amp;P93&amp;"e"</f>
        <v>329u+382d+92e</v>
      </c>
      <c r="S93">
        <f>COUNTIF(Shells!$E$2:$E$9,"&lt;"&amp;B93)+1</f>
        <v>5</v>
      </c>
      <c r="T93">
        <f>INDEX(Shells!$B$2:$B$9,S93)</f>
        <v>4</v>
      </c>
      <c r="U93">
        <f>INDEX(Shells!$C$2:$C$9,S93)</f>
        <v>32</v>
      </c>
      <c r="V93">
        <f>B93-IF(S93=1,0,INDEX(Shells!$E$2:$E$9,S93-1))</f>
        <v>32</v>
      </c>
      <c r="W93" t="str">
        <f>IF(V93=U93,"CLOSED_SHELL","OPEN_SHELL")</f>
        <v>CLOSED_SHELL</v>
      </c>
      <c r="X93">
        <f>Constants!$B$11</f>
        <v>9.266927083333333333333333333333333333333333333333333333333333333333333333333333333333333333333333333</v>
      </c>
      <c r="Y93">
        <f>H93-B93</f>
        <v>53</v>
      </c>
      <c r="Z93">
        <f>B93*Constants!$B$11+Y93*Constants!$B$12</f>
        <v>853.3854166666666666666666666666666666666666666666666666666666666666666666666666666666666666666666667</v>
      </c>
      <c r="AA93">
        <f>Z93*Constants!$B$5</f>
        <v>6827.083333333333333333333333333333333333333333333333333333333333333333333333333333333333333333333333</v>
      </c>
      <c r="AB93">
        <f>Z93*7</f>
        <v>5973.697916666666666666666666666666666666666666666666666666666666666666666666666666666666666666666667</v>
      </c>
      <c r="AC93" t="str">
        <f>IF(B93&gt;Constants!$B$6-Constants!$B$5,"CONSTANT_FRONTIER_TAIL_Z119_Z126","CONSTANT_NATIVE_SURFACE_Z001_Z118")</f>
        <v>CONSTANT_NATIVE_SURFACE_Z001_Z118</v>
      </c>
      <c r="AD93" t="str">
        <f>IF(B93&gt;Constants!$B$6-Constants!$B$5,"CONSTANT_FRONTIER_TAIL_CANDIDATE",IF(G93=0,"CONSTANT_STABLE_ANCHOR_LANE",IF(G93=Constants!$B$2/2,"CONSTANT_HALF_WRITE_LANE","CONSTANT_BOUND_LADDER_LANE")))</f>
        <v>CONSTANT_BOUND_LADDER_LANE</v>
      </c>
    </row>
    <row r="94">
      <c r="A94" t="str">
        <f>"E"&amp;TEXT(B94,"000")</f>
        <v>E093</v>
      </c>
      <c r="B94">
        <f>ROW()-1</f>
        <v>93</v>
      </c>
      <c r="C94">
        <f>INT((B94-1)/Constants!$B$2)+1</f>
        <v>8</v>
      </c>
      <c r="D94">
        <f>MOD(B94-1,Constants!$B$2)+1</f>
        <v>9</v>
      </c>
      <c r="E94">
        <f>MAX(0,C94-1)</f>
        <v>7</v>
      </c>
      <c r="F94">
        <f>INT(B94*E94/Constants!$B$2)</f>
        <v>54</v>
      </c>
      <c r="G94">
        <f>MOD(B94*E94,Constants!$B$2)</f>
        <v>3</v>
      </c>
      <c r="H94">
        <f>B94+F94</f>
        <v>147</v>
      </c>
      <c r="I94">
        <f>B94+H94</f>
        <v>240</v>
      </c>
      <c r="J94">
        <f>B94</f>
        <v>93</v>
      </c>
      <c r="K94">
        <f>H94</f>
        <v>147</v>
      </c>
      <c r="L94">
        <f>B94</f>
        <v>93</v>
      </c>
      <c r="M94">
        <f>J94+K94+L94</f>
        <v>333</v>
      </c>
      <c r="N94">
        <f>2*B94+H94</f>
        <v>333</v>
      </c>
      <c r="O94">
        <f>B94+2*H94</f>
        <v>387</v>
      </c>
      <c r="P94">
        <f>B94</f>
        <v>93</v>
      </c>
      <c r="Q94" t="str">
        <f>B94&amp;"p+"&amp;H94&amp;"n+"&amp;B94&amp;"e"</f>
        <v>93p+147n+93e</v>
      </c>
      <c r="R94" t="str">
        <f>N94&amp;"u+"&amp;O94&amp;"d+"&amp;P94&amp;"e"</f>
        <v>333u+387d+93e</v>
      </c>
      <c r="S94">
        <f>COUNTIF(Shells!$E$2:$E$9,"&lt;"&amp;B94)+1</f>
        <v>6</v>
      </c>
      <c r="T94">
        <f>INDEX(Shells!$B$2:$B$9,S94)</f>
        <v>3</v>
      </c>
      <c r="U94">
        <f>INDEX(Shells!$C$2:$C$9,S94)</f>
        <v>18</v>
      </c>
      <c r="V94">
        <f>B94-IF(S94=1,0,INDEX(Shells!$E$2:$E$9,S94-1))</f>
        <v>1</v>
      </c>
      <c r="W94" t="str">
        <f>IF(V94=U94,"CLOSED_SHELL","OPEN_SHELL")</f>
        <v>OPEN_SHELL</v>
      </c>
      <c r="X94">
        <f>Constants!$B$11</f>
        <v>9.266927083333333333333333333333333333333333333333333333333333333333333333333333333333333333333333333</v>
      </c>
      <c r="Y94">
        <f>H94-B94</f>
        <v>54</v>
      </c>
      <c r="Z94">
        <f>B94*Constants!$B$11+Y94*Constants!$B$12</f>
        <v>862.66796875</v>
      </c>
      <c r="AA94">
        <f>Z94*Constants!$B$5</f>
        <v>6901.34375</v>
      </c>
      <c r="AB94">
        <f>Z94*7</f>
        <v>6038.67578125</v>
      </c>
      <c r="AC94" t="str">
        <f>IF(B94&gt;Constants!$B$6-Constants!$B$5,"CONSTANT_FRONTIER_TAIL_Z119_Z126","CONSTANT_NATIVE_SURFACE_Z001_Z118")</f>
        <v>CONSTANT_NATIVE_SURFACE_Z001_Z118</v>
      </c>
      <c r="AD94" t="str">
        <f>IF(B94&gt;Constants!$B$6-Constants!$B$5,"CONSTANT_FRONTIER_TAIL_CANDIDATE",IF(G94=0,"CONSTANT_STABLE_ANCHOR_LANE",IF(G94=Constants!$B$2/2,"CONSTANT_HALF_WRITE_LANE","CONSTANT_BOUND_LADDER_LANE")))</f>
        <v>CONSTANT_BOUND_LADDER_LANE</v>
      </c>
    </row>
    <row r="95">
      <c r="A95" t="str">
        <f>"E"&amp;TEXT(B95,"000")</f>
        <v>E094</v>
      </c>
      <c r="B95">
        <f>ROW()-1</f>
        <v>94</v>
      </c>
      <c r="C95">
        <f>INT((B95-1)/Constants!$B$2)+1</f>
        <v>8</v>
      </c>
      <c r="D95">
        <f>MOD(B95-1,Constants!$B$2)+1</f>
        <v>10</v>
      </c>
      <c r="E95">
        <f>MAX(0,C95-1)</f>
        <v>7</v>
      </c>
      <c r="F95">
        <f>INT(B95*E95/Constants!$B$2)</f>
        <v>54</v>
      </c>
      <c r="G95">
        <f>MOD(B95*E95,Constants!$B$2)</f>
        <v>10</v>
      </c>
      <c r="H95">
        <f>B95+F95</f>
        <v>148</v>
      </c>
      <c r="I95">
        <f>B95+H95</f>
        <v>242</v>
      </c>
      <c r="J95">
        <f>B95</f>
        <v>94</v>
      </c>
      <c r="K95">
        <f>H95</f>
        <v>148</v>
      </c>
      <c r="L95">
        <f>B95</f>
        <v>94</v>
      </c>
      <c r="M95">
        <f>J95+K95+L95</f>
        <v>336</v>
      </c>
      <c r="N95">
        <f>2*B95+H95</f>
        <v>336</v>
      </c>
      <c r="O95">
        <f>B95+2*H95</f>
        <v>390</v>
      </c>
      <c r="P95">
        <f>B95</f>
        <v>94</v>
      </c>
      <c r="Q95" t="str">
        <f>B95&amp;"p+"&amp;H95&amp;"n+"&amp;B95&amp;"e"</f>
        <v>94p+148n+94e</v>
      </c>
      <c r="R95" t="str">
        <f>N95&amp;"u+"&amp;O95&amp;"d+"&amp;P95&amp;"e"</f>
        <v>336u+390d+94e</v>
      </c>
      <c r="S95">
        <f>COUNTIF(Shells!$E$2:$E$9,"&lt;"&amp;B95)+1</f>
        <v>6</v>
      </c>
      <c r="T95">
        <f>INDEX(Shells!$B$2:$B$9,S95)</f>
        <v>3</v>
      </c>
      <c r="U95">
        <f>INDEX(Shells!$C$2:$C$9,S95)</f>
        <v>18</v>
      </c>
      <c r="V95">
        <f>B95-IF(S95=1,0,INDEX(Shells!$E$2:$E$9,S95-1))</f>
        <v>2</v>
      </c>
      <c r="W95" t="str">
        <f>IF(V95=U95,"CLOSED_SHELL","OPEN_SHELL")</f>
        <v>OPEN_SHELL</v>
      </c>
      <c r="X95">
        <f>Constants!$B$11</f>
        <v>9.266927083333333333333333333333333333333333333333333333333333333333333333333333333333333333333333333</v>
      </c>
      <c r="Y95">
        <f>H95-B95</f>
        <v>54</v>
      </c>
      <c r="Z95">
        <f>B95*Constants!$B$11+Y95*Constants!$B$12</f>
        <v>871.9348958333333333333333333333333333333333333333333333333333333333333333333333333333333333333333333</v>
      </c>
      <c r="AA95">
        <f>Z95*Constants!$B$5</f>
        <v>6975.479166666666666666666666666666666666666666666666666666666666666666666666666666666666666666666667</v>
      </c>
      <c r="AB95">
        <f>Z95*7</f>
        <v>6103.544270833333333333333333333333333333333333333333333333333333333333333333333333333333333333333333</v>
      </c>
      <c r="AC95" t="str">
        <f>IF(B95&gt;Constants!$B$6-Constants!$B$5,"CONSTANT_FRONTIER_TAIL_Z119_Z126","CONSTANT_NATIVE_SURFACE_Z001_Z118")</f>
        <v>CONSTANT_NATIVE_SURFACE_Z001_Z118</v>
      </c>
      <c r="AD95" t="str">
        <f>IF(B95&gt;Constants!$B$6-Constants!$B$5,"CONSTANT_FRONTIER_TAIL_CANDIDATE",IF(G95=0,"CONSTANT_STABLE_ANCHOR_LANE",IF(G95=Constants!$B$2/2,"CONSTANT_HALF_WRITE_LANE","CONSTANT_BOUND_LADDER_LANE")))</f>
        <v>CONSTANT_BOUND_LADDER_LANE</v>
      </c>
    </row>
    <row r="96">
      <c r="A96" t="str">
        <f>"E"&amp;TEXT(B96,"000")</f>
        <v>E095</v>
      </c>
      <c r="B96">
        <f>ROW()-1</f>
        <v>95</v>
      </c>
      <c r="C96">
        <f>INT((B96-1)/Constants!$B$2)+1</f>
        <v>8</v>
      </c>
      <c r="D96">
        <f>MOD(B96-1,Constants!$B$2)+1</f>
        <v>11</v>
      </c>
      <c r="E96">
        <f>MAX(0,C96-1)</f>
        <v>7</v>
      </c>
      <c r="F96">
        <f>INT(B96*E96/Constants!$B$2)</f>
        <v>55</v>
      </c>
      <c r="G96">
        <f>MOD(B96*E96,Constants!$B$2)</f>
        <v>5</v>
      </c>
      <c r="H96">
        <f>B96+F96</f>
        <v>150</v>
      </c>
      <c r="I96">
        <f>B96+H96</f>
        <v>245</v>
      </c>
      <c r="J96">
        <f>B96</f>
        <v>95</v>
      </c>
      <c r="K96">
        <f>H96</f>
        <v>150</v>
      </c>
      <c r="L96">
        <f>B96</f>
        <v>95</v>
      </c>
      <c r="M96">
        <f>J96+K96+L96</f>
        <v>340</v>
      </c>
      <c r="N96">
        <f>2*B96+H96</f>
        <v>340</v>
      </c>
      <c r="O96">
        <f>B96+2*H96</f>
        <v>395</v>
      </c>
      <c r="P96">
        <f>B96</f>
        <v>95</v>
      </c>
      <c r="Q96" t="str">
        <f>B96&amp;"p+"&amp;H96&amp;"n+"&amp;B96&amp;"e"</f>
        <v>95p+150n+95e</v>
      </c>
      <c r="R96" t="str">
        <f>N96&amp;"u+"&amp;O96&amp;"d+"&amp;P96&amp;"e"</f>
        <v>340u+395d+95e</v>
      </c>
      <c r="S96">
        <f>COUNTIF(Shells!$E$2:$E$9,"&lt;"&amp;B96)+1</f>
        <v>6</v>
      </c>
      <c r="T96">
        <f>INDEX(Shells!$B$2:$B$9,S96)</f>
        <v>3</v>
      </c>
      <c r="U96">
        <f>INDEX(Shells!$C$2:$C$9,S96)</f>
        <v>18</v>
      </c>
      <c r="V96">
        <f>B96-IF(S96=1,0,INDEX(Shells!$E$2:$E$9,S96-1))</f>
        <v>3</v>
      </c>
      <c r="W96" t="str">
        <f>IF(V96=U96,"CLOSED_SHELL","OPEN_SHELL")</f>
        <v>OPEN_SHELL</v>
      </c>
      <c r="X96">
        <f>Constants!$B$11</f>
        <v>9.266927083333333333333333333333333333333333333333333333333333333333333333333333333333333333333333333</v>
      </c>
      <c r="Y96">
        <f>H96-B96</f>
        <v>55</v>
      </c>
      <c r="Z96">
        <f>B96*Constants!$B$11+Y96*Constants!$B$12</f>
        <v>881.2174479166666666666666666666666666666666666666666666666666666666666666666666666666666666666666667</v>
      </c>
      <c r="AA96">
        <f>Z96*Constants!$B$5</f>
        <v>7049.739583333333333333333333333333333333333333333333333333333333333333333333333333333333333333333333</v>
      </c>
      <c r="AB96">
        <f>Z96*7</f>
        <v>6168.522135416666666666666666666666666666666666666666666666666666666666666666666666666666666666666667</v>
      </c>
      <c r="AC96" t="str">
        <f>IF(B96&gt;Constants!$B$6-Constants!$B$5,"CONSTANT_FRONTIER_TAIL_Z119_Z126","CONSTANT_NATIVE_SURFACE_Z001_Z118")</f>
        <v>CONSTANT_NATIVE_SURFACE_Z001_Z118</v>
      </c>
      <c r="AD96" t="str">
        <f>IF(B96&gt;Constants!$B$6-Constants!$B$5,"CONSTANT_FRONTIER_TAIL_CANDIDATE",IF(G96=0,"CONSTANT_STABLE_ANCHOR_LANE",IF(G96=Constants!$B$2/2,"CONSTANT_HALF_WRITE_LANE","CONSTANT_BOUND_LADDER_LANE")))</f>
        <v>CONSTANT_BOUND_LADDER_LANE</v>
      </c>
    </row>
    <row r="97">
      <c r="A97" t="str">
        <f>"E"&amp;TEXT(B97,"000")</f>
        <v>E096</v>
      </c>
      <c r="B97">
        <f>ROW()-1</f>
        <v>96</v>
      </c>
      <c r="C97">
        <f>INT((B97-1)/Constants!$B$2)+1</f>
        <v>8</v>
      </c>
      <c r="D97">
        <f>MOD(B97-1,Constants!$B$2)+1</f>
        <v>12</v>
      </c>
      <c r="E97">
        <f>MAX(0,C97-1)</f>
        <v>7</v>
      </c>
      <c r="F97">
        <f>INT(B97*E97/Constants!$B$2)</f>
        <v>56</v>
      </c>
      <c r="G97">
        <f>MOD(B97*E97,Constants!$B$2)</f>
        <v>0</v>
      </c>
      <c r="H97">
        <f>B97+F97</f>
        <v>152</v>
      </c>
      <c r="I97">
        <f>B97+H97</f>
        <v>248</v>
      </c>
      <c r="J97">
        <f>B97</f>
        <v>96</v>
      </c>
      <c r="K97">
        <f>H97</f>
        <v>152</v>
      </c>
      <c r="L97">
        <f>B97</f>
        <v>96</v>
      </c>
      <c r="M97">
        <f>J97+K97+L97</f>
        <v>344</v>
      </c>
      <c r="N97">
        <f>2*B97+H97</f>
        <v>344</v>
      </c>
      <c r="O97">
        <f>B97+2*H97</f>
        <v>400</v>
      </c>
      <c r="P97">
        <f>B97</f>
        <v>96</v>
      </c>
      <c r="Q97" t="str">
        <f>B97&amp;"p+"&amp;H97&amp;"n+"&amp;B97&amp;"e"</f>
        <v>96p+152n+96e</v>
      </c>
      <c r="R97" t="str">
        <f>N97&amp;"u+"&amp;O97&amp;"d+"&amp;P97&amp;"e"</f>
        <v>344u+400d+96e</v>
      </c>
      <c r="S97">
        <f>COUNTIF(Shells!$E$2:$E$9,"&lt;"&amp;B97)+1</f>
        <v>6</v>
      </c>
      <c r="T97">
        <f>INDEX(Shells!$B$2:$B$9,S97)</f>
        <v>3</v>
      </c>
      <c r="U97">
        <f>INDEX(Shells!$C$2:$C$9,S97)</f>
        <v>18</v>
      </c>
      <c r="V97">
        <f>B97-IF(S97=1,0,INDEX(Shells!$E$2:$E$9,S97-1))</f>
        <v>4</v>
      </c>
      <c r="W97" t="str">
        <f>IF(V97=U97,"CLOSED_SHELL","OPEN_SHELL")</f>
        <v>OPEN_SHELL</v>
      </c>
      <c r="X97">
        <f>Constants!$B$11</f>
        <v>9.266927083333333333333333333333333333333333333333333333333333333333333333333333333333333333333333333</v>
      </c>
      <c r="Y97">
        <f>H97-B97</f>
        <v>56</v>
      </c>
      <c r="Z97">
        <f>B97*Constants!$B$11+Y97*Constants!$B$12</f>
        <v>890.5</v>
      </c>
      <c r="AA97">
        <f>Z97*Constants!$B$5</f>
        <v>7124</v>
      </c>
      <c r="AB97">
        <f>Z97*7</f>
        <v>6233.5</v>
      </c>
      <c r="AC97" t="str">
        <f>IF(B97&gt;Constants!$B$6-Constants!$B$5,"CONSTANT_FRONTIER_TAIL_Z119_Z126","CONSTANT_NATIVE_SURFACE_Z001_Z118")</f>
        <v>CONSTANT_NATIVE_SURFACE_Z001_Z118</v>
      </c>
      <c r="AD97" t="str">
        <f>IF(B97&gt;Constants!$B$6-Constants!$B$5,"CONSTANT_FRONTIER_TAIL_CANDIDATE",IF(G97=0,"CONSTANT_STABLE_ANCHOR_LANE",IF(G97=Constants!$B$2/2,"CONSTANT_HALF_WRITE_LANE","CONSTANT_BOUND_LADDER_LANE")))</f>
        <v>CONSTANT_STABLE_ANCHOR_LANE</v>
      </c>
    </row>
    <row r="98">
      <c r="A98" t="str">
        <f>"E"&amp;TEXT(B98,"000")</f>
        <v>E097</v>
      </c>
      <c r="B98">
        <f>ROW()-1</f>
        <v>97</v>
      </c>
      <c r="C98">
        <f>INT((B98-1)/Constants!$B$2)+1</f>
        <v>9</v>
      </c>
      <c r="D98">
        <f>MOD(B98-1,Constants!$B$2)+1</f>
        <v>1</v>
      </c>
      <c r="E98">
        <f>MAX(0,C98-1)</f>
        <v>8</v>
      </c>
      <c r="F98">
        <f>INT(B98*E98/Constants!$B$2)</f>
        <v>64</v>
      </c>
      <c r="G98">
        <f>MOD(B98*E98,Constants!$B$2)</f>
        <v>8</v>
      </c>
      <c r="H98">
        <f>B98+F98</f>
        <v>161</v>
      </c>
      <c r="I98">
        <f>B98+H98</f>
        <v>258</v>
      </c>
      <c r="J98">
        <f>B98</f>
        <v>97</v>
      </c>
      <c r="K98">
        <f>H98</f>
        <v>161</v>
      </c>
      <c r="L98">
        <f>B98</f>
        <v>97</v>
      </c>
      <c r="M98">
        <f>J98+K98+L98</f>
        <v>355</v>
      </c>
      <c r="N98">
        <f>2*B98+H98</f>
        <v>355</v>
      </c>
      <c r="O98">
        <f>B98+2*H98</f>
        <v>419</v>
      </c>
      <c r="P98">
        <f>B98</f>
        <v>97</v>
      </c>
      <c r="Q98" t="str">
        <f>B98&amp;"p+"&amp;H98&amp;"n+"&amp;B98&amp;"e"</f>
        <v>97p+161n+97e</v>
      </c>
      <c r="R98" t="str">
        <f>N98&amp;"u+"&amp;O98&amp;"d+"&amp;P98&amp;"e"</f>
        <v>355u+419d+97e</v>
      </c>
      <c r="S98">
        <f>COUNTIF(Shells!$E$2:$E$9,"&lt;"&amp;B98)+1</f>
        <v>6</v>
      </c>
      <c r="T98">
        <f>INDEX(Shells!$B$2:$B$9,S98)</f>
        <v>3</v>
      </c>
      <c r="U98">
        <f>INDEX(Shells!$C$2:$C$9,S98)</f>
        <v>18</v>
      </c>
      <c r="V98">
        <f>B98-IF(S98=1,0,INDEX(Shells!$E$2:$E$9,S98-1))</f>
        <v>5</v>
      </c>
      <c r="W98" t="str">
        <f>IF(V98=U98,"CLOSED_SHELL","OPEN_SHELL")</f>
        <v>OPEN_SHELL</v>
      </c>
      <c r="X98">
        <f>Constants!$B$11</f>
        <v>9.266927083333333333333333333333333333333333333333333333333333333333333333333333333333333333333333333</v>
      </c>
      <c r="Y98">
        <f>H98-B98</f>
        <v>64</v>
      </c>
      <c r="Z98">
        <f>B98*Constants!$B$11+Y98*Constants!$B$12</f>
        <v>899.8919270833333333333333333333333333333333333333333333333333333333333333333333333333333333333333333</v>
      </c>
      <c r="AA98">
        <f>Z98*Constants!$B$5</f>
        <v>7199.135416666666666666666666666666666666666666666666666666666666666666666666666666666666666666666667</v>
      </c>
      <c r="AB98">
        <f>Z98*7</f>
        <v>6299.243489583333333333333333333333333333333333333333333333333333333333333333333333333333333333333333</v>
      </c>
      <c r="AC98" t="str">
        <f>IF(B98&gt;Constants!$B$6-Constants!$B$5,"CONSTANT_FRONTIER_TAIL_Z119_Z126","CONSTANT_NATIVE_SURFACE_Z001_Z118")</f>
        <v>CONSTANT_NATIVE_SURFACE_Z001_Z118</v>
      </c>
      <c r="AD98" t="str">
        <f>IF(B98&gt;Constants!$B$6-Constants!$B$5,"CONSTANT_FRONTIER_TAIL_CANDIDATE",IF(G98=0,"CONSTANT_STABLE_ANCHOR_LANE",IF(G98=Constants!$B$2/2,"CONSTANT_HALF_WRITE_LANE","CONSTANT_BOUND_LADDER_LANE")))</f>
        <v>CONSTANT_BOUND_LADDER_LANE</v>
      </c>
    </row>
    <row r="99">
      <c r="A99" t="str">
        <f>"E"&amp;TEXT(B99,"000")</f>
        <v>E098</v>
      </c>
      <c r="B99">
        <f>ROW()-1</f>
        <v>98</v>
      </c>
      <c r="C99">
        <f>INT((B99-1)/Constants!$B$2)+1</f>
        <v>9</v>
      </c>
      <c r="D99">
        <f>MOD(B99-1,Constants!$B$2)+1</f>
        <v>2</v>
      </c>
      <c r="E99">
        <f>MAX(0,C99-1)</f>
        <v>8</v>
      </c>
      <c r="F99">
        <f>INT(B99*E99/Constants!$B$2)</f>
        <v>65</v>
      </c>
      <c r="G99">
        <f>MOD(B99*E99,Constants!$B$2)</f>
        <v>4</v>
      </c>
      <c r="H99">
        <f>B99+F99</f>
        <v>163</v>
      </c>
      <c r="I99">
        <f>B99+H99</f>
        <v>261</v>
      </c>
      <c r="J99">
        <f>B99</f>
        <v>98</v>
      </c>
      <c r="K99">
        <f>H99</f>
        <v>163</v>
      </c>
      <c r="L99">
        <f>B99</f>
        <v>98</v>
      </c>
      <c r="M99">
        <f>J99+K99+L99</f>
        <v>359</v>
      </c>
      <c r="N99">
        <f>2*B99+H99</f>
        <v>359</v>
      </c>
      <c r="O99">
        <f>B99+2*H99</f>
        <v>424</v>
      </c>
      <c r="P99">
        <f>B99</f>
        <v>98</v>
      </c>
      <c r="Q99" t="str">
        <f>B99&amp;"p+"&amp;H99&amp;"n+"&amp;B99&amp;"e"</f>
        <v>98p+163n+98e</v>
      </c>
      <c r="R99" t="str">
        <f>N99&amp;"u+"&amp;O99&amp;"d+"&amp;P99&amp;"e"</f>
        <v>359u+424d+98e</v>
      </c>
      <c r="S99">
        <f>COUNTIF(Shells!$E$2:$E$9,"&lt;"&amp;B99)+1</f>
        <v>6</v>
      </c>
      <c r="T99">
        <f>INDEX(Shells!$B$2:$B$9,S99)</f>
        <v>3</v>
      </c>
      <c r="U99">
        <f>INDEX(Shells!$C$2:$C$9,S99)</f>
        <v>18</v>
      </c>
      <c r="V99">
        <f>B99-IF(S99=1,0,INDEX(Shells!$E$2:$E$9,S99-1))</f>
        <v>6</v>
      </c>
      <c r="W99" t="str">
        <f>IF(V99=U99,"CLOSED_SHELL","OPEN_SHELL")</f>
        <v>OPEN_SHELL</v>
      </c>
      <c r="X99">
        <f>Constants!$B$11</f>
        <v>9.266927083333333333333333333333333333333333333333333333333333333333333333333333333333333333333333333</v>
      </c>
      <c r="Y99">
        <f>H99-B99</f>
        <v>65</v>
      </c>
      <c r="Z99">
        <f>B99*Constants!$B$11+Y99*Constants!$B$12</f>
        <v>909.1744791666666666666666666666666666666666666666666666666666666666666666666666666666666666666666667</v>
      </c>
      <c r="AA99">
        <f>Z99*Constants!$B$5</f>
        <v>7273.395833333333333333333333333333333333333333333333333333333333333333333333333333333333333333333333</v>
      </c>
      <c r="AB99">
        <f>Z99*7</f>
        <v>6364.221354166666666666666666666666666666666666666666666666666666666666666666666666666666666666666667</v>
      </c>
      <c r="AC99" t="str">
        <f>IF(B99&gt;Constants!$B$6-Constants!$B$5,"CONSTANT_FRONTIER_TAIL_Z119_Z126","CONSTANT_NATIVE_SURFACE_Z001_Z118")</f>
        <v>CONSTANT_NATIVE_SURFACE_Z001_Z118</v>
      </c>
      <c r="AD99" t="str">
        <f>IF(B99&gt;Constants!$B$6-Constants!$B$5,"CONSTANT_FRONTIER_TAIL_CANDIDATE",IF(G99=0,"CONSTANT_STABLE_ANCHOR_LANE",IF(G99=Constants!$B$2/2,"CONSTANT_HALF_WRITE_LANE","CONSTANT_BOUND_LADDER_LANE")))</f>
        <v>CONSTANT_BOUND_LADDER_LANE</v>
      </c>
    </row>
    <row r="100">
      <c r="A100" t="str">
        <f>"E"&amp;TEXT(B100,"000")</f>
        <v>E099</v>
      </c>
      <c r="B100">
        <f>ROW()-1</f>
        <v>99</v>
      </c>
      <c r="C100">
        <f>INT((B100-1)/Constants!$B$2)+1</f>
        <v>9</v>
      </c>
      <c r="D100">
        <f>MOD(B100-1,Constants!$B$2)+1</f>
        <v>3</v>
      </c>
      <c r="E100">
        <f>MAX(0,C100-1)</f>
        <v>8</v>
      </c>
      <c r="F100">
        <f>INT(B100*E100/Constants!$B$2)</f>
        <v>66</v>
      </c>
      <c r="G100">
        <f>MOD(B100*E100,Constants!$B$2)</f>
        <v>0</v>
      </c>
      <c r="H100">
        <f>B100+F100</f>
        <v>165</v>
      </c>
      <c r="I100">
        <f>B100+H100</f>
        <v>264</v>
      </c>
      <c r="J100">
        <f>B100</f>
        <v>99</v>
      </c>
      <c r="K100">
        <f>H100</f>
        <v>165</v>
      </c>
      <c r="L100">
        <f>B100</f>
        <v>99</v>
      </c>
      <c r="M100">
        <f>J100+K100+L100</f>
        <v>363</v>
      </c>
      <c r="N100">
        <f>2*B100+H100</f>
        <v>363</v>
      </c>
      <c r="O100">
        <f>B100+2*H100</f>
        <v>429</v>
      </c>
      <c r="P100">
        <f>B100</f>
        <v>99</v>
      </c>
      <c r="Q100" t="str">
        <f>B100&amp;"p+"&amp;H100&amp;"n+"&amp;B100&amp;"e"</f>
        <v>99p+165n+99e</v>
      </c>
      <c r="R100" t="str">
        <f>N100&amp;"u+"&amp;O100&amp;"d+"&amp;P100&amp;"e"</f>
        <v>363u+429d+99e</v>
      </c>
      <c r="S100">
        <f>COUNTIF(Shells!$E$2:$E$9,"&lt;"&amp;B100)+1</f>
        <v>6</v>
      </c>
      <c r="T100">
        <f>INDEX(Shells!$B$2:$B$9,S100)</f>
        <v>3</v>
      </c>
      <c r="U100">
        <f>INDEX(Shells!$C$2:$C$9,S100)</f>
        <v>18</v>
      </c>
      <c r="V100">
        <f>B100-IF(S100=1,0,INDEX(Shells!$E$2:$E$9,S100-1))</f>
        <v>7</v>
      </c>
      <c r="W100" t="str">
        <f>IF(V100=U100,"CLOSED_SHELL","OPEN_SHELL")</f>
        <v>OPEN_SHELL</v>
      </c>
      <c r="X100">
        <f>Constants!$B$11</f>
        <v>9.266927083333333333333333333333333333333333333333333333333333333333333333333333333333333333333333333</v>
      </c>
      <c r="Y100">
        <f>H100-B100</f>
        <v>66</v>
      </c>
      <c r="Z100">
        <f>B100*Constants!$B$11+Y100*Constants!$B$12</f>
        <v>918.45703125</v>
      </c>
      <c r="AA100">
        <f>Z100*Constants!$B$5</f>
        <v>7347.65625</v>
      </c>
      <c r="AB100">
        <f>Z100*7</f>
        <v>6429.19921875</v>
      </c>
      <c r="AC100" t="str">
        <f>IF(B100&gt;Constants!$B$6-Constants!$B$5,"CONSTANT_FRONTIER_TAIL_Z119_Z126","CONSTANT_NATIVE_SURFACE_Z001_Z118")</f>
        <v>CONSTANT_NATIVE_SURFACE_Z001_Z118</v>
      </c>
      <c r="AD100" t="str">
        <f>IF(B100&gt;Constants!$B$6-Constants!$B$5,"CONSTANT_FRONTIER_TAIL_CANDIDATE",IF(G100=0,"CONSTANT_STABLE_ANCHOR_LANE",IF(G100=Constants!$B$2/2,"CONSTANT_HALF_WRITE_LANE","CONSTANT_BOUND_LADDER_LANE")))</f>
        <v>CONSTANT_STABLE_ANCHOR_LANE</v>
      </c>
    </row>
    <row r="101">
      <c r="A101" t="str">
        <f>"E"&amp;TEXT(B101,"000")</f>
        <v>E100</v>
      </c>
      <c r="B101">
        <f>ROW()-1</f>
        <v>100</v>
      </c>
      <c r="C101">
        <f>INT((B101-1)/Constants!$B$2)+1</f>
        <v>9</v>
      </c>
      <c r="D101">
        <f>MOD(B101-1,Constants!$B$2)+1</f>
        <v>4</v>
      </c>
      <c r="E101">
        <f>MAX(0,C101-1)</f>
        <v>8</v>
      </c>
      <c r="F101">
        <f>INT(B101*E101/Constants!$B$2)</f>
        <v>66</v>
      </c>
      <c r="G101">
        <f>MOD(B101*E101,Constants!$B$2)</f>
        <v>8</v>
      </c>
      <c r="H101">
        <f>B101+F101</f>
        <v>166</v>
      </c>
      <c r="I101">
        <f>B101+H101</f>
        <v>266</v>
      </c>
      <c r="J101">
        <f>B101</f>
        <v>100</v>
      </c>
      <c r="K101">
        <f>H101</f>
        <v>166</v>
      </c>
      <c r="L101">
        <f>B101</f>
        <v>100</v>
      </c>
      <c r="M101">
        <f>J101+K101+L101</f>
        <v>366</v>
      </c>
      <c r="N101">
        <f>2*B101+H101</f>
        <v>366</v>
      </c>
      <c r="O101">
        <f>B101+2*H101</f>
        <v>432</v>
      </c>
      <c r="P101">
        <f>B101</f>
        <v>100</v>
      </c>
      <c r="Q101" t="str">
        <f>B101&amp;"p+"&amp;H101&amp;"n+"&amp;B101&amp;"e"</f>
        <v>100p+166n+100e</v>
      </c>
      <c r="R101" t="str">
        <f>N101&amp;"u+"&amp;O101&amp;"d+"&amp;P101&amp;"e"</f>
        <v>366u+432d+100e</v>
      </c>
      <c r="S101">
        <f>COUNTIF(Shells!$E$2:$E$9,"&lt;"&amp;B101)+1</f>
        <v>6</v>
      </c>
      <c r="T101">
        <f>INDEX(Shells!$B$2:$B$9,S101)</f>
        <v>3</v>
      </c>
      <c r="U101">
        <f>INDEX(Shells!$C$2:$C$9,S101)</f>
        <v>18</v>
      </c>
      <c r="V101">
        <f>B101-IF(S101=1,0,INDEX(Shells!$E$2:$E$9,S101-1))</f>
        <v>8</v>
      </c>
      <c r="W101" t="str">
        <f>IF(V101=U101,"CLOSED_SHELL","OPEN_SHELL")</f>
        <v>OPEN_SHELL</v>
      </c>
      <c r="X101">
        <f>Constants!$B$11</f>
        <v>9.266927083333333333333333333333333333333333333333333333333333333333333333333333333333333333333333333</v>
      </c>
      <c r="Y101">
        <f>H101-B101</f>
        <v>66</v>
      </c>
      <c r="Z101">
        <f>B101*Constants!$B$11+Y101*Constants!$B$12</f>
        <v>927.7239583333333333333333333333333333333333333333333333333333333333333333333333333333333333333333333</v>
      </c>
      <c r="AA101">
        <f>Z101*Constants!$B$5</f>
        <v>7421.791666666666666666666666666666666666666666666666666666666666666666666666666666666666666666666667</v>
      </c>
      <c r="AB101">
        <f>Z101*7</f>
        <v>6494.067708333333333333333333333333333333333333333333333333333333333333333333333333333333333333333333</v>
      </c>
      <c r="AC101" t="str">
        <f>IF(B101&gt;Constants!$B$6-Constants!$B$5,"CONSTANT_FRONTIER_TAIL_Z119_Z126","CONSTANT_NATIVE_SURFACE_Z001_Z118")</f>
        <v>CONSTANT_NATIVE_SURFACE_Z001_Z118</v>
      </c>
      <c r="AD101" t="str">
        <f>IF(B101&gt;Constants!$B$6-Constants!$B$5,"CONSTANT_FRONTIER_TAIL_CANDIDATE",IF(G101=0,"CONSTANT_STABLE_ANCHOR_LANE",IF(G101=Constants!$B$2/2,"CONSTANT_HALF_WRITE_LANE","CONSTANT_BOUND_LADDER_LANE")))</f>
        <v>CONSTANT_BOUND_LADDER_LANE</v>
      </c>
    </row>
    <row r="102">
      <c r="A102" t="str">
        <f>"E"&amp;TEXT(B102,"000")</f>
        <v>E101</v>
      </c>
      <c r="B102">
        <f>ROW()-1</f>
        <v>101</v>
      </c>
      <c r="C102">
        <f>INT((B102-1)/Constants!$B$2)+1</f>
        <v>9</v>
      </c>
      <c r="D102">
        <f>MOD(B102-1,Constants!$B$2)+1</f>
        <v>5</v>
      </c>
      <c r="E102">
        <f>MAX(0,C102-1)</f>
        <v>8</v>
      </c>
      <c r="F102">
        <f>INT(B102*E102/Constants!$B$2)</f>
        <v>67</v>
      </c>
      <c r="G102">
        <f>MOD(B102*E102,Constants!$B$2)</f>
        <v>4</v>
      </c>
      <c r="H102">
        <f>B102+F102</f>
        <v>168</v>
      </c>
      <c r="I102">
        <f>B102+H102</f>
        <v>269</v>
      </c>
      <c r="J102">
        <f>B102</f>
        <v>101</v>
      </c>
      <c r="K102">
        <f>H102</f>
        <v>168</v>
      </c>
      <c r="L102">
        <f>B102</f>
        <v>101</v>
      </c>
      <c r="M102">
        <f>J102+K102+L102</f>
        <v>370</v>
      </c>
      <c r="N102">
        <f>2*B102+H102</f>
        <v>370</v>
      </c>
      <c r="O102">
        <f>B102+2*H102</f>
        <v>437</v>
      </c>
      <c r="P102">
        <f>B102</f>
        <v>101</v>
      </c>
      <c r="Q102" t="str">
        <f>B102&amp;"p+"&amp;H102&amp;"n+"&amp;B102&amp;"e"</f>
        <v>101p+168n+101e</v>
      </c>
      <c r="R102" t="str">
        <f>N102&amp;"u+"&amp;O102&amp;"d+"&amp;P102&amp;"e"</f>
        <v>370u+437d+101e</v>
      </c>
      <c r="S102">
        <f>COUNTIF(Shells!$E$2:$E$9,"&lt;"&amp;B102)+1</f>
        <v>6</v>
      </c>
      <c r="T102">
        <f>INDEX(Shells!$B$2:$B$9,S102)</f>
        <v>3</v>
      </c>
      <c r="U102">
        <f>INDEX(Shells!$C$2:$C$9,S102)</f>
        <v>18</v>
      </c>
      <c r="V102">
        <f>B102-IF(S102=1,0,INDEX(Shells!$E$2:$E$9,S102-1))</f>
        <v>9</v>
      </c>
      <c r="W102" t="str">
        <f>IF(V102=U102,"CLOSED_SHELL","OPEN_SHELL")</f>
        <v>OPEN_SHELL</v>
      </c>
      <c r="X102">
        <f>Constants!$B$11</f>
        <v>9.266927083333333333333333333333333333333333333333333333333333333333333333333333333333333333333333333</v>
      </c>
      <c r="Y102">
        <f>H102-B102</f>
        <v>67</v>
      </c>
      <c r="Z102">
        <f>B102*Constants!$B$11+Y102*Constants!$B$12</f>
        <v>937.0065104166666666666666666666666666666666666666666666666666666666666666666666666666666666666666667</v>
      </c>
      <c r="AA102">
        <f>Z102*Constants!$B$5</f>
        <v>7496.052083333333333333333333333333333333333333333333333333333333333333333333333333333333333333333333</v>
      </c>
      <c r="AB102">
        <f>Z102*7</f>
        <v>6559.045572916666666666666666666666666666666666666666666666666666666666666666666666666666666666666667</v>
      </c>
      <c r="AC102" t="str">
        <f>IF(B102&gt;Constants!$B$6-Constants!$B$5,"CONSTANT_FRONTIER_TAIL_Z119_Z126","CONSTANT_NATIVE_SURFACE_Z001_Z118")</f>
        <v>CONSTANT_NATIVE_SURFACE_Z001_Z118</v>
      </c>
      <c r="AD102" t="str">
        <f>IF(B102&gt;Constants!$B$6-Constants!$B$5,"CONSTANT_FRONTIER_TAIL_CANDIDATE",IF(G102=0,"CONSTANT_STABLE_ANCHOR_LANE",IF(G102=Constants!$B$2/2,"CONSTANT_HALF_WRITE_LANE","CONSTANT_BOUND_LADDER_LANE")))</f>
        <v>CONSTANT_BOUND_LADDER_LANE</v>
      </c>
    </row>
    <row r="103">
      <c r="A103" t="str">
        <f>"E"&amp;TEXT(B103,"000")</f>
        <v>E102</v>
      </c>
      <c r="B103">
        <f>ROW()-1</f>
        <v>102</v>
      </c>
      <c r="C103">
        <f>INT((B103-1)/Constants!$B$2)+1</f>
        <v>9</v>
      </c>
      <c r="D103">
        <f>MOD(B103-1,Constants!$B$2)+1</f>
        <v>6</v>
      </c>
      <c r="E103">
        <f>MAX(0,C103-1)</f>
        <v>8</v>
      </c>
      <c r="F103">
        <f>INT(B103*E103/Constants!$B$2)</f>
        <v>68</v>
      </c>
      <c r="G103">
        <f>MOD(B103*E103,Constants!$B$2)</f>
        <v>0</v>
      </c>
      <c r="H103">
        <f>B103+F103</f>
        <v>170</v>
      </c>
      <c r="I103">
        <f>B103+H103</f>
        <v>272</v>
      </c>
      <c r="J103">
        <f>B103</f>
        <v>102</v>
      </c>
      <c r="K103">
        <f>H103</f>
        <v>170</v>
      </c>
      <c r="L103">
        <f>B103</f>
        <v>102</v>
      </c>
      <c r="M103">
        <f>J103+K103+L103</f>
        <v>374</v>
      </c>
      <c r="N103">
        <f>2*B103+H103</f>
        <v>374</v>
      </c>
      <c r="O103">
        <f>B103+2*H103</f>
        <v>442</v>
      </c>
      <c r="P103">
        <f>B103</f>
        <v>102</v>
      </c>
      <c r="Q103" t="str">
        <f>B103&amp;"p+"&amp;H103&amp;"n+"&amp;B103&amp;"e"</f>
        <v>102p+170n+102e</v>
      </c>
      <c r="R103" t="str">
        <f>N103&amp;"u+"&amp;O103&amp;"d+"&amp;P103&amp;"e"</f>
        <v>374u+442d+102e</v>
      </c>
      <c r="S103">
        <f>COUNTIF(Shells!$E$2:$E$9,"&lt;"&amp;B103)+1</f>
        <v>6</v>
      </c>
      <c r="T103">
        <f>INDEX(Shells!$B$2:$B$9,S103)</f>
        <v>3</v>
      </c>
      <c r="U103">
        <f>INDEX(Shells!$C$2:$C$9,S103)</f>
        <v>18</v>
      </c>
      <c r="V103">
        <f>B103-IF(S103=1,0,INDEX(Shells!$E$2:$E$9,S103-1))</f>
        <v>10</v>
      </c>
      <c r="W103" t="str">
        <f>IF(V103=U103,"CLOSED_SHELL","OPEN_SHELL")</f>
        <v>OPEN_SHELL</v>
      </c>
      <c r="X103">
        <f>Constants!$B$11</f>
        <v>9.266927083333333333333333333333333333333333333333333333333333333333333333333333333333333333333333333</v>
      </c>
      <c r="Y103">
        <f>H103-B103</f>
        <v>68</v>
      </c>
      <c r="Z103">
        <f>B103*Constants!$B$11+Y103*Constants!$B$12</f>
        <v>946.2890625</v>
      </c>
      <c r="AA103">
        <f>Z103*Constants!$B$5</f>
        <v>7570.3125</v>
      </c>
      <c r="AB103">
        <f>Z103*7</f>
        <v>6624.0234375</v>
      </c>
      <c r="AC103" t="str">
        <f>IF(B103&gt;Constants!$B$6-Constants!$B$5,"CONSTANT_FRONTIER_TAIL_Z119_Z126","CONSTANT_NATIVE_SURFACE_Z001_Z118")</f>
        <v>CONSTANT_NATIVE_SURFACE_Z001_Z118</v>
      </c>
      <c r="AD103" t="str">
        <f>IF(B103&gt;Constants!$B$6-Constants!$B$5,"CONSTANT_FRONTIER_TAIL_CANDIDATE",IF(G103=0,"CONSTANT_STABLE_ANCHOR_LANE",IF(G103=Constants!$B$2/2,"CONSTANT_HALF_WRITE_LANE","CONSTANT_BOUND_LADDER_LANE")))</f>
        <v>CONSTANT_STABLE_ANCHOR_LANE</v>
      </c>
    </row>
    <row r="104">
      <c r="A104" t="str">
        <f>"E"&amp;TEXT(B104,"000")</f>
        <v>E103</v>
      </c>
      <c r="B104">
        <f>ROW()-1</f>
        <v>103</v>
      </c>
      <c r="C104">
        <f>INT((B104-1)/Constants!$B$2)+1</f>
        <v>9</v>
      </c>
      <c r="D104">
        <f>MOD(B104-1,Constants!$B$2)+1</f>
        <v>7</v>
      </c>
      <c r="E104">
        <f>MAX(0,C104-1)</f>
        <v>8</v>
      </c>
      <c r="F104">
        <f>INT(B104*E104/Constants!$B$2)</f>
        <v>68</v>
      </c>
      <c r="G104">
        <f>MOD(B104*E104,Constants!$B$2)</f>
        <v>8</v>
      </c>
      <c r="H104">
        <f>B104+F104</f>
        <v>171</v>
      </c>
      <c r="I104">
        <f>B104+H104</f>
        <v>274</v>
      </c>
      <c r="J104">
        <f>B104</f>
        <v>103</v>
      </c>
      <c r="K104">
        <f>H104</f>
        <v>171</v>
      </c>
      <c r="L104">
        <f>B104</f>
        <v>103</v>
      </c>
      <c r="M104">
        <f>J104+K104+L104</f>
        <v>377</v>
      </c>
      <c r="N104">
        <f>2*B104+H104</f>
        <v>377</v>
      </c>
      <c r="O104">
        <f>B104+2*H104</f>
        <v>445</v>
      </c>
      <c r="P104">
        <f>B104</f>
        <v>103</v>
      </c>
      <c r="Q104" t="str">
        <f>B104&amp;"p+"&amp;H104&amp;"n+"&amp;B104&amp;"e"</f>
        <v>103p+171n+103e</v>
      </c>
      <c r="R104" t="str">
        <f>N104&amp;"u+"&amp;O104&amp;"d+"&amp;P104&amp;"e"</f>
        <v>377u+445d+103e</v>
      </c>
      <c r="S104">
        <f>COUNTIF(Shells!$E$2:$E$9,"&lt;"&amp;B104)+1</f>
        <v>6</v>
      </c>
      <c r="T104">
        <f>INDEX(Shells!$B$2:$B$9,S104)</f>
        <v>3</v>
      </c>
      <c r="U104">
        <f>INDEX(Shells!$C$2:$C$9,S104)</f>
        <v>18</v>
      </c>
      <c r="V104">
        <f>B104-IF(S104=1,0,INDEX(Shells!$E$2:$E$9,S104-1))</f>
        <v>11</v>
      </c>
      <c r="W104" t="str">
        <f>IF(V104=U104,"CLOSED_SHELL","OPEN_SHELL")</f>
        <v>OPEN_SHELL</v>
      </c>
      <c r="X104">
        <f>Constants!$B$11</f>
        <v>9.266927083333333333333333333333333333333333333333333333333333333333333333333333333333333333333333333</v>
      </c>
      <c r="Y104">
        <f>H104-B104</f>
        <v>68</v>
      </c>
      <c r="Z104">
        <f>B104*Constants!$B$11+Y104*Constants!$B$12</f>
        <v>955.5559895833333333333333333333333333333333333333333333333333333333333333333333333333333333333333333</v>
      </c>
      <c r="AA104">
        <f>Z104*Constants!$B$5</f>
        <v>7644.447916666666666666666666666666666666666666666666666666666666666666666666666666666666666666666667</v>
      </c>
      <c r="AB104">
        <f>Z104*7</f>
        <v>6688.891927083333333333333333333333333333333333333333333333333333333333333333333333333333333333333333</v>
      </c>
      <c r="AC104" t="str">
        <f>IF(B104&gt;Constants!$B$6-Constants!$B$5,"CONSTANT_FRONTIER_TAIL_Z119_Z126","CONSTANT_NATIVE_SURFACE_Z001_Z118")</f>
        <v>CONSTANT_NATIVE_SURFACE_Z001_Z118</v>
      </c>
      <c r="AD104" t="str">
        <f>IF(B104&gt;Constants!$B$6-Constants!$B$5,"CONSTANT_FRONTIER_TAIL_CANDIDATE",IF(G104=0,"CONSTANT_STABLE_ANCHOR_LANE",IF(G104=Constants!$B$2/2,"CONSTANT_HALF_WRITE_LANE","CONSTANT_BOUND_LADDER_LANE")))</f>
        <v>CONSTANT_BOUND_LADDER_LANE</v>
      </c>
    </row>
    <row r="105">
      <c r="A105" t="str">
        <f>"E"&amp;TEXT(B105,"000")</f>
        <v>E104</v>
      </c>
      <c r="B105">
        <f>ROW()-1</f>
        <v>104</v>
      </c>
      <c r="C105">
        <f>INT((B105-1)/Constants!$B$2)+1</f>
        <v>9</v>
      </c>
      <c r="D105">
        <f>MOD(B105-1,Constants!$B$2)+1</f>
        <v>8</v>
      </c>
      <c r="E105">
        <f>MAX(0,C105-1)</f>
        <v>8</v>
      </c>
      <c r="F105">
        <f>INT(B105*E105/Constants!$B$2)</f>
        <v>69</v>
      </c>
      <c r="G105">
        <f>MOD(B105*E105,Constants!$B$2)</f>
        <v>4</v>
      </c>
      <c r="H105">
        <f>B105+F105</f>
        <v>173</v>
      </c>
      <c r="I105">
        <f>B105+H105</f>
        <v>277</v>
      </c>
      <c r="J105">
        <f>B105</f>
        <v>104</v>
      </c>
      <c r="K105">
        <f>H105</f>
        <v>173</v>
      </c>
      <c r="L105">
        <f>B105</f>
        <v>104</v>
      </c>
      <c r="M105">
        <f>J105+K105+L105</f>
        <v>381</v>
      </c>
      <c r="N105">
        <f>2*B105+H105</f>
        <v>381</v>
      </c>
      <c r="O105">
        <f>B105+2*H105</f>
        <v>450</v>
      </c>
      <c r="P105">
        <f>B105</f>
        <v>104</v>
      </c>
      <c r="Q105" t="str">
        <f>B105&amp;"p+"&amp;H105&amp;"n+"&amp;B105&amp;"e"</f>
        <v>104p+173n+104e</v>
      </c>
      <c r="R105" t="str">
        <f>N105&amp;"u+"&amp;O105&amp;"d+"&amp;P105&amp;"e"</f>
        <v>381u+450d+104e</v>
      </c>
      <c r="S105">
        <f>COUNTIF(Shells!$E$2:$E$9,"&lt;"&amp;B105)+1</f>
        <v>6</v>
      </c>
      <c r="T105">
        <f>INDEX(Shells!$B$2:$B$9,S105)</f>
        <v>3</v>
      </c>
      <c r="U105">
        <f>INDEX(Shells!$C$2:$C$9,S105)</f>
        <v>18</v>
      </c>
      <c r="V105">
        <f>B105-IF(S105=1,0,INDEX(Shells!$E$2:$E$9,S105-1))</f>
        <v>12</v>
      </c>
      <c r="W105" t="str">
        <f>IF(V105=U105,"CLOSED_SHELL","OPEN_SHELL")</f>
        <v>OPEN_SHELL</v>
      </c>
      <c r="X105">
        <f>Constants!$B$11</f>
        <v>9.266927083333333333333333333333333333333333333333333333333333333333333333333333333333333333333333333</v>
      </c>
      <c r="Y105">
        <f>H105-B105</f>
        <v>69</v>
      </c>
      <c r="Z105">
        <f>B105*Constants!$B$11+Y105*Constants!$B$12</f>
        <v>964.8385416666666666666666666666666666666666666666666666666666666666666666666666666666666666666666667</v>
      </c>
      <c r="AA105">
        <f>Z105*Constants!$B$5</f>
        <v>7718.708333333333333333333333333333333333333333333333333333333333333333333333333333333333333333333333</v>
      </c>
      <c r="AB105">
        <f>Z105*7</f>
        <v>6753.869791666666666666666666666666666666666666666666666666666666666666666666666666666666666666666667</v>
      </c>
      <c r="AC105" t="str">
        <f>IF(B105&gt;Constants!$B$6-Constants!$B$5,"CONSTANT_FRONTIER_TAIL_Z119_Z126","CONSTANT_NATIVE_SURFACE_Z001_Z118")</f>
        <v>CONSTANT_NATIVE_SURFACE_Z001_Z118</v>
      </c>
      <c r="AD105" t="str">
        <f>IF(B105&gt;Constants!$B$6-Constants!$B$5,"CONSTANT_FRONTIER_TAIL_CANDIDATE",IF(G105=0,"CONSTANT_STABLE_ANCHOR_LANE",IF(G105=Constants!$B$2/2,"CONSTANT_HALF_WRITE_LANE","CONSTANT_BOUND_LADDER_LANE")))</f>
        <v>CONSTANT_BOUND_LADDER_LANE</v>
      </c>
    </row>
    <row r="106">
      <c r="A106" t="str">
        <f>"E"&amp;TEXT(B106,"000")</f>
        <v>E105</v>
      </c>
      <c r="B106">
        <f>ROW()-1</f>
        <v>105</v>
      </c>
      <c r="C106">
        <f>INT((B106-1)/Constants!$B$2)+1</f>
        <v>9</v>
      </c>
      <c r="D106">
        <f>MOD(B106-1,Constants!$B$2)+1</f>
        <v>9</v>
      </c>
      <c r="E106">
        <f>MAX(0,C106-1)</f>
        <v>8</v>
      </c>
      <c r="F106">
        <f>INT(B106*E106/Constants!$B$2)</f>
        <v>70</v>
      </c>
      <c r="G106">
        <f>MOD(B106*E106,Constants!$B$2)</f>
        <v>0</v>
      </c>
      <c r="H106">
        <f>B106+F106</f>
        <v>175</v>
      </c>
      <c r="I106">
        <f>B106+H106</f>
        <v>280</v>
      </c>
      <c r="J106">
        <f>B106</f>
        <v>105</v>
      </c>
      <c r="K106">
        <f>H106</f>
        <v>175</v>
      </c>
      <c r="L106">
        <f>B106</f>
        <v>105</v>
      </c>
      <c r="M106">
        <f>J106+K106+L106</f>
        <v>385</v>
      </c>
      <c r="N106">
        <f>2*B106+H106</f>
        <v>385</v>
      </c>
      <c r="O106">
        <f>B106+2*H106</f>
        <v>455</v>
      </c>
      <c r="P106">
        <f>B106</f>
        <v>105</v>
      </c>
      <c r="Q106" t="str">
        <f>B106&amp;"p+"&amp;H106&amp;"n+"&amp;B106&amp;"e"</f>
        <v>105p+175n+105e</v>
      </c>
      <c r="R106" t="str">
        <f>N106&amp;"u+"&amp;O106&amp;"d+"&amp;P106&amp;"e"</f>
        <v>385u+455d+105e</v>
      </c>
      <c r="S106">
        <f>COUNTIF(Shells!$E$2:$E$9,"&lt;"&amp;B106)+1</f>
        <v>6</v>
      </c>
      <c r="T106">
        <f>INDEX(Shells!$B$2:$B$9,S106)</f>
        <v>3</v>
      </c>
      <c r="U106">
        <f>INDEX(Shells!$C$2:$C$9,S106)</f>
        <v>18</v>
      </c>
      <c r="V106">
        <f>B106-IF(S106=1,0,INDEX(Shells!$E$2:$E$9,S106-1))</f>
        <v>13</v>
      </c>
      <c r="W106" t="str">
        <f>IF(V106=U106,"CLOSED_SHELL","OPEN_SHELL")</f>
        <v>OPEN_SHELL</v>
      </c>
      <c r="X106">
        <f>Constants!$B$11</f>
        <v>9.266927083333333333333333333333333333333333333333333333333333333333333333333333333333333333333333333</v>
      </c>
      <c r="Y106">
        <f>H106-B106</f>
        <v>70</v>
      </c>
      <c r="Z106">
        <f>B106*Constants!$B$11+Y106*Constants!$B$12</f>
        <v>974.12109375</v>
      </c>
      <c r="AA106">
        <f>Z106*Constants!$B$5</f>
        <v>7792.96875</v>
      </c>
      <c r="AB106">
        <f>Z106*7</f>
        <v>6818.84765625</v>
      </c>
      <c r="AC106" t="str">
        <f>IF(B106&gt;Constants!$B$6-Constants!$B$5,"CONSTANT_FRONTIER_TAIL_Z119_Z126","CONSTANT_NATIVE_SURFACE_Z001_Z118")</f>
        <v>CONSTANT_NATIVE_SURFACE_Z001_Z118</v>
      </c>
      <c r="AD106" t="str">
        <f>IF(B106&gt;Constants!$B$6-Constants!$B$5,"CONSTANT_FRONTIER_TAIL_CANDIDATE",IF(G106=0,"CONSTANT_STABLE_ANCHOR_LANE",IF(G106=Constants!$B$2/2,"CONSTANT_HALF_WRITE_LANE","CONSTANT_BOUND_LADDER_LANE")))</f>
        <v>CONSTANT_STABLE_ANCHOR_LANE</v>
      </c>
    </row>
    <row r="107">
      <c r="A107" t="str">
        <f>"E"&amp;TEXT(B107,"000")</f>
        <v>E106</v>
      </c>
      <c r="B107">
        <f>ROW()-1</f>
        <v>106</v>
      </c>
      <c r="C107">
        <f>INT((B107-1)/Constants!$B$2)+1</f>
        <v>9</v>
      </c>
      <c r="D107">
        <f>MOD(B107-1,Constants!$B$2)+1</f>
        <v>10</v>
      </c>
      <c r="E107">
        <f>MAX(0,C107-1)</f>
        <v>8</v>
      </c>
      <c r="F107">
        <f>INT(B107*E107/Constants!$B$2)</f>
        <v>70</v>
      </c>
      <c r="G107">
        <f>MOD(B107*E107,Constants!$B$2)</f>
        <v>8</v>
      </c>
      <c r="H107">
        <f>B107+F107</f>
        <v>176</v>
      </c>
      <c r="I107">
        <f>B107+H107</f>
        <v>282</v>
      </c>
      <c r="J107">
        <f>B107</f>
        <v>106</v>
      </c>
      <c r="K107">
        <f>H107</f>
        <v>176</v>
      </c>
      <c r="L107">
        <f>B107</f>
        <v>106</v>
      </c>
      <c r="M107">
        <f>J107+K107+L107</f>
        <v>388</v>
      </c>
      <c r="N107">
        <f>2*B107+H107</f>
        <v>388</v>
      </c>
      <c r="O107">
        <f>B107+2*H107</f>
        <v>458</v>
      </c>
      <c r="P107">
        <f>B107</f>
        <v>106</v>
      </c>
      <c r="Q107" t="str">
        <f>B107&amp;"p+"&amp;H107&amp;"n+"&amp;B107&amp;"e"</f>
        <v>106p+176n+106e</v>
      </c>
      <c r="R107" t="str">
        <f>N107&amp;"u+"&amp;O107&amp;"d+"&amp;P107&amp;"e"</f>
        <v>388u+458d+106e</v>
      </c>
      <c r="S107">
        <f>COUNTIF(Shells!$E$2:$E$9,"&lt;"&amp;B107)+1</f>
        <v>6</v>
      </c>
      <c r="T107">
        <f>INDEX(Shells!$B$2:$B$9,S107)</f>
        <v>3</v>
      </c>
      <c r="U107">
        <f>INDEX(Shells!$C$2:$C$9,S107)</f>
        <v>18</v>
      </c>
      <c r="V107">
        <f>B107-IF(S107=1,0,INDEX(Shells!$E$2:$E$9,S107-1))</f>
        <v>14</v>
      </c>
      <c r="W107" t="str">
        <f>IF(V107=U107,"CLOSED_SHELL","OPEN_SHELL")</f>
        <v>OPEN_SHELL</v>
      </c>
      <c r="X107">
        <f>Constants!$B$11</f>
        <v>9.266927083333333333333333333333333333333333333333333333333333333333333333333333333333333333333333333</v>
      </c>
      <c r="Y107">
        <f>H107-B107</f>
        <v>70</v>
      </c>
      <c r="Z107">
        <f>B107*Constants!$B$11+Y107*Constants!$B$12</f>
        <v>983.3880208333333333333333333333333333333333333333333333333333333333333333333333333333333333333333333</v>
      </c>
      <c r="AA107">
        <f>Z107*Constants!$B$5</f>
        <v>7867.104166666666666666666666666666666666666666666666666666666666666666666666666666666666666666666667</v>
      </c>
      <c r="AB107">
        <f>Z107*7</f>
        <v>6883.716145833333333333333333333333333333333333333333333333333333333333333333333333333333333333333333</v>
      </c>
      <c r="AC107" t="str">
        <f>IF(B107&gt;Constants!$B$6-Constants!$B$5,"CONSTANT_FRONTIER_TAIL_Z119_Z126","CONSTANT_NATIVE_SURFACE_Z001_Z118")</f>
        <v>CONSTANT_NATIVE_SURFACE_Z001_Z118</v>
      </c>
      <c r="AD107" t="str">
        <f>IF(B107&gt;Constants!$B$6-Constants!$B$5,"CONSTANT_FRONTIER_TAIL_CANDIDATE",IF(G107=0,"CONSTANT_STABLE_ANCHOR_LANE",IF(G107=Constants!$B$2/2,"CONSTANT_HALF_WRITE_LANE","CONSTANT_BOUND_LADDER_LANE")))</f>
        <v>CONSTANT_BOUND_LADDER_LANE</v>
      </c>
    </row>
    <row r="108">
      <c r="A108" t="str">
        <f>"E"&amp;TEXT(B108,"000")</f>
        <v>E107</v>
      </c>
      <c r="B108">
        <f>ROW()-1</f>
        <v>107</v>
      </c>
      <c r="C108">
        <f>INT((B108-1)/Constants!$B$2)+1</f>
        <v>9</v>
      </c>
      <c r="D108">
        <f>MOD(B108-1,Constants!$B$2)+1</f>
        <v>11</v>
      </c>
      <c r="E108">
        <f>MAX(0,C108-1)</f>
        <v>8</v>
      </c>
      <c r="F108">
        <f>INT(B108*E108/Constants!$B$2)</f>
        <v>71</v>
      </c>
      <c r="G108">
        <f>MOD(B108*E108,Constants!$B$2)</f>
        <v>4</v>
      </c>
      <c r="H108">
        <f>B108+F108</f>
        <v>178</v>
      </c>
      <c r="I108">
        <f>B108+H108</f>
        <v>285</v>
      </c>
      <c r="J108">
        <f>B108</f>
        <v>107</v>
      </c>
      <c r="K108">
        <f>H108</f>
        <v>178</v>
      </c>
      <c r="L108">
        <f>B108</f>
        <v>107</v>
      </c>
      <c r="M108">
        <f>J108+K108+L108</f>
        <v>392</v>
      </c>
      <c r="N108">
        <f>2*B108+H108</f>
        <v>392</v>
      </c>
      <c r="O108">
        <f>B108+2*H108</f>
        <v>463</v>
      </c>
      <c r="P108">
        <f>B108</f>
        <v>107</v>
      </c>
      <c r="Q108" t="str">
        <f>B108&amp;"p+"&amp;H108&amp;"n+"&amp;B108&amp;"e"</f>
        <v>107p+178n+107e</v>
      </c>
      <c r="R108" t="str">
        <f>N108&amp;"u+"&amp;O108&amp;"d+"&amp;P108&amp;"e"</f>
        <v>392u+463d+107e</v>
      </c>
      <c r="S108">
        <f>COUNTIF(Shells!$E$2:$E$9,"&lt;"&amp;B108)+1</f>
        <v>6</v>
      </c>
      <c r="T108">
        <f>INDEX(Shells!$B$2:$B$9,S108)</f>
        <v>3</v>
      </c>
      <c r="U108">
        <f>INDEX(Shells!$C$2:$C$9,S108)</f>
        <v>18</v>
      </c>
      <c r="V108">
        <f>B108-IF(S108=1,0,INDEX(Shells!$E$2:$E$9,S108-1))</f>
        <v>15</v>
      </c>
      <c r="W108" t="str">
        <f>IF(V108=U108,"CLOSED_SHELL","OPEN_SHELL")</f>
        <v>OPEN_SHELL</v>
      </c>
      <c r="X108">
        <f>Constants!$B$11</f>
        <v>9.266927083333333333333333333333333333333333333333333333333333333333333333333333333333333333333333333</v>
      </c>
      <c r="Y108">
        <f>H108-B108</f>
        <v>71</v>
      </c>
      <c r="Z108">
        <f>B108*Constants!$B$11+Y108*Constants!$B$12</f>
        <v>992.6705729166666666666666666666666666666666666666666666666666666666666666666666666666666666666666667</v>
      </c>
      <c r="AA108">
        <f>Z108*Constants!$B$5</f>
        <v>7941.364583333333333333333333333333333333333333333333333333333333333333333333333333333333333333333333</v>
      </c>
      <c r="AB108">
        <f>Z108*7</f>
        <v>6948.694010416666666666666666666666666666666666666666666666666666666666666666666666666666666666666667</v>
      </c>
      <c r="AC108" t="str">
        <f>IF(B108&gt;Constants!$B$6-Constants!$B$5,"CONSTANT_FRONTIER_TAIL_Z119_Z126","CONSTANT_NATIVE_SURFACE_Z001_Z118")</f>
        <v>CONSTANT_NATIVE_SURFACE_Z001_Z118</v>
      </c>
      <c r="AD108" t="str">
        <f>IF(B108&gt;Constants!$B$6-Constants!$B$5,"CONSTANT_FRONTIER_TAIL_CANDIDATE",IF(G108=0,"CONSTANT_STABLE_ANCHOR_LANE",IF(G108=Constants!$B$2/2,"CONSTANT_HALF_WRITE_LANE","CONSTANT_BOUND_LADDER_LANE")))</f>
        <v>CONSTANT_BOUND_LADDER_LANE</v>
      </c>
    </row>
    <row r="109">
      <c r="A109" t="str">
        <f>"E"&amp;TEXT(B109,"000")</f>
        <v>E108</v>
      </c>
      <c r="B109">
        <f>ROW()-1</f>
        <v>108</v>
      </c>
      <c r="C109">
        <f>INT((B109-1)/Constants!$B$2)+1</f>
        <v>9</v>
      </c>
      <c r="D109">
        <f>MOD(B109-1,Constants!$B$2)+1</f>
        <v>12</v>
      </c>
      <c r="E109">
        <f>MAX(0,C109-1)</f>
        <v>8</v>
      </c>
      <c r="F109">
        <f>INT(B109*E109/Constants!$B$2)</f>
        <v>72</v>
      </c>
      <c r="G109">
        <f>MOD(B109*E109,Constants!$B$2)</f>
        <v>0</v>
      </c>
      <c r="H109">
        <f>B109+F109</f>
        <v>180</v>
      </c>
      <c r="I109">
        <f>B109+H109</f>
        <v>288</v>
      </c>
      <c r="J109">
        <f>B109</f>
        <v>108</v>
      </c>
      <c r="K109">
        <f>H109</f>
        <v>180</v>
      </c>
      <c r="L109">
        <f>B109</f>
        <v>108</v>
      </c>
      <c r="M109">
        <f>J109+K109+L109</f>
        <v>396</v>
      </c>
      <c r="N109">
        <f>2*B109+H109</f>
        <v>396</v>
      </c>
      <c r="O109">
        <f>B109+2*H109</f>
        <v>468</v>
      </c>
      <c r="P109">
        <f>B109</f>
        <v>108</v>
      </c>
      <c r="Q109" t="str">
        <f>B109&amp;"p+"&amp;H109&amp;"n+"&amp;B109&amp;"e"</f>
        <v>108p+180n+108e</v>
      </c>
      <c r="R109" t="str">
        <f>N109&amp;"u+"&amp;O109&amp;"d+"&amp;P109&amp;"e"</f>
        <v>396u+468d+108e</v>
      </c>
      <c r="S109">
        <f>COUNTIF(Shells!$E$2:$E$9,"&lt;"&amp;B109)+1</f>
        <v>6</v>
      </c>
      <c r="T109">
        <f>INDEX(Shells!$B$2:$B$9,S109)</f>
        <v>3</v>
      </c>
      <c r="U109">
        <f>INDEX(Shells!$C$2:$C$9,S109)</f>
        <v>18</v>
      </c>
      <c r="V109">
        <f>B109-IF(S109=1,0,INDEX(Shells!$E$2:$E$9,S109-1))</f>
        <v>16</v>
      </c>
      <c r="W109" t="str">
        <f>IF(V109=U109,"CLOSED_SHELL","OPEN_SHELL")</f>
        <v>OPEN_SHELL</v>
      </c>
      <c r="X109">
        <f>Constants!$B$11</f>
        <v>9.266927083333333333333333333333333333333333333333333333333333333333333333333333333333333333333333333</v>
      </c>
      <c r="Y109">
        <f>H109-B109</f>
        <v>72</v>
      </c>
      <c r="Z109">
        <f>B109*Constants!$B$11+Y109*Constants!$B$12</f>
        <v>1001.953125</v>
      </c>
      <c r="AA109">
        <f>Z109*Constants!$B$5</f>
        <v>8015.625</v>
      </c>
      <c r="AB109">
        <f>Z109*7</f>
        <v>7013.671875</v>
      </c>
      <c r="AC109" t="str">
        <f>IF(B109&gt;Constants!$B$6-Constants!$B$5,"CONSTANT_FRONTIER_TAIL_Z119_Z126","CONSTANT_NATIVE_SURFACE_Z001_Z118")</f>
        <v>CONSTANT_NATIVE_SURFACE_Z001_Z118</v>
      </c>
      <c r="AD109" t="str">
        <f>IF(B109&gt;Constants!$B$6-Constants!$B$5,"CONSTANT_FRONTIER_TAIL_CANDIDATE",IF(G109=0,"CONSTANT_STABLE_ANCHOR_LANE",IF(G109=Constants!$B$2/2,"CONSTANT_HALF_WRITE_LANE","CONSTANT_BOUND_LADDER_LANE")))</f>
        <v>CONSTANT_STABLE_ANCHOR_LANE</v>
      </c>
    </row>
    <row r="110">
      <c r="A110" t="str">
        <f>"E"&amp;TEXT(B110,"000")</f>
        <v>E109</v>
      </c>
      <c r="B110">
        <f>ROW()-1</f>
        <v>109</v>
      </c>
      <c r="C110">
        <f>INT((B110-1)/Constants!$B$2)+1</f>
        <v>10</v>
      </c>
      <c r="D110">
        <f>MOD(B110-1,Constants!$B$2)+1</f>
        <v>1</v>
      </c>
      <c r="E110">
        <f>MAX(0,C110-1)</f>
        <v>9</v>
      </c>
      <c r="F110">
        <f>INT(B110*E110/Constants!$B$2)</f>
        <v>81</v>
      </c>
      <c r="G110">
        <f>MOD(B110*E110,Constants!$B$2)</f>
        <v>9</v>
      </c>
      <c r="H110">
        <f>B110+F110</f>
        <v>190</v>
      </c>
      <c r="I110">
        <f>B110+H110</f>
        <v>299</v>
      </c>
      <c r="J110">
        <f>B110</f>
        <v>109</v>
      </c>
      <c r="K110">
        <f>H110</f>
        <v>190</v>
      </c>
      <c r="L110">
        <f>B110</f>
        <v>109</v>
      </c>
      <c r="M110">
        <f>J110+K110+L110</f>
        <v>408</v>
      </c>
      <c r="N110">
        <f>2*B110+H110</f>
        <v>408</v>
      </c>
      <c r="O110">
        <f>B110+2*H110</f>
        <v>489</v>
      </c>
      <c r="P110">
        <f>B110</f>
        <v>109</v>
      </c>
      <c r="Q110" t="str">
        <f>B110&amp;"p+"&amp;H110&amp;"n+"&amp;B110&amp;"e"</f>
        <v>109p+190n+109e</v>
      </c>
      <c r="R110" t="str">
        <f>N110&amp;"u+"&amp;O110&amp;"d+"&amp;P110&amp;"e"</f>
        <v>408u+489d+109e</v>
      </c>
      <c r="S110">
        <f>COUNTIF(Shells!$E$2:$E$9,"&lt;"&amp;B110)+1</f>
        <v>6</v>
      </c>
      <c r="T110">
        <f>INDEX(Shells!$B$2:$B$9,S110)</f>
        <v>3</v>
      </c>
      <c r="U110">
        <f>INDEX(Shells!$C$2:$C$9,S110)</f>
        <v>18</v>
      </c>
      <c r="V110">
        <f>B110-IF(S110=1,0,INDEX(Shells!$E$2:$E$9,S110-1))</f>
        <v>17</v>
      </c>
      <c r="W110" t="str">
        <f>IF(V110=U110,"CLOSED_SHELL","OPEN_SHELL")</f>
        <v>OPEN_SHELL</v>
      </c>
      <c r="X110">
        <f>Constants!$B$11</f>
        <v>9.266927083333333333333333333333333333333333333333333333333333333333333333333333333333333333333333333</v>
      </c>
      <c r="Y110">
        <f>H110-B110</f>
        <v>81</v>
      </c>
      <c r="Z110">
        <f>B110*Constants!$B$11+Y110*Constants!$B$12</f>
        <v>1011.360677083333333333333333333333333333333333333333333333333333333333333333333333333333333333333333</v>
      </c>
      <c r="AA110">
        <f>Z110*Constants!$B$5</f>
        <v>8090.885416666666666666666666666666666666666666666666666666666666666666666666666666666666666666666667</v>
      </c>
      <c r="AB110">
        <f>Z110*7</f>
        <v>7079.524739583333333333333333333333333333333333333333333333333333333333333333333333333333333333333333</v>
      </c>
      <c r="AC110" t="str">
        <f>IF(B110&gt;Constants!$B$6-Constants!$B$5,"CONSTANT_FRONTIER_TAIL_Z119_Z126","CONSTANT_NATIVE_SURFACE_Z001_Z118")</f>
        <v>CONSTANT_NATIVE_SURFACE_Z001_Z118</v>
      </c>
      <c r="AD110" t="str">
        <f>IF(B110&gt;Constants!$B$6-Constants!$B$5,"CONSTANT_FRONTIER_TAIL_CANDIDATE",IF(G110=0,"CONSTANT_STABLE_ANCHOR_LANE",IF(G110=Constants!$B$2/2,"CONSTANT_HALF_WRITE_LANE","CONSTANT_BOUND_LADDER_LANE")))</f>
        <v>CONSTANT_BOUND_LADDER_LANE</v>
      </c>
    </row>
    <row r="111">
      <c r="A111" t="str">
        <f>"E"&amp;TEXT(B111,"000")</f>
        <v>E110</v>
      </c>
      <c r="B111">
        <f>ROW()-1</f>
        <v>110</v>
      </c>
      <c r="C111">
        <f>INT((B111-1)/Constants!$B$2)+1</f>
        <v>10</v>
      </c>
      <c r="D111">
        <f>MOD(B111-1,Constants!$B$2)+1</f>
        <v>2</v>
      </c>
      <c r="E111">
        <f>MAX(0,C111-1)</f>
        <v>9</v>
      </c>
      <c r="F111">
        <f>INT(B111*E111/Constants!$B$2)</f>
        <v>82</v>
      </c>
      <c r="G111">
        <f>MOD(B111*E111,Constants!$B$2)</f>
        <v>6</v>
      </c>
      <c r="H111">
        <f>B111+F111</f>
        <v>192</v>
      </c>
      <c r="I111">
        <f>B111+H111</f>
        <v>302</v>
      </c>
      <c r="J111">
        <f>B111</f>
        <v>110</v>
      </c>
      <c r="K111">
        <f>H111</f>
        <v>192</v>
      </c>
      <c r="L111">
        <f>B111</f>
        <v>110</v>
      </c>
      <c r="M111">
        <f>J111+K111+L111</f>
        <v>412</v>
      </c>
      <c r="N111">
        <f>2*B111+H111</f>
        <v>412</v>
      </c>
      <c r="O111">
        <f>B111+2*H111</f>
        <v>494</v>
      </c>
      <c r="P111">
        <f>B111</f>
        <v>110</v>
      </c>
      <c r="Q111" t="str">
        <f>B111&amp;"p+"&amp;H111&amp;"n+"&amp;B111&amp;"e"</f>
        <v>110p+192n+110e</v>
      </c>
      <c r="R111" t="str">
        <f>N111&amp;"u+"&amp;O111&amp;"d+"&amp;P111&amp;"e"</f>
        <v>412u+494d+110e</v>
      </c>
      <c r="S111">
        <f>COUNTIF(Shells!$E$2:$E$9,"&lt;"&amp;B111)+1</f>
        <v>6</v>
      </c>
      <c r="T111">
        <f>INDEX(Shells!$B$2:$B$9,S111)</f>
        <v>3</v>
      </c>
      <c r="U111">
        <f>INDEX(Shells!$C$2:$C$9,S111)</f>
        <v>18</v>
      </c>
      <c r="V111">
        <f>B111-IF(S111=1,0,INDEX(Shells!$E$2:$E$9,S111-1))</f>
        <v>18</v>
      </c>
      <c r="W111" t="str">
        <f>IF(V111=U111,"CLOSED_SHELL","OPEN_SHELL")</f>
        <v>CLOSED_SHELL</v>
      </c>
      <c r="X111">
        <f>Constants!$B$11</f>
        <v>9.266927083333333333333333333333333333333333333333333333333333333333333333333333333333333333333333333</v>
      </c>
      <c r="Y111">
        <f>H111-B111</f>
        <v>82</v>
      </c>
      <c r="Z111">
        <f>B111*Constants!$B$11+Y111*Constants!$B$12</f>
        <v>1020.643229166666666666666666666666666666666666666666666666666666666666666666666666666666666666666667</v>
      </c>
      <c r="AA111">
        <f>Z111*Constants!$B$5</f>
        <v>8165.145833333333333333333333333333333333333333333333333333333333333333333333333333333333333333333333</v>
      </c>
      <c r="AB111">
        <f>Z111*7</f>
        <v>7144.502604166666666666666666666666666666666666666666666666666666666666666666666666666666666666666667</v>
      </c>
      <c r="AC111" t="str">
        <f>IF(B111&gt;Constants!$B$6-Constants!$B$5,"CONSTANT_FRONTIER_TAIL_Z119_Z126","CONSTANT_NATIVE_SURFACE_Z001_Z118")</f>
        <v>CONSTANT_NATIVE_SURFACE_Z001_Z118</v>
      </c>
      <c r="AD111" t="str">
        <f>IF(B111&gt;Constants!$B$6-Constants!$B$5,"CONSTANT_FRONTIER_TAIL_CANDIDATE",IF(G111=0,"CONSTANT_STABLE_ANCHOR_LANE",IF(G111=Constants!$B$2/2,"CONSTANT_HALF_WRITE_LANE","CONSTANT_BOUND_LADDER_LANE")))</f>
        <v>CONSTANT_HALF_WRITE_LANE</v>
      </c>
    </row>
    <row r="112">
      <c r="A112" t="str">
        <f>"E"&amp;TEXT(B112,"000")</f>
        <v>E111</v>
      </c>
      <c r="B112">
        <f>ROW()-1</f>
        <v>111</v>
      </c>
      <c r="C112">
        <f>INT((B112-1)/Constants!$B$2)+1</f>
        <v>10</v>
      </c>
      <c r="D112">
        <f>MOD(B112-1,Constants!$B$2)+1</f>
        <v>3</v>
      </c>
      <c r="E112">
        <f>MAX(0,C112-1)</f>
        <v>9</v>
      </c>
      <c r="F112">
        <f>INT(B112*E112/Constants!$B$2)</f>
        <v>83</v>
      </c>
      <c r="G112">
        <f>MOD(B112*E112,Constants!$B$2)</f>
        <v>3</v>
      </c>
      <c r="H112">
        <f>B112+F112</f>
        <v>194</v>
      </c>
      <c r="I112">
        <f>B112+H112</f>
        <v>305</v>
      </c>
      <c r="J112">
        <f>B112</f>
        <v>111</v>
      </c>
      <c r="K112">
        <f>H112</f>
        <v>194</v>
      </c>
      <c r="L112">
        <f>B112</f>
        <v>111</v>
      </c>
      <c r="M112">
        <f>J112+K112+L112</f>
        <v>416</v>
      </c>
      <c r="N112">
        <f>2*B112+H112</f>
        <v>416</v>
      </c>
      <c r="O112">
        <f>B112+2*H112</f>
        <v>499</v>
      </c>
      <c r="P112">
        <f>B112</f>
        <v>111</v>
      </c>
      <c r="Q112" t="str">
        <f>B112&amp;"p+"&amp;H112&amp;"n+"&amp;B112&amp;"e"</f>
        <v>111p+194n+111e</v>
      </c>
      <c r="R112" t="str">
        <f>N112&amp;"u+"&amp;O112&amp;"d+"&amp;P112&amp;"e"</f>
        <v>416u+499d+111e</v>
      </c>
      <c r="S112">
        <f>COUNTIF(Shells!$E$2:$E$9,"&lt;"&amp;B112)+1</f>
        <v>7</v>
      </c>
      <c r="T112">
        <f>INDEX(Shells!$B$2:$B$9,S112)</f>
        <v>2</v>
      </c>
      <c r="U112">
        <f>INDEX(Shells!$C$2:$C$9,S112)</f>
        <v>8</v>
      </c>
      <c r="V112">
        <f>B112-IF(S112=1,0,INDEX(Shells!$E$2:$E$9,S112-1))</f>
        <v>1</v>
      </c>
      <c r="W112" t="str">
        <f>IF(V112=U112,"CLOSED_SHELL","OPEN_SHELL")</f>
        <v>OPEN_SHELL</v>
      </c>
      <c r="X112">
        <f>Constants!$B$11</f>
        <v>9.266927083333333333333333333333333333333333333333333333333333333333333333333333333333333333333333333</v>
      </c>
      <c r="Y112">
        <f>H112-B112</f>
        <v>83</v>
      </c>
      <c r="Z112">
        <f>B112*Constants!$B$11+Y112*Constants!$B$12</f>
        <v>1029.92578125</v>
      </c>
      <c r="AA112">
        <f>Z112*Constants!$B$5</f>
        <v>8239.40625</v>
      </c>
      <c r="AB112">
        <f>Z112*7</f>
        <v>7209.48046875</v>
      </c>
      <c r="AC112" t="str">
        <f>IF(B112&gt;Constants!$B$6-Constants!$B$5,"CONSTANT_FRONTIER_TAIL_Z119_Z126","CONSTANT_NATIVE_SURFACE_Z001_Z118")</f>
        <v>CONSTANT_NATIVE_SURFACE_Z001_Z118</v>
      </c>
      <c r="AD112" t="str">
        <f>IF(B112&gt;Constants!$B$6-Constants!$B$5,"CONSTANT_FRONTIER_TAIL_CANDIDATE",IF(G112=0,"CONSTANT_STABLE_ANCHOR_LANE",IF(G112=Constants!$B$2/2,"CONSTANT_HALF_WRITE_LANE","CONSTANT_BOUND_LADDER_LANE")))</f>
        <v>CONSTANT_BOUND_LADDER_LANE</v>
      </c>
    </row>
    <row r="113">
      <c r="A113" t="str">
        <f>"E"&amp;TEXT(B113,"000")</f>
        <v>E112</v>
      </c>
      <c r="B113">
        <f>ROW()-1</f>
        <v>112</v>
      </c>
      <c r="C113">
        <f>INT((B113-1)/Constants!$B$2)+1</f>
        <v>10</v>
      </c>
      <c r="D113">
        <f>MOD(B113-1,Constants!$B$2)+1</f>
        <v>4</v>
      </c>
      <c r="E113">
        <f>MAX(0,C113-1)</f>
        <v>9</v>
      </c>
      <c r="F113">
        <f>INT(B113*E113/Constants!$B$2)</f>
        <v>84</v>
      </c>
      <c r="G113">
        <f>MOD(B113*E113,Constants!$B$2)</f>
        <v>0</v>
      </c>
      <c r="H113">
        <f>B113+F113</f>
        <v>196</v>
      </c>
      <c r="I113">
        <f>B113+H113</f>
        <v>308</v>
      </c>
      <c r="J113">
        <f>B113</f>
        <v>112</v>
      </c>
      <c r="K113">
        <f>H113</f>
        <v>196</v>
      </c>
      <c r="L113">
        <f>B113</f>
        <v>112</v>
      </c>
      <c r="M113">
        <f>J113+K113+L113</f>
        <v>420</v>
      </c>
      <c r="N113">
        <f>2*B113+H113</f>
        <v>420</v>
      </c>
      <c r="O113">
        <f>B113+2*H113</f>
        <v>504</v>
      </c>
      <c r="P113">
        <f>B113</f>
        <v>112</v>
      </c>
      <c r="Q113" t="str">
        <f>B113&amp;"p+"&amp;H113&amp;"n+"&amp;B113&amp;"e"</f>
        <v>112p+196n+112e</v>
      </c>
      <c r="R113" t="str">
        <f>N113&amp;"u+"&amp;O113&amp;"d+"&amp;P113&amp;"e"</f>
        <v>420u+504d+112e</v>
      </c>
      <c r="S113">
        <f>COUNTIF(Shells!$E$2:$E$9,"&lt;"&amp;B113)+1</f>
        <v>7</v>
      </c>
      <c r="T113">
        <f>INDEX(Shells!$B$2:$B$9,S113)</f>
        <v>2</v>
      </c>
      <c r="U113">
        <f>INDEX(Shells!$C$2:$C$9,S113)</f>
        <v>8</v>
      </c>
      <c r="V113">
        <f>B113-IF(S113=1,0,INDEX(Shells!$E$2:$E$9,S113-1))</f>
        <v>2</v>
      </c>
      <c r="W113" t="str">
        <f>IF(V113=U113,"CLOSED_SHELL","OPEN_SHELL")</f>
        <v>OPEN_SHELL</v>
      </c>
      <c r="X113">
        <f>Constants!$B$11</f>
        <v>9.266927083333333333333333333333333333333333333333333333333333333333333333333333333333333333333333333</v>
      </c>
      <c r="Y113">
        <f>H113-B113</f>
        <v>84</v>
      </c>
      <c r="Z113">
        <f>B113*Constants!$B$11+Y113*Constants!$B$12</f>
        <v>1039.208333333333333333333333333333333333333333333333333333333333333333333333333333333333333333333333</v>
      </c>
      <c r="AA113">
        <f>Z113*Constants!$B$5</f>
        <v>8313.666666666666666666666666666666666666666666666666666666666666666666666666666666666666666666666667</v>
      </c>
      <c r="AB113">
        <f>Z113*7</f>
        <v>7274.458333333333333333333333333333333333333333333333333333333333333333333333333333333333333333333333</v>
      </c>
      <c r="AC113" t="str">
        <f>IF(B113&gt;Constants!$B$6-Constants!$B$5,"CONSTANT_FRONTIER_TAIL_Z119_Z126","CONSTANT_NATIVE_SURFACE_Z001_Z118")</f>
        <v>CONSTANT_NATIVE_SURFACE_Z001_Z118</v>
      </c>
      <c r="AD113" t="str">
        <f>IF(B113&gt;Constants!$B$6-Constants!$B$5,"CONSTANT_FRONTIER_TAIL_CANDIDATE",IF(G113=0,"CONSTANT_STABLE_ANCHOR_LANE",IF(G113=Constants!$B$2/2,"CONSTANT_HALF_WRITE_LANE","CONSTANT_BOUND_LADDER_LANE")))</f>
        <v>CONSTANT_STABLE_ANCHOR_LANE</v>
      </c>
    </row>
    <row r="114">
      <c r="A114" t="str">
        <f>"E"&amp;TEXT(B114,"000")</f>
        <v>E113</v>
      </c>
      <c r="B114">
        <f>ROW()-1</f>
        <v>113</v>
      </c>
      <c r="C114">
        <f>INT((B114-1)/Constants!$B$2)+1</f>
        <v>10</v>
      </c>
      <c r="D114">
        <f>MOD(B114-1,Constants!$B$2)+1</f>
        <v>5</v>
      </c>
      <c r="E114">
        <f>MAX(0,C114-1)</f>
        <v>9</v>
      </c>
      <c r="F114">
        <f>INT(B114*E114/Constants!$B$2)</f>
        <v>84</v>
      </c>
      <c r="G114">
        <f>MOD(B114*E114,Constants!$B$2)</f>
        <v>9</v>
      </c>
      <c r="H114">
        <f>B114+F114</f>
        <v>197</v>
      </c>
      <c r="I114">
        <f>B114+H114</f>
        <v>310</v>
      </c>
      <c r="J114">
        <f>B114</f>
        <v>113</v>
      </c>
      <c r="K114">
        <f>H114</f>
        <v>197</v>
      </c>
      <c r="L114">
        <f>B114</f>
        <v>113</v>
      </c>
      <c r="M114">
        <f>J114+K114+L114</f>
        <v>423</v>
      </c>
      <c r="N114">
        <f>2*B114+H114</f>
        <v>423</v>
      </c>
      <c r="O114">
        <f>B114+2*H114</f>
        <v>507</v>
      </c>
      <c r="P114">
        <f>B114</f>
        <v>113</v>
      </c>
      <c r="Q114" t="str">
        <f>B114&amp;"p+"&amp;H114&amp;"n+"&amp;B114&amp;"e"</f>
        <v>113p+197n+113e</v>
      </c>
      <c r="R114" t="str">
        <f>N114&amp;"u+"&amp;O114&amp;"d+"&amp;P114&amp;"e"</f>
        <v>423u+507d+113e</v>
      </c>
      <c r="S114">
        <f>COUNTIF(Shells!$E$2:$E$9,"&lt;"&amp;B114)+1</f>
        <v>7</v>
      </c>
      <c r="T114">
        <f>INDEX(Shells!$B$2:$B$9,S114)</f>
        <v>2</v>
      </c>
      <c r="U114">
        <f>INDEX(Shells!$C$2:$C$9,S114)</f>
        <v>8</v>
      </c>
      <c r="V114">
        <f>B114-IF(S114=1,0,INDEX(Shells!$E$2:$E$9,S114-1))</f>
        <v>3</v>
      </c>
      <c r="W114" t="str">
        <f>IF(V114=U114,"CLOSED_SHELL","OPEN_SHELL")</f>
        <v>OPEN_SHELL</v>
      </c>
      <c r="X114">
        <f>Constants!$B$11</f>
        <v>9.266927083333333333333333333333333333333333333333333333333333333333333333333333333333333333333333333</v>
      </c>
      <c r="Y114">
        <f>H114-B114</f>
        <v>84</v>
      </c>
      <c r="Z114">
        <f>B114*Constants!$B$11+Y114*Constants!$B$12</f>
        <v>1048.475260416666666666666666666666666666666666666666666666666666666666666666666666666666666666666667</v>
      </c>
      <c r="AA114">
        <f>Z114*Constants!$B$5</f>
        <v>8387.802083333333333333333333333333333333333333333333333333333333333333333333333333333333333333333333</v>
      </c>
      <c r="AB114">
        <f>Z114*7</f>
        <v>7339.326822916666666666666666666666666666666666666666666666666666666666666666666666666666666666666667</v>
      </c>
      <c r="AC114" t="str">
        <f>IF(B114&gt;Constants!$B$6-Constants!$B$5,"CONSTANT_FRONTIER_TAIL_Z119_Z126","CONSTANT_NATIVE_SURFACE_Z001_Z118")</f>
        <v>CONSTANT_NATIVE_SURFACE_Z001_Z118</v>
      </c>
      <c r="AD114" t="str">
        <f>IF(B114&gt;Constants!$B$6-Constants!$B$5,"CONSTANT_FRONTIER_TAIL_CANDIDATE",IF(G114=0,"CONSTANT_STABLE_ANCHOR_LANE",IF(G114=Constants!$B$2/2,"CONSTANT_HALF_WRITE_LANE","CONSTANT_BOUND_LADDER_LANE")))</f>
        <v>CONSTANT_BOUND_LADDER_LANE</v>
      </c>
    </row>
    <row r="115">
      <c r="A115" t="str">
        <f>"E"&amp;TEXT(B115,"000")</f>
        <v>E114</v>
      </c>
      <c r="B115">
        <f>ROW()-1</f>
        <v>114</v>
      </c>
      <c r="C115">
        <f>INT((B115-1)/Constants!$B$2)+1</f>
        <v>10</v>
      </c>
      <c r="D115">
        <f>MOD(B115-1,Constants!$B$2)+1</f>
        <v>6</v>
      </c>
      <c r="E115">
        <f>MAX(0,C115-1)</f>
        <v>9</v>
      </c>
      <c r="F115">
        <f>INT(B115*E115/Constants!$B$2)</f>
        <v>85</v>
      </c>
      <c r="G115">
        <f>MOD(B115*E115,Constants!$B$2)</f>
        <v>6</v>
      </c>
      <c r="H115">
        <f>B115+F115</f>
        <v>199</v>
      </c>
      <c r="I115">
        <f>B115+H115</f>
        <v>313</v>
      </c>
      <c r="J115">
        <f>B115</f>
        <v>114</v>
      </c>
      <c r="K115">
        <f>H115</f>
        <v>199</v>
      </c>
      <c r="L115">
        <f>B115</f>
        <v>114</v>
      </c>
      <c r="M115">
        <f>J115+K115+L115</f>
        <v>427</v>
      </c>
      <c r="N115">
        <f>2*B115+H115</f>
        <v>427</v>
      </c>
      <c r="O115">
        <f>B115+2*H115</f>
        <v>512</v>
      </c>
      <c r="P115">
        <f>B115</f>
        <v>114</v>
      </c>
      <c r="Q115" t="str">
        <f>B115&amp;"p+"&amp;H115&amp;"n+"&amp;B115&amp;"e"</f>
        <v>114p+199n+114e</v>
      </c>
      <c r="R115" t="str">
        <f>N115&amp;"u+"&amp;O115&amp;"d+"&amp;P115&amp;"e"</f>
        <v>427u+512d+114e</v>
      </c>
      <c r="S115">
        <f>COUNTIF(Shells!$E$2:$E$9,"&lt;"&amp;B115)+1</f>
        <v>7</v>
      </c>
      <c r="T115">
        <f>INDEX(Shells!$B$2:$B$9,S115)</f>
        <v>2</v>
      </c>
      <c r="U115">
        <f>INDEX(Shells!$C$2:$C$9,S115)</f>
        <v>8</v>
      </c>
      <c r="V115">
        <f>B115-IF(S115=1,0,INDEX(Shells!$E$2:$E$9,S115-1))</f>
        <v>4</v>
      </c>
      <c r="W115" t="str">
        <f>IF(V115=U115,"CLOSED_SHELL","OPEN_SHELL")</f>
        <v>OPEN_SHELL</v>
      </c>
      <c r="X115">
        <f>Constants!$B$11</f>
        <v>9.266927083333333333333333333333333333333333333333333333333333333333333333333333333333333333333333333</v>
      </c>
      <c r="Y115">
        <f>H115-B115</f>
        <v>85</v>
      </c>
      <c r="Z115">
        <f>B115*Constants!$B$11+Y115*Constants!$B$12</f>
        <v>1057.7578125</v>
      </c>
      <c r="AA115">
        <f>Z115*Constants!$B$5</f>
        <v>8462.0625</v>
      </c>
      <c r="AB115">
        <f>Z115*7</f>
        <v>7404.3046875</v>
      </c>
      <c r="AC115" t="str">
        <f>IF(B115&gt;Constants!$B$6-Constants!$B$5,"CONSTANT_FRONTIER_TAIL_Z119_Z126","CONSTANT_NATIVE_SURFACE_Z001_Z118")</f>
        <v>CONSTANT_NATIVE_SURFACE_Z001_Z118</v>
      </c>
      <c r="AD115" t="str">
        <f>IF(B115&gt;Constants!$B$6-Constants!$B$5,"CONSTANT_FRONTIER_TAIL_CANDIDATE",IF(G115=0,"CONSTANT_STABLE_ANCHOR_LANE",IF(G115=Constants!$B$2/2,"CONSTANT_HALF_WRITE_LANE","CONSTANT_BOUND_LADDER_LANE")))</f>
        <v>CONSTANT_HALF_WRITE_LANE</v>
      </c>
    </row>
    <row r="116">
      <c r="A116" t="str">
        <f>"E"&amp;TEXT(B116,"000")</f>
        <v>E115</v>
      </c>
      <c r="B116">
        <f>ROW()-1</f>
        <v>115</v>
      </c>
      <c r="C116">
        <f>INT((B116-1)/Constants!$B$2)+1</f>
        <v>10</v>
      </c>
      <c r="D116">
        <f>MOD(B116-1,Constants!$B$2)+1</f>
        <v>7</v>
      </c>
      <c r="E116">
        <f>MAX(0,C116-1)</f>
        <v>9</v>
      </c>
      <c r="F116">
        <f>INT(B116*E116/Constants!$B$2)</f>
        <v>86</v>
      </c>
      <c r="G116">
        <f>MOD(B116*E116,Constants!$B$2)</f>
        <v>3</v>
      </c>
      <c r="H116">
        <f>B116+F116</f>
        <v>201</v>
      </c>
      <c r="I116">
        <f>B116+H116</f>
        <v>316</v>
      </c>
      <c r="J116">
        <f>B116</f>
        <v>115</v>
      </c>
      <c r="K116">
        <f>H116</f>
        <v>201</v>
      </c>
      <c r="L116">
        <f>B116</f>
        <v>115</v>
      </c>
      <c r="M116">
        <f>J116+K116+L116</f>
        <v>431</v>
      </c>
      <c r="N116">
        <f>2*B116+H116</f>
        <v>431</v>
      </c>
      <c r="O116">
        <f>B116+2*H116</f>
        <v>517</v>
      </c>
      <c r="P116">
        <f>B116</f>
        <v>115</v>
      </c>
      <c r="Q116" t="str">
        <f>B116&amp;"p+"&amp;H116&amp;"n+"&amp;B116&amp;"e"</f>
        <v>115p+201n+115e</v>
      </c>
      <c r="R116" t="str">
        <f>N116&amp;"u+"&amp;O116&amp;"d+"&amp;P116&amp;"e"</f>
        <v>431u+517d+115e</v>
      </c>
      <c r="S116">
        <f>COUNTIF(Shells!$E$2:$E$9,"&lt;"&amp;B116)+1</f>
        <v>7</v>
      </c>
      <c r="T116">
        <f>INDEX(Shells!$B$2:$B$9,S116)</f>
        <v>2</v>
      </c>
      <c r="U116">
        <f>INDEX(Shells!$C$2:$C$9,S116)</f>
        <v>8</v>
      </c>
      <c r="V116">
        <f>B116-IF(S116=1,0,INDEX(Shells!$E$2:$E$9,S116-1))</f>
        <v>5</v>
      </c>
      <c r="W116" t="str">
        <f>IF(V116=U116,"CLOSED_SHELL","OPEN_SHELL")</f>
        <v>OPEN_SHELL</v>
      </c>
      <c r="X116">
        <f>Constants!$B$11</f>
        <v>9.266927083333333333333333333333333333333333333333333333333333333333333333333333333333333333333333333</v>
      </c>
      <c r="Y116">
        <f>H116-B116</f>
        <v>86</v>
      </c>
      <c r="Z116">
        <f>B116*Constants!$B$11+Y116*Constants!$B$12</f>
        <v>1067.040364583333333333333333333333333333333333333333333333333333333333333333333333333333333333333333</v>
      </c>
      <c r="AA116">
        <f>Z116*Constants!$B$5</f>
        <v>8536.322916666666666666666666666666666666666666666666666666666666666666666666666666666666666666666667</v>
      </c>
      <c r="AB116">
        <f>Z116*7</f>
        <v>7469.282552083333333333333333333333333333333333333333333333333333333333333333333333333333333333333333</v>
      </c>
      <c r="AC116" t="str">
        <f>IF(B116&gt;Constants!$B$6-Constants!$B$5,"CONSTANT_FRONTIER_TAIL_Z119_Z126","CONSTANT_NATIVE_SURFACE_Z001_Z118")</f>
        <v>CONSTANT_NATIVE_SURFACE_Z001_Z118</v>
      </c>
      <c r="AD116" t="str">
        <f>IF(B116&gt;Constants!$B$6-Constants!$B$5,"CONSTANT_FRONTIER_TAIL_CANDIDATE",IF(G116=0,"CONSTANT_STABLE_ANCHOR_LANE",IF(G116=Constants!$B$2/2,"CONSTANT_HALF_WRITE_LANE","CONSTANT_BOUND_LADDER_LANE")))</f>
        <v>CONSTANT_BOUND_LADDER_LANE</v>
      </c>
    </row>
    <row r="117">
      <c r="A117" t="str">
        <f>"E"&amp;TEXT(B117,"000")</f>
        <v>E116</v>
      </c>
      <c r="B117">
        <f>ROW()-1</f>
        <v>116</v>
      </c>
      <c r="C117">
        <f>INT((B117-1)/Constants!$B$2)+1</f>
        <v>10</v>
      </c>
      <c r="D117">
        <f>MOD(B117-1,Constants!$B$2)+1</f>
        <v>8</v>
      </c>
      <c r="E117">
        <f>MAX(0,C117-1)</f>
        <v>9</v>
      </c>
      <c r="F117">
        <f>INT(B117*E117/Constants!$B$2)</f>
        <v>87</v>
      </c>
      <c r="G117">
        <f>MOD(B117*E117,Constants!$B$2)</f>
        <v>0</v>
      </c>
      <c r="H117">
        <f>B117+F117</f>
        <v>203</v>
      </c>
      <c r="I117">
        <f>B117+H117</f>
        <v>319</v>
      </c>
      <c r="J117">
        <f>B117</f>
        <v>116</v>
      </c>
      <c r="K117">
        <f>H117</f>
        <v>203</v>
      </c>
      <c r="L117">
        <f>B117</f>
        <v>116</v>
      </c>
      <c r="M117">
        <f>J117+K117+L117</f>
        <v>435</v>
      </c>
      <c r="N117">
        <f>2*B117+H117</f>
        <v>435</v>
      </c>
      <c r="O117">
        <f>B117+2*H117</f>
        <v>522</v>
      </c>
      <c r="P117">
        <f>B117</f>
        <v>116</v>
      </c>
      <c r="Q117" t="str">
        <f>B117&amp;"p+"&amp;H117&amp;"n+"&amp;B117&amp;"e"</f>
        <v>116p+203n+116e</v>
      </c>
      <c r="R117" t="str">
        <f>N117&amp;"u+"&amp;O117&amp;"d+"&amp;P117&amp;"e"</f>
        <v>435u+522d+116e</v>
      </c>
      <c r="S117">
        <f>COUNTIF(Shells!$E$2:$E$9,"&lt;"&amp;B117)+1</f>
        <v>7</v>
      </c>
      <c r="T117">
        <f>INDEX(Shells!$B$2:$B$9,S117)</f>
        <v>2</v>
      </c>
      <c r="U117">
        <f>INDEX(Shells!$C$2:$C$9,S117)</f>
        <v>8</v>
      </c>
      <c r="V117">
        <f>B117-IF(S117=1,0,INDEX(Shells!$E$2:$E$9,S117-1))</f>
        <v>6</v>
      </c>
      <c r="W117" t="str">
        <f>IF(V117=U117,"CLOSED_SHELL","OPEN_SHELL")</f>
        <v>OPEN_SHELL</v>
      </c>
      <c r="X117">
        <f>Constants!$B$11</f>
        <v>9.266927083333333333333333333333333333333333333333333333333333333333333333333333333333333333333333333</v>
      </c>
      <c r="Y117">
        <f>H117-B117</f>
        <v>87</v>
      </c>
      <c r="Z117">
        <f>B117*Constants!$B$11+Y117*Constants!$B$12</f>
        <v>1076.322916666666666666666666666666666666666666666666666666666666666666666666666666666666666666666667</v>
      </c>
      <c r="AA117">
        <f>Z117*Constants!$B$5</f>
        <v>8610.583333333333333333333333333333333333333333333333333333333333333333333333333333333333333333333333</v>
      </c>
      <c r="AB117">
        <f>Z117*7</f>
        <v>7534.260416666666666666666666666666666666666666666666666666666666666666666666666666666666666666666667</v>
      </c>
      <c r="AC117" t="str">
        <f>IF(B117&gt;Constants!$B$6-Constants!$B$5,"CONSTANT_FRONTIER_TAIL_Z119_Z126","CONSTANT_NATIVE_SURFACE_Z001_Z118")</f>
        <v>CONSTANT_NATIVE_SURFACE_Z001_Z118</v>
      </c>
      <c r="AD117" t="str">
        <f>IF(B117&gt;Constants!$B$6-Constants!$B$5,"CONSTANT_FRONTIER_TAIL_CANDIDATE",IF(G117=0,"CONSTANT_STABLE_ANCHOR_LANE",IF(G117=Constants!$B$2/2,"CONSTANT_HALF_WRITE_LANE","CONSTANT_BOUND_LADDER_LANE")))</f>
        <v>CONSTANT_STABLE_ANCHOR_LANE</v>
      </c>
    </row>
    <row r="118">
      <c r="A118" t="str">
        <f>"E"&amp;TEXT(B118,"000")</f>
        <v>E117</v>
      </c>
      <c r="B118">
        <f>ROW()-1</f>
        <v>117</v>
      </c>
      <c r="C118">
        <f>INT((B118-1)/Constants!$B$2)+1</f>
        <v>10</v>
      </c>
      <c r="D118">
        <f>MOD(B118-1,Constants!$B$2)+1</f>
        <v>9</v>
      </c>
      <c r="E118">
        <f>MAX(0,C118-1)</f>
        <v>9</v>
      </c>
      <c r="F118">
        <f>INT(B118*E118/Constants!$B$2)</f>
        <v>87</v>
      </c>
      <c r="G118">
        <f>MOD(B118*E118,Constants!$B$2)</f>
        <v>9</v>
      </c>
      <c r="H118">
        <f>B118+F118</f>
        <v>204</v>
      </c>
      <c r="I118">
        <f>B118+H118</f>
        <v>321</v>
      </c>
      <c r="J118">
        <f>B118</f>
        <v>117</v>
      </c>
      <c r="K118">
        <f>H118</f>
        <v>204</v>
      </c>
      <c r="L118">
        <f>B118</f>
        <v>117</v>
      </c>
      <c r="M118">
        <f>J118+K118+L118</f>
        <v>438</v>
      </c>
      <c r="N118">
        <f>2*B118+H118</f>
        <v>438</v>
      </c>
      <c r="O118">
        <f>B118+2*H118</f>
        <v>525</v>
      </c>
      <c r="P118">
        <f>B118</f>
        <v>117</v>
      </c>
      <c r="Q118" t="str">
        <f>B118&amp;"p+"&amp;H118&amp;"n+"&amp;B118&amp;"e"</f>
        <v>117p+204n+117e</v>
      </c>
      <c r="R118" t="str">
        <f>N118&amp;"u+"&amp;O118&amp;"d+"&amp;P118&amp;"e"</f>
        <v>438u+525d+117e</v>
      </c>
      <c r="S118">
        <f>COUNTIF(Shells!$E$2:$E$9,"&lt;"&amp;B118)+1</f>
        <v>7</v>
      </c>
      <c r="T118">
        <f>INDEX(Shells!$B$2:$B$9,S118)</f>
        <v>2</v>
      </c>
      <c r="U118">
        <f>INDEX(Shells!$C$2:$C$9,S118)</f>
        <v>8</v>
      </c>
      <c r="V118">
        <f>B118-IF(S118=1,0,INDEX(Shells!$E$2:$E$9,S118-1))</f>
        <v>7</v>
      </c>
      <c r="W118" t="str">
        <f>IF(V118=U118,"CLOSED_SHELL","OPEN_SHELL")</f>
        <v>OPEN_SHELL</v>
      </c>
      <c r="X118">
        <f>Constants!$B$11</f>
        <v>9.266927083333333333333333333333333333333333333333333333333333333333333333333333333333333333333333333</v>
      </c>
      <c r="Y118">
        <f>H118-B118</f>
        <v>87</v>
      </c>
      <c r="Z118">
        <f>B118*Constants!$B$11+Y118*Constants!$B$12</f>
        <v>1085.58984375</v>
      </c>
      <c r="AA118">
        <f>Z118*Constants!$B$5</f>
        <v>8684.71875</v>
      </c>
      <c r="AB118">
        <f>Z118*7</f>
        <v>7599.12890625</v>
      </c>
      <c r="AC118" t="str">
        <f>IF(B118&gt;Constants!$B$6-Constants!$B$5,"CONSTANT_FRONTIER_TAIL_Z119_Z126","CONSTANT_NATIVE_SURFACE_Z001_Z118")</f>
        <v>CONSTANT_NATIVE_SURFACE_Z001_Z118</v>
      </c>
      <c r="AD118" t="str">
        <f>IF(B118&gt;Constants!$B$6-Constants!$B$5,"CONSTANT_FRONTIER_TAIL_CANDIDATE",IF(G118=0,"CONSTANT_STABLE_ANCHOR_LANE",IF(G118=Constants!$B$2/2,"CONSTANT_HALF_WRITE_LANE","CONSTANT_BOUND_LADDER_LANE")))</f>
        <v>CONSTANT_BOUND_LADDER_LANE</v>
      </c>
    </row>
    <row r="119">
      <c r="A119" t="str">
        <f>"E"&amp;TEXT(B119,"000")</f>
        <v>E118</v>
      </c>
      <c r="B119">
        <f>ROW()-1</f>
        <v>118</v>
      </c>
      <c r="C119">
        <f>INT((B119-1)/Constants!$B$2)+1</f>
        <v>10</v>
      </c>
      <c r="D119">
        <f>MOD(B119-1,Constants!$B$2)+1</f>
        <v>10</v>
      </c>
      <c r="E119">
        <f>MAX(0,C119-1)</f>
        <v>9</v>
      </c>
      <c r="F119">
        <f>INT(B119*E119/Constants!$B$2)</f>
        <v>88</v>
      </c>
      <c r="G119">
        <f>MOD(B119*E119,Constants!$B$2)</f>
        <v>6</v>
      </c>
      <c r="H119">
        <f>B119+F119</f>
        <v>206</v>
      </c>
      <c r="I119">
        <f>B119+H119</f>
        <v>324</v>
      </c>
      <c r="J119">
        <f>B119</f>
        <v>118</v>
      </c>
      <c r="K119">
        <f>H119</f>
        <v>206</v>
      </c>
      <c r="L119">
        <f>B119</f>
        <v>118</v>
      </c>
      <c r="M119">
        <f>J119+K119+L119</f>
        <v>442</v>
      </c>
      <c r="N119">
        <f>2*B119+H119</f>
        <v>442</v>
      </c>
      <c r="O119">
        <f>B119+2*H119</f>
        <v>530</v>
      </c>
      <c r="P119">
        <f>B119</f>
        <v>118</v>
      </c>
      <c r="Q119" t="str">
        <f>B119&amp;"p+"&amp;H119&amp;"n+"&amp;B119&amp;"e"</f>
        <v>118p+206n+118e</v>
      </c>
      <c r="R119" t="str">
        <f>N119&amp;"u+"&amp;O119&amp;"d+"&amp;P119&amp;"e"</f>
        <v>442u+530d+118e</v>
      </c>
      <c r="S119">
        <f>COUNTIF(Shells!$E$2:$E$9,"&lt;"&amp;B119)+1</f>
        <v>7</v>
      </c>
      <c r="T119">
        <f>INDEX(Shells!$B$2:$B$9,S119)</f>
        <v>2</v>
      </c>
      <c r="U119">
        <f>INDEX(Shells!$C$2:$C$9,S119)</f>
        <v>8</v>
      </c>
      <c r="V119">
        <f>B119-IF(S119=1,0,INDEX(Shells!$E$2:$E$9,S119-1))</f>
        <v>8</v>
      </c>
      <c r="W119" t="str">
        <f>IF(V119=U119,"CLOSED_SHELL","OPEN_SHELL")</f>
        <v>CLOSED_SHELL</v>
      </c>
      <c r="X119">
        <f>Constants!$B$11</f>
        <v>9.266927083333333333333333333333333333333333333333333333333333333333333333333333333333333333333333333</v>
      </c>
      <c r="Y119">
        <f>H119-B119</f>
        <v>88</v>
      </c>
      <c r="Z119">
        <f>B119*Constants!$B$11+Y119*Constants!$B$12</f>
        <v>1094.872395833333333333333333333333333333333333333333333333333333333333333333333333333333333333333333</v>
      </c>
      <c r="AA119">
        <f>Z119*Constants!$B$5</f>
        <v>8758.979166666666666666666666666666666666666666666666666666666666666666666666666666666666666666666667</v>
      </c>
      <c r="AB119">
        <f>Z119*7</f>
        <v>7664.106770833333333333333333333333333333333333333333333333333333333333333333333333333333333333333333</v>
      </c>
      <c r="AC119" t="str">
        <f>IF(B119&gt;Constants!$B$6-Constants!$B$5,"CONSTANT_FRONTIER_TAIL_Z119_Z126","CONSTANT_NATIVE_SURFACE_Z001_Z118")</f>
        <v>CONSTANT_NATIVE_SURFACE_Z001_Z118</v>
      </c>
      <c r="AD119" t="str">
        <f>IF(B119&gt;Constants!$B$6-Constants!$B$5,"CONSTANT_FRONTIER_TAIL_CANDIDATE",IF(G119=0,"CONSTANT_STABLE_ANCHOR_LANE",IF(G119=Constants!$B$2/2,"CONSTANT_HALF_WRITE_LANE","CONSTANT_BOUND_LADDER_LANE")))</f>
        <v>CONSTANT_HALF_WRITE_LANE</v>
      </c>
    </row>
    <row r="120">
      <c r="A120" t="str">
        <f>"E"&amp;TEXT(B120,"000")</f>
        <v>E119</v>
      </c>
      <c r="B120">
        <f>ROW()-1</f>
        <v>119</v>
      </c>
      <c r="C120">
        <f>INT((B120-1)/Constants!$B$2)+1</f>
        <v>10</v>
      </c>
      <c r="D120">
        <f>MOD(B120-1,Constants!$B$2)+1</f>
        <v>11</v>
      </c>
      <c r="E120">
        <f>MAX(0,C120-1)</f>
        <v>9</v>
      </c>
      <c r="F120">
        <f>INT(B120*E120/Constants!$B$2)</f>
        <v>89</v>
      </c>
      <c r="G120">
        <f>MOD(B120*E120,Constants!$B$2)</f>
        <v>3</v>
      </c>
      <c r="H120">
        <f>B120+F120</f>
        <v>208</v>
      </c>
      <c r="I120">
        <f>B120+H120</f>
        <v>327</v>
      </c>
      <c r="J120">
        <f>B120</f>
        <v>119</v>
      </c>
      <c r="K120">
        <f>H120</f>
        <v>208</v>
      </c>
      <c r="L120">
        <f>B120</f>
        <v>119</v>
      </c>
      <c r="M120">
        <f>J120+K120+L120</f>
        <v>446</v>
      </c>
      <c r="N120">
        <f>2*B120+H120</f>
        <v>446</v>
      </c>
      <c r="O120">
        <f>B120+2*H120</f>
        <v>535</v>
      </c>
      <c r="P120">
        <f>B120</f>
        <v>119</v>
      </c>
      <c r="Q120" t="str">
        <f>B120&amp;"p+"&amp;H120&amp;"n+"&amp;B120&amp;"e"</f>
        <v>119p+208n+119e</v>
      </c>
      <c r="R120" t="str">
        <f>N120&amp;"u+"&amp;O120&amp;"d+"&amp;P120&amp;"e"</f>
        <v>446u+535d+119e</v>
      </c>
      <c r="S120">
        <f>COUNTIF(Shells!$E$2:$E$9,"&lt;"&amp;B120)+1</f>
        <v>8</v>
      </c>
      <c r="T120">
        <f>INDEX(Shells!$B$2:$B$9,S120)</f>
        <v>2</v>
      </c>
      <c r="U120">
        <f>INDEX(Shells!$C$2:$C$9,S120)</f>
        <v>8</v>
      </c>
      <c r="V120">
        <f>B120-IF(S120=1,0,INDEX(Shells!$E$2:$E$9,S120-1))</f>
        <v>1</v>
      </c>
      <c r="W120" t="str">
        <f>IF(V120=U120,"CLOSED_SHELL","OPEN_SHELL")</f>
        <v>OPEN_SHELL</v>
      </c>
      <c r="X120">
        <f>Constants!$B$11</f>
        <v>9.266927083333333333333333333333333333333333333333333333333333333333333333333333333333333333333333333</v>
      </c>
      <c r="Y120">
        <f>H120-B120</f>
        <v>89</v>
      </c>
      <c r="Z120">
        <f>B120*Constants!$B$11+Y120*Constants!$B$12</f>
        <v>1104.154947916666666666666666666666666666666666666666666666666666666666666666666666666666666666666667</v>
      </c>
      <c r="AA120">
        <f>Z120*Constants!$B$5</f>
        <v>8833.239583333333333333333333333333333333333333333333333333333333333333333333333333333333333333333333</v>
      </c>
      <c r="AB120">
        <f>Z120*7</f>
        <v>7729.084635416666666666666666666666666666666666666666666666666666666666666666666666666666666666666667</v>
      </c>
      <c r="AC120" t="str">
        <f>IF(B120&gt;Constants!$B$6-Constants!$B$5,"CONSTANT_FRONTIER_TAIL_Z119_Z126","CONSTANT_NATIVE_SURFACE_Z001_Z118")</f>
        <v>CONSTANT_FRONTIER_TAIL_Z119_Z126</v>
      </c>
      <c r="AD120" t="str">
        <f>IF(B120&gt;Constants!$B$6-Constants!$B$5,"CONSTANT_FRONTIER_TAIL_CANDIDATE",IF(G120=0,"CONSTANT_STABLE_ANCHOR_LANE",IF(G120=Constants!$B$2/2,"CONSTANT_HALF_WRITE_LANE","CONSTANT_BOUND_LADDER_LANE")))</f>
        <v>CONSTANT_FRONTIER_TAIL_CANDIDATE</v>
      </c>
    </row>
    <row r="121">
      <c r="A121" t="str">
        <f>"E"&amp;TEXT(B121,"000")</f>
        <v>E120</v>
      </c>
      <c r="B121">
        <f>ROW()-1</f>
        <v>120</v>
      </c>
      <c r="C121">
        <f>INT((B121-1)/Constants!$B$2)+1</f>
        <v>10</v>
      </c>
      <c r="D121">
        <f>MOD(B121-1,Constants!$B$2)+1</f>
        <v>12</v>
      </c>
      <c r="E121">
        <f>MAX(0,C121-1)</f>
        <v>9</v>
      </c>
      <c r="F121">
        <f>INT(B121*E121/Constants!$B$2)</f>
        <v>90</v>
      </c>
      <c r="G121">
        <f>MOD(B121*E121,Constants!$B$2)</f>
        <v>0</v>
      </c>
      <c r="H121">
        <f>B121+F121</f>
        <v>210</v>
      </c>
      <c r="I121">
        <f>B121+H121</f>
        <v>330</v>
      </c>
      <c r="J121">
        <f>B121</f>
        <v>120</v>
      </c>
      <c r="K121">
        <f>H121</f>
        <v>210</v>
      </c>
      <c r="L121">
        <f>B121</f>
        <v>120</v>
      </c>
      <c r="M121">
        <f>J121+K121+L121</f>
        <v>450</v>
      </c>
      <c r="N121">
        <f>2*B121+H121</f>
        <v>450</v>
      </c>
      <c r="O121">
        <f>B121+2*H121</f>
        <v>540</v>
      </c>
      <c r="P121">
        <f>B121</f>
        <v>120</v>
      </c>
      <c r="Q121" t="str">
        <f>B121&amp;"p+"&amp;H121&amp;"n+"&amp;B121&amp;"e"</f>
        <v>120p+210n+120e</v>
      </c>
      <c r="R121" t="str">
        <f>N121&amp;"u+"&amp;O121&amp;"d+"&amp;P121&amp;"e"</f>
        <v>450u+540d+120e</v>
      </c>
      <c r="S121">
        <f>COUNTIF(Shells!$E$2:$E$9,"&lt;"&amp;B121)+1</f>
        <v>8</v>
      </c>
      <c r="T121">
        <f>INDEX(Shells!$B$2:$B$9,S121)</f>
        <v>2</v>
      </c>
      <c r="U121">
        <f>INDEX(Shells!$C$2:$C$9,S121)</f>
        <v>8</v>
      </c>
      <c r="V121">
        <f>B121-IF(S121=1,0,INDEX(Shells!$E$2:$E$9,S121-1))</f>
        <v>2</v>
      </c>
      <c r="W121" t="str">
        <f>IF(V121=U121,"CLOSED_SHELL","OPEN_SHELL")</f>
        <v>OPEN_SHELL</v>
      </c>
      <c r="X121">
        <f>Constants!$B$11</f>
        <v>9.266927083333333333333333333333333333333333333333333333333333333333333333333333333333333333333333333</v>
      </c>
      <c r="Y121">
        <f>H121-B121</f>
        <v>90</v>
      </c>
      <c r="Z121">
        <f>B121*Constants!$B$11+Y121*Constants!$B$12</f>
        <v>1113.4375</v>
      </c>
      <c r="AA121">
        <f>Z121*Constants!$B$5</f>
        <v>8907.5</v>
      </c>
      <c r="AB121">
        <f>Z121*7</f>
        <v>7794.0625</v>
      </c>
      <c r="AC121" t="str">
        <f>IF(B121&gt;Constants!$B$6-Constants!$B$5,"CONSTANT_FRONTIER_TAIL_Z119_Z126","CONSTANT_NATIVE_SURFACE_Z001_Z118")</f>
        <v>CONSTANT_FRONTIER_TAIL_Z119_Z126</v>
      </c>
      <c r="AD121" t="str">
        <f>IF(B121&gt;Constants!$B$6-Constants!$B$5,"CONSTANT_FRONTIER_TAIL_CANDIDATE",IF(G121=0,"CONSTANT_STABLE_ANCHOR_LANE",IF(G121=Constants!$B$2/2,"CONSTANT_HALF_WRITE_LANE","CONSTANT_BOUND_LADDER_LANE")))</f>
        <v>CONSTANT_FRONTIER_TAIL_CANDIDATE</v>
      </c>
    </row>
    <row r="122">
      <c r="A122" t="str">
        <f>"E"&amp;TEXT(B122,"000")</f>
        <v>E121</v>
      </c>
      <c r="B122">
        <f>ROW()-1</f>
        <v>121</v>
      </c>
      <c r="C122">
        <f>INT((B122-1)/Constants!$B$2)+1</f>
        <v>11</v>
      </c>
      <c r="D122">
        <f>MOD(B122-1,Constants!$B$2)+1</f>
        <v>1</v>
      </c>
      <c r="E122">
        <f>MAX(0,C122-1)</f>
        <v>10</v>
      </c>
      <c r="F122">
        <f>INT(B122*E122/Constants!$B$2)</f>
        <v>100</v>
      </c>
      <c r="G122">
        <f>MOD(B122*E122,Constants!$B$2)</f>
        <v>10</v>
      </c>
      <c r="H122">
        <f>B122+F122</f>
        <v>221</v>
      </c>
      <c r="I122">
        <f>B122+H122</f>
        <v>342</v>
      </c>
      <c r="J122">
        <f>B122</f>
        <v>121</v>
      </c>
      <c r="K122">
        <f>H122</f>
        <v>221</v>
      </c>
      <c r="L122">
        <f>B122</f>
        <v>121</v>
      </c>
      <c r="M122">
        <f>J122+K122+L122</f>
        <v>463</v>
      </c>
      <c r="N122">
        <f>2*B122+H122</f>
        <v>463</v>
      </c>
      <c r="O122">
        <f>B122+2*H122</f>
        <v>563</v>
      </c>
      <c r="P122">
        <f>B122</f>
        <v>121</v>
      </c>
      <c r="Q122" t="str">
        <f>B122&amp;"p+"&amp;H122&amp;"n+"&amp;B122&amp;"e"</f>
        <v>121p+221n+121e</v>
      </c>
      <c r="R122" t="str">
        <f>N122&amp;"u+"&amp;O122&amp;"d+"&amp;P122&amp;"e"</f>
        <v>463u+563d+121e</v>
      </c>
      <c r="S122">
        <f>COUNTIF(Shells!$E$2:$E$9,"&lt;"&amp;B122)+1</f>
        <v>8</v>
      </c>
      <c r="T122">
        <f>INDEX(Shells!$B$2:$B$9,S122)</f>
        <v>2</v>
      </c>
      <c r="U122">
        <f>INDEX(Shells!$C$2:$C$9,S122)</f>
        <v>8</v>
      </c>
      <c r="V122">
        <f>B122-IF(S122=1,0,INDEX(Shells!$E$2:$E$9,S122-1))</f>
        <v>3</v>
      </c>
      <c r="W122" t="str">
        <f>IF(V122=U122,"CLOSED_SHELL","OPEN_SHELL")</f>
        <v>OPEN_SHELL</v>
      </c>
      <c r="X122">
        <f>Constants!$B$11</f>
        <v>9.266927083333333333333333333333333333333333333333333333333333333333333333333333333333333333333333333</v>
      </c>
      <c r="Y122">
        <f>H122-B122</f>
        <v>100</v>
      </c>
      <c r="Z122">
        <f>B122*Constants!$B$11+Y122*Constants!$B$12</f>
        <v>1122.860677083333333333333333333333333333333333333333333333333333333333333333333333333333333333333333</v>
      </c>
      <c r="AA122">
        <f>Z122*Constants!$B$5</f>
        <v>8982.885416666666666666666666666666666666666666666666666666666666666666666666666666666666666666666667</v>
      </c>
      <c r="AB122">
        <f>Z122*7</f>
        <v>7860.024739583333333333333333333333333333333333333333333333333333333333333333333333333333333333333333</v>
      </c>
      <c r="AC122" t="str">
        <f>IF(B122&gt;Constants!$B$6-Constants!$B$5,"CONSTANT_FRONTIER_TAIL_Z119_Z126","CONSTANT_NATIVE_SURFACE_Z001_Z118")</f>
        <v>CONSTANT_FRONTIER_TAIL_Z119_Z126</v>
      </c>
      <c r="AD122" t="str">
        <f>IF(B122&gt;Constants!$B$6-Constants!$B$5,"CONSTANT_FRONTIER_TAIL_CANDIDATE",IF(G122=0,"CONSTANT_STABLE_ANCHOR_LANE",IF(G122=Constants!$B$2/2,"CONSTANT_HALF_WRITE_LANE","CONSTANT_BOUND_LADDER_LANE")))</f>
        <v>CONSTANT_FRONTIER_TAIL_CANDIDATE</v>
      </c>
    </row>
    <row r="123">
      <c r="A123" t="str">
        <f>"E"&amp;TEXT(B123,"000")</f>
        <v>E122</v>
      </c>
      <c r="B123">
        <f>ROW()-1</f>
        <v>122</v>
      </c>
      <c r="C123">
        <f>INT((B123-1)/Constants!$B$2)+1</f>
        <v>11</v>
      </c>
      <c r="D123">
        <f>MOD(B123-1,Constants!$B$2)+1</f>
        <v>2</v>
      </c>
      <c r="E123">
        <f>MAX(0,C123-1)</f>
        <v>10</v>
      </c>
      <c r="F123">
        <f>INT(B123*E123/Constants!$B$2)</f>
        <v>101</v>
      </c>
      <c r="G123">
        <f>MOD(B123*E123,Constants!$B$2)</f>
        <v>8</v>
      </c>
      <c r="H123">
        <f>B123+F123</f>
        <v>223</v>
      </c>
      <c r="I123">
        <f>B123+H123</f>
        <v>345</v>
      </c>
      <c r="J123">
        <f>B123</f>
        <v>122</v>
      </c>
      <c r="K123">
        <f>H123</f>
        <v>223</v>
      </c>
      <c r="L123">
        <f>B123</f>
        <v>122</v>
      </c>
      <c r="M123">
        <f>J123+K123+L123</f>
        <v>467</v>
      </c>
      <c r="N123">
        <f>2*B123+H123</f>
        <v>467</v>
      </c>
      <c r="O123">
        <f>B123+2*H123</f>
        <v>568</v>
      </c>
      <c r="P123">
        <f>B123</f>
        <v>122</v>
      </c>
      <c r="Q123" t="str">
        <f>B123&amp;"p+"&amp;H123&amp;"n+"&amp;B123&amp;"e"</f>
        <v>122p+223n+122e</v>
      </c>
      <c r="R123" t="str">
        <f>N123&amp;"u+"&amp;O123&amp;"d+"&amp;P123&amp;"e"</f>
        <v>467u+568d+122e</v>
      </c>
      <c r="S123">
        <f>COUNTIF(Shells!$E$2:$E$9,"&lt;"&amp;B123)+1</f>
        <v>8</v>
      </c>
      <c r="T123">
        <f>INDEX(Shells!$B$2:$B$9,S123)</f>
        <v>2</v>
      </c>
      <c r="U123">
        <f>INDEX(Shells!$C$2:$C$9,S123)</f>
        <v>8</v>
      </c>
      <c r="V123">
        <f>B123-IF(S123=1,0,INDEX(Shells!$E$2:$E$9,S123-1))</f>
        <v>4</v>
      </c>
      <c r="W123" t="str">
        <f>IF(V123=U123,"CLOSED_SHELL","OPEN_SHELL")</f>
        <v>OPEN_SHELL</v>
      </c>
      <c r="X123">
        <f>Constants!$B$11</f>
        <v>9.266927083333333333333333333333333333333333333333333333333333333333333333333333333333333333333333333</v>
      </c>
      <c r="Y123">
        <f>H123-B123</f>
        <v>101</v>
      </c>
      <c r="Z123">
        <f>B123*Constants!$B$11+Y123*Constants!$B$12</f>
        <v>1132.143229166666666666666666666666666666666666666666666666666666666666666666666666666666666666666667</v>
      </c>
      <c r="AA123">
        <f>Z123*Constants!$B$5</f>
        <v>9057.145833333333333333333333333333333333333333333333333333333333333333333333333333333333333333333333</v>
      </c>
      <c r="AB123">
        <f>Z123*7</f>
        <v>7925.002604166666666666666666666666666666666666666666666666666666666666666666666666666666666666666667</v>
      </c>
      <c r="AC123" t="str">
        <f>IF(B123&gt;Constants!$B$6-Constants!$B$5,"CONSTANT_FRONTIER_TAIL_Z119_Z126","CONSTANT_NATIVE_SURFACE_Z001_Z118")</f>
        <v>CONSTANT_FRONTIER_TAIL_Z119_Z126</v>
      </c>
      <c r="AD123" t="str">
        <f>IF(B123&gt;Constants!$B$6-Constants!$B$5,"CONSTANT_FRONTIER_TAIL_CANDIDATE",IF(G123=0,"CONSTANT_STABLE_ANCHOR_LANE",IF(G123=Constants!$B$2/2,"CONSTANT_HALF_WRITE_LANE","CONSTANT_BOUND_LADDER_LANE")))</f>
        <v>CONSTANT_FRONTIER_TAIL_CANDIDATE</v>
      </c>
    </row>
    <row r="124">
      <c r="A124" t="str">
        <f>"E"&amp;TEXT(B124,"000")</f>
        <v>E123</v>
      </c>
      <c r="B124">
        <f>ROW()-1</f>
        <v>123</v>
      </c>
      <c r="C124">
        <f>INT((B124-1)/Constants!$B$2)+1</f>
        <v>11</v>
      </c>
      <c r="D124">
        <f>MOD(B124-1,Constants!$B$2)+1</f>
        <v>3</v>
      </c>
      <c r="E124">
        <f>MAX(0,C124-1)</f>
        <v>10</v>
      </c>
      <c r="F124">
        <f>INT(B124*E124/Constants!$B$2)</f>
        <v>102</v>
      </c>
      <c r="G124">
        <f>MOD(B124*E124,Constants!$B$2)</f>
        <v>6</v>
      </c>
      <c r="H124">
        <f>B124+F124</f>
        <v>225</v>
      </c>
      <c r="I124">
        <f>B124+H124</f>
        <v>348</v>
      </c>
      <c r="J124">
        <f>B124</f>
        <v>123</v>
      </c>
      <c r="K124">
        <f>H124</f>
        <v>225</v>
      </c>
      <c r="L124">
        <f>B124</f>
        <v>123</v>
      </c>
      <c r="M124">
        <f>J124+K124+L124</f>
        <v>471</v>
      </c>
      <c r="N124">
        <f>2*B124+H124</f>
        <v>471</v>
      </c>
      <c r="O124">
        <f>B124+2*H124</f>
        <v>573</v>
      </c>
      <c r="P124">
        <f>B124</f>
        <v>123</v>
      </c>
      <c r="Q124" t="str">
        <f>B124&amp;"p+"&amp;H124&amp;"n+"&amp;B124&amp;"e"</f>
        <v>123p+225n+123e</v>
      </c>
      <c r="R124" t="str">
        <f>N124&amp;"u+"&amp;O124&amp;"d+"&amp;P124&amp;"e"</f>
        <v>471u+573d+123e</v>
      </c>
      <c r="S124">
        <f>COUNTIF(Shells!$E$2:$E$9,"&lt;"&amp;B124)+1</f>
        <v>8</v>
      </c>
      <c r="T124">
        <f>INDEX(Shells!$B$2:$B$9,S124)</f>
        <v>2</v>
      </c>
      <c r="U124">
        <f>INDEX(Shells!$C$2:$C$9,S124)</f>
        <v>8</v>
      </c>
      <c r="V124">
        <f>B124-IF(S124=1,0,INDEX(Shells!$E$2:$E$9,S124-1))</f>
        <v>5</v>
      </c>
      <c r="W124" t="str">
        <f>IF(V124=U124,"CLOSED_SHELL","OPEN_SHELL")</f>
        <v>OPEN_SHELL</v>
      </c>
      <c r="X124">
        <f>Constants!$B$11</f>
        <v>9.266927083333333333333333333333333333333333333333333333333333333333333333333333333333333333333333333</v>
      </c>
      <c r="Y124">
        <f>H124-B124</f>
        <v>102</v>
      </c>
      <c r="Z124">
        <f>B124*Constants!$B$11+Y124*Constants!$B$12</f>
        <v>1141.42578125</v>
      </c>
      <c r="AA124">
        <f>Z124*Constants!$B$5</f>
        <v>9131.40625</v>
      </c>
      <c r="AB124">
        <f>Z124*7</f>
        <v>7989.98046875</v>
      </c>
      <c r="AC124" t="str">
        <f>IF(B124&gt;Constants!$B$6-Constants!$B$5,"CONSTANT_FRONTIER_TAIL_Z119_Z126","CONSTANT_NATIVE_SURFACE_Z001_Z118")</f>
        <v>CONSTANT_FRONTIER_TAIL_Z119_Z126</v>
      </c>
      <c r="AD124" t="str">
        <f>IF(B124&gt;Constants!$B$6-Constants!$B$5,"CONSTANT_FRONTIER_TAIL_CANDIDATE",IF(G124=0,"CONSTANT_STABLE_ANCHOR_LANE",IF(G124=Constants!$B$2/2,"CONSTANT_HALF_WRITE_LANE","CONSTANT_BOUND_LADDER_LANE")))</f>
        <v>CONSTANT_FRONTIER_TAIL_CANDIDATE</v>
      </c>
    </row>
    <row r="125">
      <c r="A125" t="str">
        <f>"E"&amp;TEXT(B125,"000")</f>
        <v>E124</v>
      </c>
      <c r="B125">
        <f>ROW()-1</f>
        <v>124</v>
      </c>
      <c r="C125">
        <f>INT((B125-1)/Constants!$B$2)+1</f>
        <v>11</v>
      </c>
      <c r="D125">
        <f>MOD(B125-1,Constants!$B$2)+1</f>
        <v>4</v>
      </c>
      <c r="E125">
        <f>MAX(0,C125-1)</f>
        <v>10</v>
      </c>
      <c r="F125">
        <f>INT(B125*E125/Constants!$B$2)</f>
        <v>103</v>
      </c>
      <c r="G125">
        <f>MOD(B125*E125,Constants!$B$2)</f>
        <v>4</v>
      </c>
      <c r="H125">
        <f>B125+F125</f>
        <v>227</v>
      </c>
      <c r="I125">
        <f>B125+H125</f>
        <v>351</v>
      </c>
      <c r="J125">
        <f>B125</f>
        <v>124</v>
      </c>
      <c r="K125">
        <f>H125</f>
        <v>227</v>
      </c>
      <c r="L125">
        <f>B125</f>
        <v>124</v>
      </c>
      <c r="M125">
        <f>J125+K125+L125</f>
        <v>475</v>
      </c>
      <c r="N125">
        <f>2*B125+H125</f>
        <v>475</v>
      </c>
      <c r="O125">
        <f>B125+2*H125</f>
        <v>578</v>
      </c>
      <c r="P125">
        <f>B125</f>
        <v>124</v>
      </c>
      <c r="Q125" t="str">
        <f>B125&amp;"p+"&amp;H125&amp;"n+"&amp;B125&amp;"e"</f>
        <v>124p+227n+124e</v>
      </c>
      <c r="R125" t="str">
        <f>N125&amp;"u+"&amp;O125&amp;"d+"&amp;P125&amp;"e"</f>
        <v>475u+578d+124e</v>
      </c>
      <c r="S125">
        <f>COUNTIF(Shells!$E$2:$E$9,"&lt;"&amp;B125)+1</f>
        <v>8</v>
      </c>
      <c r="T125">
        <f>INDEX(Shells!$B$2:$B$9,S125)</f>
        <v>2</v>
      </c>
      <c r="U125">
        <f>INDEX(Shells!$C$2:$C$9,S125)</f>
        <v>8</v>
      </c>
      <c r="V125">
        <f>B125-IF(S125=1,0,INDEX(Shells!$E$2:$E$9,S125-1))</f>
        <v>6</v>
      </c>
      <c r="W125" t="str">
        <f>IF(V125=U125,"CLOSED_SHELL","OPEN_SHELL")</f>
        <v>OPEN_SHELL</v>
      </c>
      <c r="X125">
        <f>Constants!$B$11</f>
        <v>9.266927083333333333333333333333333333333333333333333333333333333333333333333333333333333333333333333</v>
      </c>
      <c r="Y125">
        <f>H125-B125</f>
        <v>103</v>
      </c>
      <c r="Z125">
        <f>B125*Constants!$B$11+Y125*Constants!$B$12</f>
        <v>1150.708333333333333333333333333333333333333333333333333333333333333333333333333333333333333333333333</v>
      </c>
      <c r="AA125">
        <f>Z125*Constants!$B$5</f>
        <v>9205.666666666666666666666666666666666666666666666666666666666666666666666666666666666666666666666667</v>
      </c>
      <c r="AB125">
        <f>Z125*7</f>
        <v>8054.958333333333333333333333333333333333333333333333333333333333333333333333333333333333333333333333</v>
      </c>
      <c r="AC125" t="str">
        <f>IF(B125&gt;Constants!$B$6-Constants!$B$5,"CONSTANT_FRONTIER_TAIL_Z119_Z126","CONSTANT_NATIVE_SURFACE_Z001_Z118")</f>
        <v>CONSTANT_FRONTIER_TAIL_Z119_Z126</v>
      </c>
      <c r="AD125" t="str">
        <f>IF(B125&gt;Constants!$B$6-Constants!$B$5,"CONSTANT_FRONTIER_TAIL_CANDIDATE",IF(G125=0,"CONSTANT_STABLE_ANCHOR_LANE",IF(G125=Constants!$B$2/2,"CONSTANT_HALF_WRITE_LANE","CONSTANT_BOUND_LADDER_LANE")))</f>
        <v>CONSTANT_FRONTIER_TAIL_CANDIDATE</v>
      </c>
    </row>
    <row r="126">
      <c r="A126" t="str">
        <f>"E"&amp;TEXT(B126,"000")</f>
        <v>E125</v>
      </c>
      <c r="B126">
        <f>ROW()-1</f>
        <v>125</v>
      </c>
      <c r="C126">
        <f>INT((B126-1)/Constants!$B$2)+1</f>
        <v>11</v>
      </c>
      <c r="D126">
        <f>MOD(B126-1,Constants!$B$2)+1</f>
        <v>5</v>
      </c>
      <c r="E126">
        <f>MAX(0,C126-1)</f>
        <v>10</v>
      </c>
      <c r="F126">
        <f>INT(B126*E126/Constants!$B$2)</f>
        <v>104</v>
      </c>
      <c r="G126">
        <f>MOD(B126*E126,Constants!$B$2)</f>
        <v>2</v>
      </c>
      <c r="H126">
        <f>B126+F126</f>
        <v>229</v>
      </c>
      <c r="I126">
        <f>B126+H126</f>
        <v>354</v>
      </c>
      <c r="J126">
        <f>B126</f>
        <v>125</v>
      </c>
      <c r="K126">
        <f>H126</f>
        <v>229</v>
      </c>
      <c r="L126">
        <f>B126</f>
        <v>125</v>
      </c>
      <c r="M126">
        <f>J126+K126+L126</f>
        <v>479</v>
      </c>
      <c r="N126">
        <f>2*B126+H126</f>
        <v>479</v>
      </c>
      <c r="O126">
        <f>B126+2*H126</f>
        <v>583</v>
      </c>
      <c r="P126">
        <f>B126</f>
        <v>125</v>
      </c>
      <c r="Q126" t="str">
        <f>B126&amp;"p+"&amp;H126&amp;"n+"&amp;B126&amp;"e"</f>
        <v>125p+229n+125e</v>
      </c>
      <c r="R126" t="str">
        <f>N126&amp;"u+"&amp;O126&amp;"d+"&amp;P126&amp;"e"</f>
        <v>479u+583d+125e</v>
      </c>
      <c r="S126">
        <f>COUNTIF(Shells!$E$2:$E$9,"&lt;"&amp;B126)+1</f>
        <v>8</v>
      </c>
      <c r="T126">
        <f>INDEX(Shells!$B$2:$B$9,S126)</f>
        <v>2</v>
      </c>
      <c r="U126">
        <f>INDEX(Shells!$C$2:$C$9,S126)</f>
        <v>8</v>
      </c>
      <c r="V126">
        <f>B126-IF(S126=1,0,INDEX(Shells!$E$2:$E$9,S126-1))</f>
        <v>7</v>
      </c>
      <c r="W126" t="str">
        <f>IF(V126=U126,"CLOSED_SHELL","OPEN_SHELL")</f>
        <v>OPEN_SHELL</v>
      </c>
      <c r="X126">
        <f>Constants!$B$11</f>
        <v>9.266927083333333333333333333333333333333333333333333333333333333333333333333333333333333333333333333</v>
      </c>
      <c r="Y126">
        <f>H126-B126</f>
        <v>104</v>
      </c>
      <c r="Z126">
        <f>B126*Constants!$B$11+Y126*Constants!$B$12</f>
        <v>1159.990885416666666666666666666666666666666666666666666666666666666666666666666666666666666666666667</v>
      </c>
      <c r="AA126">
        <f>Z126*Constants!$B$5</f>
        <v>9279.927083333333333333333333333333333333333333333333333333333333333333333333333333333333333333333333</v>
      </c>
      <c r="AB126">
        <f>Z126*7</f>
        <v>8119.936197916666666666666666666666666666666666666666666666666666666666666666666666666666666666666667</v>
      </c>
      <c r="AC126" t="str">
        <f>IF(B126&gt;Constants!$B$6-Constants!$B$5,"CONSTANT_FRONTIER_TAIL_Z119_Z126","CONSTANT_NATIVE_SURFACE_Z001_Z118")</f>
        <v>CONSTANT_FRONTIER_TAIL_Z119_Z126</v>
      </c>
      <c r="AD126" t="str">
        <f>IF(B126&gt;Constants!$B$6-Constants!$B$5,"CONSTANT_FRONTIER_TAIL_CANDIDATE",IF(G126=0,"CONSTANT_STABLE_ANCHOR_LANE",IF(G126=Constants!$B$2/2,"CONSTANT_HALF_WRITE_LANE","CONSTANT_BOUND_LADDER_LANE")))</f>
        <v>CONSTANT_FRONTIER_TAIL_CANDIDATE</v>
      </c>
    </row>
    <row r="127">
      <c r="A127" t="str">
        <f>"E"&amp;TEXT(B127,"000")</f>
        <v>E126</v>
      </c>
      <c r="B127">
        <f>ROW()-1</f>
        <v>126</v>
      </c>
      <c r="C127">
        <f>INT((B127-1)/Constants!$B$2)+1</f>
        <v>11</v>
      </c>
      <c r="D127">
        <f>MOD(B127-1,Constants!$B$2)+1</f>
        <v>6</v>
      </c>
      <c r="E127">
        <f>MAX(0,C127-1)</f>
        <v>10</v>
      </c>
      <c r="F127">
        <f>INT(B127*E127/Constants!$B$2)</f>
        <v>105</v>
      </c>
      <c r="G127">
        <f>MOD(B127*E127,Constants!$B$2)</f>
        <v>0</v>
      </c>
      <c r="H127">
        <f>B127+F127</f>
        <v>231</v>
      </c>
      <c r="I127">
        <f>B127+H127</f>
        <v>357</v>
      </c>
      <c r="J127">
        <f>B127</f>
        <v>126</v>
      </c>
      <c r="K127">
        <f>H127</f>
        <v>231</v>
      </c>
      <c r="L127">
        <f>B127</f>
        <v>126</v>
      </c>
      <c r="M127">
        <f>J127+K127+L127</f>
        <v>483</v>
      </c>
      <c r="N127">
        <f>2*B127+H127</f>
        <v>483</v>
      </c>
      <c r="O127">
        <f>B127+2*H127</f>
        <v>588</v>
      </c>
      <c r="P127">
        <f>B127</f>
        <v>126</v>
      </c>
      <c r="Q127" t="str">
        <f>B127&amp;"p+"&amp;H127&amp;"n+"&amp;B127&amp;"e"</f>
        <v>126p+231n+126e</v>
      </c>
      <c r="R127" t="str">
        <f>N127&amp;"u+"&amp;O127&amp;"d+"&amp;P127&amp;"e"</f>
        <v>483u+588d+126e</v>
      </c>
      <c r="S127">
        <f>COUNTIF(Shells!$E$2:$E$9,"&lt;"&amp;B127)+1</f>
        <v>8</v>
      </c>
      <c r="T127">
        <f>INDEX(Shells!$B$2:$B$9,S127)</f>
        <v>2</v>
      </c>
      <c r="U127">
        <f>INDEX(Shells!$C$2:$C$9,S127)</f>
        <v>8</v>
      </c>
      <c r="V127">
        <f>B127-IF(S127=1,0,INDEX(Shells!$E$2:$E$9,S127-1))</f>
        <v>8</v>
      </c>
      <c r="W127" t="str">
        <f>IF(V127=U127,"CLOSED_SHELL","OPEN_SHELL")</f>
        <v>CLOSED_SHELL</v>
      </c>
      <c r="X127">
        <f>Constants!$B$11</f>
        <v>9.266927083333333333333333333333333333333333333333333333333333333333333333333333333333333333333333333</v>
      </c>
      <c r="Y127">
        <f>H127-B127</f>
        <v>105</v>
      </c>
      <c r="Z127">
        <f>B127*Constants!$B$11+Y127*Constants!$B$12</f>
        <v>1169.2734375</v>
      </c>
      <c r="AA127">
        <f>Z127*Constants!$B$5</f>
        <v>9354.1875</v>
      </c>
      <c r="AB127">
        <f>Z127*7</f>
        <v>8184.9140625</v>
      </c>
      <c r="AC127" t="str">
        <f>IF(B127&gt;Constants!$B$6-Constants!$B$5,"CONSTANT_FRONTIER_TAIL_Z119_Z126","CONSTANT_NATIVE_SURFACE_Z001_Z118")</f>
        <v>CONSTANT_FRONTIER_TAIL_Z119_Z126</v>
      </c>
      <c r="AD127" t="str">
        <f>IF(B127&gt;Constants!$B$6-Constants!$B$5,"CONSTANT_FRONTIER_TAIL_CANDIDATE",IF(G127=0,"CONSTANT_STABLE_ANCHOR_LANE",IF(G127=Constants!$B$2/2,"CONSTANT_HALF_WRITE_LANE","CONSTANT_BOUND_LADDER_LANE")))</f>
        <v>CONSTANT_FRONTIER_TAIL_CANDIDATE</v>
      </c>
    </row>
  </sheetData>
  <autoFilter ref="A1:AH127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53"/>
  <sheetViews>
    <sheetView workbookViewId="0">
      <pane ySplit="1" topLeftCell="A2" activePane="bottomLeft" state="frozen"/>
      <selection pane="bottomLeft"/>
    </sheetView>
  </sheetViews>
  <cols>
    <col min="1" max="1" width="14" customWidth="1"/>
    <col min="3" max="3" width="18" customWidth="1"/>
    <col min="10" max="10" width="18" customWidth="1"/>
    <col min="11" max="11" width="22" customWidth="1"/>
    <col min="12" max="12" width="20" customWidth="1"/>
    <col min="13" max="13" width="20" customWidth="1"/>
    <col min="14" max="14" width="20" customWidth="1"/>
    <col min="15" max="15" width="34" customWidth="1"/>
  </cols>
  <sheetData>
    <row r="1">
      <c r="A1" t="inlineStr" s="1">
        <is>
          <t>candidate_row</t>
        </is>
      </c>
      <c r="B1" t="inlineStr" s="1">
        <is>
          <t>Z</t>
        </is>
      </c>
      <c r="C1" t="inlineStr" s="1">
        <is>
          <t>candidate_role</t>
        </is>
      </c>
      <c r="D1" t="inlineStr" s="1">
        <is>
          <t>active</t>
        </is>
      </c>
      <c r="E1" t="inlineStr" s="1">
        <is>
          <t>selected_depth</t>
        </is>
      </c>
      <c r="F1" t="inlineStr" s="1">
        <is>
          <t>delta_n</t>
        </is>
      </c>
      <c r="G1" t="inlineStr" s="1">
        <is>
          <t>residual_twelfths</t>
        </is>
      </c>
      <c r="H1" t="inlineStr" s="1">
        <is>
          <t>N</t>
        </is>
      </c>
      <c r="I1" t="inlineStr" s="1">
        <is>
          <t>A</t>
        </is>
      </c>
      <c r="J1" t="inlineStr" s="1">
        <is>
          <t>P_address</t>
        </is>
      </c>
      <c r="K1" t="inlineStr" s="1">
        <is>
          <t>quark_address</t>
        </is>
      </c>
      <c r="L1" t="inlineStr" s="1">
        <is>
          <t>G(P)</t>
        </is>
      </c>
      <c r="M1" t="inlineStr" s="1">
        <is>
          <t>GR(P)</t>
        </is>
      </c>
      <c r="N1" t="inlineStr" s="1">
        <is>
          <t>retained_7G</t>
        </is>
      </c>
      <c r="O1" t="inlineStr" s="1">
        <is>
          <t>native_lane</t>
        </is>
      </c>
    </row>
    <row r="2">
      <c r="A2">
        <f>ROW()-1</f>
        <v>1</v>
      </c>
      <c r="B2">
        <f>INT((A2-1)/2)+1</f>
        <v>1</v>
      </c>
      <c r="C2" t="str">
        <f>IF(MOD(A2-1,2)=0,"FLOOR_PRIMARY","CEIL_NEIGHBOR")</f>
        <v>FLOOR_PRIMARY</v>
      </c>
      <c r="D2" t="str">
        <f>IF(C2="FLOOR_PRIMARY","yes",IF(G2&lt;&gt;0,"yes","no"))</f>
        <v>yes</v>
      </c>
      <c r="E2">
        <f>MAX(0,INT((B2-1)/Constants!$B$2))</f>
        <v>0</v>
      </c>
      <c r="F2">
        <f>INT(B2*E2/Constants!$B$2)</f>
        <v>0</v>
      </c>
      <c r="G2">
        <f>MOD(B2*E2,Constants!$B$2)</f>
        <v>0</v>
      </c>
      <c r="H2">
        <f>B2+F2+IF(C2="CEIL_NEIGHBOR",1,0)</f>
        <v>1</v>
      </c>
      <c r="I2">
        <f>B2+H2</f>
        <v>2</v>
      </c>
      <c r="J2" t="str">
        <f>B2&amp;"p+"&amp;H2&amp;"n+"&amp;B2&amp;"e"</f>
        <v>1p+1n+1e</v>
      </c>
      <c r="K2" t="str">
        <f>(2*B2+H2)&amp;"u+"&amp;(B2+2*H2)&amp;"d+"&amp;B2&amp;"e"</f>
        <v>3u+3d+1e</v>
      </c>
      <c r="L2">
        <f>B2*Constants!$B$11+(H2-B2)*Constants!$B$12</f>
        <v>9.266927083333333333333333333333333333333333333333333333333333333333333333333333333333333333333333333</v>
      </c>
      <c r="M2">
        <f>L2*Constants!$B$5</f>
        <v>74.13541666666666666666666666666666666666666666666666666666666666666666666666666666666666666666666667</v>
      </c>
      <c r="N2">
        <f>L2*7</f>
        <v>64.86848958333333333333333333333333333333333333333333333333333333333333333333333333333333333333333333</v>
      </c>
      <c r="O2" t="str">
        <f>IF(B2&gt;Constants!$B$6-Constants!$B$5,"CONSTANT_FRONTIER_TAIL_CANDIDATE",IF(G2=0,"CONSTANT_STABLE_ANCHOR_LANE",IF(G2=Constants!$B$2/2,"CONSTANT_HALF_WRITE_LANE","CONSTANT_BOUND_LADDER_LANE")))</f>
        <v>CONSTANT_STABLE_ANCHOR_LANE</v>
      </c>
    </row>
    <row r="3">
      <c r="A3">
        <f>ROW()-1</f>
        <v>2</v>
      </c>
      <c r="B3">
        <f>INT((A3-1)/2)+1</f>
        <v>1</v>
      </c>
      <c r="C3" t="str">
        <f>IF(MOD(A3-1,2)=0,"FLOOR_PRIMARY","CEIL_NEIGHBOR")</f>
        <v>CEIL_NEIGHBOR</v>
      </c>
      <c r="D3" t="str">
        <f>IF(C3="FLOOR_PRIMARY","yes",IF(G3&lt;&gt;0,"yes","no"))</f>
        <v>no</v>
      </c>
      <c r="E3">
        <f>MAX(0,INT((B3-1)/Constants!$B$2))</f>
        <v>0</v>
      </c>
      <c r="F3">
        <f>INT(B3*E3/Constants!$B$2)</f>
        <v>0</v>
      </c>
      <c r="G3">
        <f>MOD(B3*E3,Constants!$B$2)</f>
        <v>0</v>
      </c>
      <c r="H3">
        <f>B3+F3+IF(C3="CEIL_NEIGHBOR",1,0)</f>
        <v>2</v>
      </c>
      <c r="I3">
        <f>B3+H3</f>
        <v>3</v>
      </c>
      <c r="J3" t="str">
        <f>B3&amp;"p+"&amp;H3&amp;"n+"&amp;B3&amp;"e"</f>
        <v>1p+2n+1e</v>
      </c>
      <c r="K3" t="str">
        <f>(2*B3+H3)&amp;"u+"&amp;(B3+2*H3)&amp;"d+"&amp;B3&amp;"e"</f>
        <v>4u+5d+1e</v>
      </c>
      <c r="L3">
        <f>B3*Constants!$B$11+(H3-B3)*Constants!$B$12</f>
        <v>9.282552083333333333333333333333333333333333333333333333333333333333333333333333333333333333333333333</v>
      </c>
      <c r="M3">
        <f>L3*Constants!$B$5</f>
        <v>74.26041666666666666666666666666666666666666666666666666666666666666666666666666666666666666666666667</v>
      </c>
      <c r="N3">
        <f>L3*7</f>
        <v>64.97786458333333333333333333333333333333333333333333333333333333333333333333333333333333333333333333</v>
      </c>
      <c r="O3" t="str">
        <f>IF(B3&gt;Constants!$B$6-Constants!$B$5,"CONSTANT_FRONTIER_TAIL_CANDIDATE",IF(G3=0,"CONSTANT_STABLE_ANCHOR_LANE",IF(G3=Constants!$B$2/2,"CONSTANT_HALF_WRITE_LANE","CONSTANT_BOUND_LADDER_LANE")))</f>
        <v>CONSTANT_BOUND_LADDER_LANE</v>
      </c>
    </row>
    <row r="4">
      <c r="A4">
        <f>ROW()-1</f>
        <v>3</v>
      </c>
      <c r="B4">
        <f>INT((A4-1)/2)+1</f>
        <v>2</v>
      </c>
      <c r="C4" t="str">
        <f>IF(MOD(A4-1,2)=0,"FLOOR_PRIMARY","CEIL_NEIGHBOR")</f>
        <v>FLOOR_PRIMARY</v>
      </c>
      <c r="D4" t="str">
        <f>IF(C4="FLOOR_PRIMARY","yes",IF(G4&lt;&gt;0,"yes","no"))</f>
        <v>yes</v>
      </c>
      <c r="E4">
        <f>MAX(0,INT((B4-1)/Constants!$B$2))</f>
        <v>0</v>
      </c>
      <c r="F4">
        <f>INT(B4*E4/Constants!$B$2)</f>
        <v>0</v>
      </c>
      <c r="G4">
        <f>MOD(B4*E4,Constants!$B$2)</f>
        <v>0</v>
      </c>
      <c r="H4">
        <f>B4+F4+IF(C4="CEIL_NEIGHBOR",1,0)</f>
        <v>2</v>
      </c>
      <c r="I4">
        <f>B4+H4</f>
        <v>4</v>
      </c>
      <c r="J4" t="str">
        <f>B4&amp;"p+"&amp;H4&amp;"n+"&amp;B4&amp;"e"</f>
        <v>2p+2n+2e</v>
      </c>
      <c r="K4" t="str">
        <f>(2*B4+H4)&amp;"u+"&amp;(B4+2*H4)&amp;"d+"&amp;B4&amp;"e"</f>
        <v>6u+6d+2e</v>
      </c>
      <c r="L4">
        <f>B4*Constants!$B$11+(H4-B4)*Constants!$B$12</f>
        <v>18.53385416666666666666666666666666666666666666666666666666666666666666666666666666666666666666666667</v>
      </c>
      <c r="M4">
        <f>L4*Constants!$B$5</f>
        <v>148.2708333333333333333333333333333333333333333333333333333333333333333333333333333333333333333333333</v>
      </c>
      <c r="N4">
        <f>L4*7</f>
        <v>129.7369791666666666666666666666666666666666666666666666666666666666666666666666666666666666666666667</v>
      </c>
      <c r="O4" t="str">
        <f>IF(B4&gt;Constants!$B$6-Constants!$B$5,"CONSTANT_FRONTIER_TAIL_CANDIDATE",IF(G4=0,"CONSTANT_STABLE_ANCHOR_LANE",IF(G4=Constants!$B$2/2,"CONSTANT_HALF_WRITE_LANE","CONSTANT_BOUND_LADDER_LANE")))</f>
        <v>CONSTANT_STABLE_ANCHOR_LANE</v>
      </c>
    </row>
    <row r="5">
      <c r="A5">
        <f>ROW()-1</f>
        <v>4</v>
      </c>
      <c r="B5">
        <f>INT((A5-1)/2)+1</f>
        <v>2</v>
      </c>
      <c r="C5" t="str">
        <f>IF(MOD(A5-1,2)=0,"FLOOR_PRIMARY","CEIL_NEIGHBOR")</f>
        <v>CEIL_NEIGHBOR</v>
      </c>
      <c r="D5" t="str">
        <f>IF(C5="FLOOR_PRIMARY","yes",IF(G5&lt;&gt;0,"yes","no"))</f>
        <v>no</v>
      </c>
      <c r="E5">
        <f>MAX(0,INT((B5-1)/Constants!$B$2))</f>
        <v>0</v>
      </c>
      <c r="F5">
        <f>INT(B5*E5/Constants!$B$2)</f>
        <v>0</v>
      </c>
      <c r="G5">
        <f>MOD(B5*E5,Constants!$B$2)</f>
        <v>0</v>
      </c>
      <c r="H5">
        <f>B5+F5+IF(C5="CEIL_NEIGHBOR",1,0)</f>
        <v>3</v>
      </c>
      <c r="I5">
        <f>B5+H5</f>
        <v>5</v>
      </c>
      <c r="J5" t="str">
        <f>B5&amp;"p+"&amp;H5&amp;"n+"&amp;B5&amp;"e"</f>
        <v>2p+3n+2e</v>
      </c>
      <c r="K5" t="str">
        <f>(2*B5+H5)&amp;"u+"&amp;(B5+2*H5)&amp;"d+"&amp;B5&amp;"e"</f>
        <v>7u+8d+2e</v>
      </c>
      <c r="L5">
        <f>B5*Constants!$B$11+(H5-B5)*Constants!$B$12</f>
        <v>18.54947916666666666666666666666666666666666666666666666666666666666666666666666666666666666666666667</v>
      </c>
      <c r="M5">
        <f>L5*Constants!$B$5</f>
        <v>148.3958333333333333333333333333333333333333333333333333333333333333333333333333333333333333333333333</v>
      </c>
      <c r="N5">
        <f>L5*7</f>
        <v>129.8463541666666666666666666666666666666666666666666666666666666666666666666666666666666666666666667</v>
      </c>
      <c r="O5" t="str">
        <f>IF(B5&gt;Constants!$B$6-Constants!$B$5,"CONSTANT_FRONTIER_TAIL_CANDIDATE",IF(G5=0,"CONSTANT_STABLE_ANCHOR_LANE",IF(G5=Constants!$B$2/2,"CONSTANT_HALF_WRITE_LANE","CONSTANT_BOUND_LADDER_LANE")))</f>
        <v>CONSTANT_BOUND_LADDER_LANE</v>
      </c>
    </row>
    <row r="6">
      <c r="A6">
        <f>ROW()-1</f>
        <v>5</v>
      </c>
      <c r="B6">
        <f>INT((A6-1)/2)+1</f>
        <v>3</v>
      </c>
      <c r="C6" t="str">
        <f>IF(MOD(A6-1,2)=0,"FLOOR_PRIMARY","CEIL_NEIGHBOR")</f>
        <v>FLOOR_PRIMARY</v>
      </c>
      <c r="D6" t="str">
        <f>IF(C6="FLOOR_PRIMARY","yes",IF(G6&lt;&gt;0,"yes","no"))</f>
        <v>yes</v>
      </c>
      <c r="E6">
        <f>MAX(0,INT((B6-1)/Constants!$B$2))</f>
        <v>0</v>
      </c>
      <c r="F6">
        <f>INT(B6*E6/Constants!$B$2)</f>
        <v>0</v>
      </c>
      <c r="G6">
        <f>MOD(B6*E6,Constants!$B$2)</f>
        <v>0</v>
      </c>
      <c r="H6">
        <f>B6+F6+IF(C6="CEIL_NEIGHBOR",1,0)</f>
        <v>3</v>
      </c>
      <c r="I6">
        <f>B6+H6</f>
        <v>6</v>
      </c>
      <c r="J6" t="str">
        <f>B6&amp;"p+"&amp;H6&amp;"n+"&amp;B6&amp;"e"</f>
        <v>3p+3n+3e</v>
      </c>
      <c r="K6" t="str">
        <f>(2*B6+H6)&amp;"u+"&amp;(B6+2*H6)&amp;"d+"&amp;B6&amp;"e"</f>
        <v>9u+9d+3e</v>
      </c>
      <c r="L6">
        <f>B6*Constants!$B$11+(H6-B6)*Constants!$B$12</f>
        <v>27.80078125</v>
      </c>
      <c r="M6">
        <f>L6*Constants!$B$5</f>
        <v>222.40625</v>
      </c>
      <c r="N6">
        <f>L6*7</f>
        <v>194.60546875</v>
      </c>
      <c r="O6" t="str">
        <f>IF(B6&gt;Constants!$B$6-Constants!$B$5,"CONSTANT_FRONTIER_TAIL_CANDIDATE",IF(G6=0,"CONSTANT_STABLE_ANCHOR_LANE",IF(G6=Constants!$B$2/2,"CONSTANT_HALF_WRITE_LANE","CONSTANT_BOUND_LADDER_LANE")))</f>
        <v>CONSTANT_STABLE_ANCHOR_LANE</v>
      </c>
    </row>
    <row r="7">
      <c r="A7">
        <f>ROW()-1</f>
        <v>6</v>
      </c>
      <c r="B7">
        <f>INT((A7-1)/2)+1</f>
        <v>3</v>
      </c>
      <c r="C7" t="str">
        <f>IF(MOD(A7-1,2)=0,"FLOOR_PRIMARY","CEIL_NEIGHBOR")</f>
        <v>CEIL_NEIGHBOR</v>
      </c>
      <c r="D7" t="str">
        <f>IF(C7="FLOOR_PRIMARY","yes",IF(G7&lt;&gt;0,"yes","no"))</f>
        <v>no</v>
      </c>
      <c r="E7">
        <f>MAX(0,INT((B7-1)/Constants!$B$2))</f>
        <v>0</v>
      </c>
      <c r="F7">
        <f>INT(B7*E7/Constants!$B$2)</f>
        <v>0</v>
      </c>
      <c r="G7">
        <f>MOD(B7*E7,Constants!$B$2)</f>
        <v>0</v>
      </c>
      <c r="H7">
        <f>B7+F7+IF(C7="CEIL_NEIGHBOR",1,0)</f>
        <v>4</v>
      </c>
      <c r="I7">
        <f>B7+H7</f>
        <v>7</v>
      </c>
      <c r="J7" t="str">
        <f>B7&amp;"p+"&amp;H7&amp;"n+"&amp;B7&amp;"e"</f>
        <v>3p+4n+3e</v>
      </c>
      <c r="K7" t="str">
        <f>(2*B7+H7)&amp;"u+"&amp;(B7+2*H7)&amp;"d+"&amp;B7&amp;"e"</f>
        <v>10u+11d+3e</v>
      </c>
      <c r="L7">
        <f>B7*Constants!$B$11+(H7-B7)*Constants!$B$12</f>
        <v>27.81640625</v>
      </c>
      <c r="M7">
        <f>L7*Constants!$B$5</f>
        <v>222.53125</v>
      </c>
      <c r="N7">
        <f>L7*7</f>
        <v>194.71484375</v>
      </c>
      <c r="O7" t="str">
        <f>IF(B7&gt;Constants!$B$6-Constants!$B$5,"CONSTANT_FRONTIER_TAIL_CANDIDATE",IF(G7=0,"CONSTANT_STABLE_ANCHOR_LANE",IF(G7=Constants!$B$2/2,"CONSTANT_HALF_WRITE_LANE","CONSTANT_BOUND_LADDER_LANE")))</f>
        <v>CONSTANT_BOUND_LADDER_LANE</v>
      </c>
    </row>
    <row r="8">
      <c r="A8">
        <f>ROW()-1</f>
        <v>7</v>
      </c>
      <c r="B8">
        <f>INT((A8-1)/2)+1</f>
        <v>4</v>
      </c>
      <c r="C8" t="str">
        <f>IF(MOD(A8-1,2)=0,"FLOOR_PRIMARY","CEIL_NEIGHBOR")</f>
        <v>FLOOR_PRIMARY</v>
      </c>
      <c r="D8" t="str">
        <f>IF(C8="FLOOR_PRIMARY","yes",IF(G8&lt;&gt;0,"yes","no"))</f>
        <v>yes</v>
      </c>
      <c r="E8">
        <f>MAX(0,INT((B8-1)/Constants!$B$2))</f>
        <v>0</v>
      </c>
      <c r="F8">
        <f>INT(B8*E8/Constants!$B$2)</f>
        <v>0</v>
      </c>
      <c r="G8">
        <f>MOD(B8*E8,Constants!$B$2)</f>
        <v>0</v>
      </c>
      <c r="H8">
        <f>B8+F8+IF(C8="CEIL_NEIGHBOR",1,0)</f>
        <v>4</v>
      </c>
      <c r="I8">
        <f>B8+H8</f>
        <v>8</v>
      </c>
      <c r="J8" t="str">
        <f>B8&amp;"p+"&amp;H8&amp;"n+"&amp;B8&amp;"e"</f>
        <v>4p+4n+4e</v>
      </c>
      <c r="K8" t="str">
        <f>(2*B8+H8)&amp;"u+"&amp;(B8+2*H8)&amp;"d+"&amp;B8&amp;"e"</f>
        <v>12u+12d+4e</v>
      </c>
      <c r="L8">
        <f>B8*Constants!$B$11+(H8-B8)*Constants!$B$12</f>
        <v>37.06770833333333333333333333333333333333333333333333333333333333333333333333333333333333333333333333</v>
      </c>
      <c r="M8">
        <f>L8*Constants!$B$5</f>
        <v>296.5416666666666666666666666666666666666666666666666666666666666666666666666666666666666666666666667</v>
      </c>
      <c r="N8">
        <f>L8*7</f>
        <v>259.4739583333333333333333333333333333333333333333333333333333333333333333333333333333333333333333333</v>
      </c>
      <c r="O8" t="str">
        <f>IF(B8&gt;Constants!$B$6-Constants!$B$5,"CONSTANT_FRONTIER_TAIL_CANDIDATE",IF(G8=0,"CONSTANT_STABLE_ANCHOR_LANE",IF(G8=Constants!$B$2/2,"CONSTANT_HALF_WRITE_LANE","CONSTANT_BOUND_LADDER_LANE")))</f>
        <v>CONSTANT_STABLE_ANCHOR_LANE</v>
      </c>
    </row>
    <row r="9">
      <c r="A9">
        <f>ROW()-1</f>
        <v>8</v>
      </c>
      <c r="B9">
        <f>INT((A9-1)/2)+1</f>
        <v>4</v>
      </c>
      <c r="C9" t="str">
        <f>IF(MOD(A9-1,2)=0,"FLOOR_PRIMARY","CEIL_NEIGHBOR")</f>
        <v>CEIL_NEIGHBOR</v>
      </c>
      <c r="D9" t="str">
        <f>IF(C9="FLOOR_PRIMARY","yes",IF(G9&lt;&gt;0,"yes","no"))</f>
        <v>no</v>
      </c>
      <c r="E9">
        <f>MAX(0,INT((B9-1)/Constants!$B$2))</f>
        <v>0</v>
      </c>
      <c r="F9">
        <f>INT(B9*E9/Constants!$B$2)</f>
        <v>0</v>
      </c>
      <c r="G9">
        <f>MOD(B9*E9,Constants!$B$2)</f>
        <v>0</v>
      </c>
      <c r="H9">
        <f>B9+F9+IF(C9="CEIL_NEIGHBOR",1,0)</f>
        <v>5</v>
      </c>
      <c r="I9">
        <f>B9+H9</f>
        <v>9</v>
      </c>
      <c r="J9" t="str">
        <f>B9&amp;"p+"&amp;H9&amp;"n+"&amp;B9&amp;"e"</f>
        <v>4p+5n+4e</v>
      </c>
      <c r="K9" t="str">
        <f>(2*B9+H9)&amp;"u+"&amp;(B9+2*H9)&amp;"d+"&amp;B9&amp;"e"</f>
        <v>13u+14d+4e</v>
      </c>
      <c r="L9">
        <f>B9*Constants!$B$11+(H9-B9)*Constants!$B$12</f>
        <v>37.08333333333333333333333333333333333333333333333333333333333333333333333333333333333333333333333333</v>
      </c>
      <c r="M9">
        <f>L9*Constants!$B$5</f>
        <v>296.6666666666666666666666666666666666666666666666666666666666666666666666666666666666666666666666667</v>
      </c>
      <c r="N9">
        <f>L9*7</f>
        <v>259.5833333333333333333333333333333333333333333333333333333333333333333333333333333333333333333333333</v>
      </c>
      <c r="O9" t="str">
        <f>IF(B9&gt;Constants!$B$6-Constants!$B$5,"CONSTANT_FRONTIER_TAIL_CANDIDATE",IF(G9=0,"CONSTANT_STABLE_ANCHOR_LANE",IF(G9=Constants!$B$2/2,"CONSTANT_HALF_WRITE_LANE","CONSTANT_BOUND_LADDER_LANE")))</f>
        <v>CONSTANT_BOUND_LADDER_LANE</v>
      </c>
    </row>
    <row r="10">
      <c r="A10">
        <f>ROW()-1</f>
        <v>9</v>
      </c>
      <c r="B10">
        <f>INT((A10-1)/2)+1</f>
        <v>5</v>
      </c>
      <c r="C10" t="str">
        <f>IF(MOD(A10-1,2)=0,"FLOOR_PRIMARY","CEIL_NEIGHBOR")</f>
        <v>FLOOR_PRIMARY</v>
      </c>
      <c r="D10" t="str">
        <f>IF(C10="FLOOR_PRIMARY","yes",IF(G10&lt;&gt;0,"yes","no"))</f>
        <v>yes</v>
      </c>
      <c r="E10">
        <f>MAX(0,INT((B10-1)/Constants!$B$2))</f>
        <v>0</v>
      </c>
      <c r="F10">
        <f>INT(B10*E10/Constants!$B$2)</f>
        <v>0</v>
      </c>
      <c r="G10">
        <f>MOD(B10*E10,Constants!$B$2)</f>
        <v>0</v>
      </c>
      <c r="H10">
        <f>B10+F10+IF(C10="CEIL_NEIGHBOR",1,0)</f>
        <v>5</v>
      </c>
      <c r="I10">
        <f>B10+H10</f>
        <v>10</v>
      </c>
      <c r="J10" t="str">
        <f>B10&amp;"p+"&amp;H10&amp;"n+"&amp;B10&amp;"e"</f>
        <v>5p+5n+5e</v>
      </c>
      <c r="K10" t="str">
        <f>(2*B10+H10)&amp;"u+"&amp;(B10+2*H10)&amp;"d+"&amp;B10&amp;"e"</f>
        <v>15u+15d+5e</v>
      </c>
      <c r="L10">
        <f>B10*Constants!$B$11+(H10-B10)*Constants!$B$12</f>
        <v>46.33463541666666666666666666666666666666666666666666666666666666666666666666666666666666666666666667</v>
      </c>
      <c r="M10">
        <f>L10*Constants!$B$5</f>
        <v>370.6770833333333333333333333333333333333333333333333333333333333333333333333333333333333333333333333</v>
      </c>
      <c r="N10">
        <f>L10*7</f>
        <v>324.3424479166666666666666666666666666666666666666666666666666666666666666666666666666666666666666667</v>
      </c>
      <c r="O10" t="str">
        <f>IF(B10&gt;Constants!$B$6-Constants!$B$5,"CONSTANT_FRONTIER_TAIL_CANDIDATE",IF(G10=0,"CONSTANT_STABLE_ANCHOR_LANE",IF(G10=Constants!$B$2/2,"CONSTANT_HALF_WRITE_LANE","CONSTANT_BOUND_LADDER_LANE")))</f>
        <v>CONSTANT_STABLE_ANCHOR_LANE</v>
      </c>
    </row>
    <row r="11">
      <c r="A11">
        <f>ROW()-1</f>
        <v>10</v>
      </c>
      <c r="B11">
        <f>INT((A11-1)/2)+1</f>
        <v>5</v>
      </c>
      <c r="C11" t="str">
        <f>IF(MOD(A11-1,2)=0,"FLOOR_PRIMARY","CEIL_NEIGHBOR")</f>
        <v>CEIL_NEIGHBOR</v>
      </c>
      <c r="D11" t="str">
        <f>IF(C11="FLOOR_PRIMARY","yes",IF(G11&lt;&gt;0,"yes","no"))</f>
        <v>no</v>
      </c>
      <c r="E11">
        <f>MAX(0,INT((B11-1)/Constants!$B$2))</f>
        <v>0</v>
      </c>
      <c r="F11">
        <f>INT(B11*E11/Constants!$B$2)</f>
        <v>0</v>
      </c>
      <c r="G11">
        <f>MOD(B11*E11,Constants!$B$2)</f>
        <v>0</v>
      </c>
      <c r="H11">
        <f>B11+F11+IF(C11="CEIL_NEIGHBOR",1,0)</f>
        <v>6</v>
      </c>
      <c r="I11">
        <f>B11+H11</f>
        <v>11</v>
      </c>
      <c r="J11" t="str">
        <f>B11&amp;"p+"&amp;H11&amp;"n+"&amp;B11&amp;"e"</f>
        <v>5p+6n+5e</v>
      </c>
      <c r="K11" t="str">
        <f>(2*B11+H11)&amp;"u+"&amp;(B11+2*H11)&amp;"d+"&amp;B11&amp;"e"</f>
        <v>16u+17d+5e</v>
      </c>
      <c r="L11">
        <f>B11*Constants!$B$11+(H11-B11)*Constants!$B$12</f>
        <v>46.35026041666666666666666666666666666666666666666666666666666666666666666666666666666666666666666667</v>
      </c>
      <c r="M11">
        <f>L11*Constants!$B$5</f>
        <v>370.8020833333333333333333333333333333333333333333333333333333333333333333333333333333333333333333333</v>
      </c>
      <c r="N11">
        <f>L11*7</f>
        <v>324.4518229166666666666666666666666666666666666666666666666666666666666666666666666666666666666666667</v>
      </c>
      <c r="O11" t="str">
        <f>IF(B11&gt;Constants!$B$6-Constants!$B$5,"CONSTANT_FRONTIER_TAIL_CANDIDATE",IF(G11=0,"CONSTANT_STABLE_ANCHOR_LANE",IF(G11=Constants!$B$2/2,"CONSTANT_HALF_WRITE_LANE","CONSTANT_BOUND_LADDER_LANE")))</f>
        <v>CONSTANT_BOUND_LADDER_LANE</v>
      </c>
    </row>
    <row r="12">
      <c r="A12">
        <f>ROW()-1</f>
        <v>11</v>
      </c>
      <c r="B12">
        <f>INT((A12-1)/2)+1</f>
        <v>6</v>
      </c>
      <c r="C12" t="str">
        <f>IF(MOD(A12-1,2)=0,"FLOOR_PRIMARY","CEIL_NEIGHBOR")</f>
        <v>FLOOR_PRIMARY</v>
      </c>
      <c r="D12" t="str">
        <f>IF(C12="FLOOR_PRIMARY","yes",IF(G12&lt;&gt;0,"yes","no"))</f>
        <v>yes</v>
      </c>
      <c r="E12">
        <f>MAX(0,INT((B12-1)/Constants!$B$2))</f>
        <v>0</v>
      </c>
      <c r="F12">
        <f>INT(B12*E12/Constants!$B$2)</f>
        <v>0</v>
      </c>
      <c r="G12">
        <f>MOD(B12*E12,Constants!$B$2)</f>
        <v>0</v>
      </c>
      <c r="H12">
        <f>B12+F12+IF(C12="CEIL_NEIGHBOR",1,0)</f>
        <v>6</v>
      </c>
      <c r="I12">
        <f>B12+H12</f>
        <v>12</v>
      </c>
      <c r="J12" t="str">
        <f>B12&amp;"p+"&amp;H12&amp;"n+"&amp;B12&amp;"e"</f>
        <v>6p+6n+6e</v>
      </c>
      <c r="K12" t="str">
        <f>(2*B12+H12)&amp;"u+"&amp;(B12+2*H12)&amp;"d+"&amp;B12&amp;"e"</f>
        <v>18u+18d+6e</v>
      </c>
      <c r="L12">
        <f>B12*Constants!$B$11+(H12-B12)*Constants!$B$12</f>
        <v>55.6015625</v>
      </c>
      <c r="M12">
        <f>L12*Constants!$B$5</f>
        <v>444.8125</v>
      </c>
      <c r="N12">
        <f>L12*7</f>
        <v>389.2109375</v>
      </c>
      <c r="O12" t="str">
        <f>IF(B12&gt;Constants!$B$6-Constants!$B$5,"CONSTANT_FRONTIER_TAIL_CANDIDATE",IF(G12=0,"CONSTANT_STABLE_ANCHOR_LANE",IF(G12=Constants!$B$2/2,"CONSTANT_HALF_WRITE_LANE","CONSTANT_BOUND_LADDER_LANE")))</f>
        <v>CONSTANT_STABLE_ANCHOR_LANE</v>
      </c>
    </row>
    <row r="13">
      <c r="A13">
        <f>ROW()-1</f>
        <v>12</v>
      </c>
      <c r="B13">
        <f>INT((A13-1)/2)+1</f>
        <v>6</v>
      </c>
      <c r="C13" t="str">
        <f>IF(MOD(A13-1,2)=0,"FLOOR_PRIMARY","CEIL_NEIGHBOR")</f>
        <v>CEIL_NEIGHBOR</v>
      </c>
      <c r="D13" t="str">
        <f>IF(C13="FLOOR_PRIMARY","yes",IF(G13&lt;&gt;0,"yes","no"))</f>
        <v>no</v>
      </c>
      <c r="E13">
        <f>MAX(0,INT((B13-1)/Constants!$B$2))</f>
        <v>0</v>
      </c>
      <c r="F13">
        <f>INT(B13*E13/Constants!$B$2)</f>
        <v>0</v>
      </c>
      <c r="G13">
        <f>MOD(B13*E13,Constants!$B$2)</f>
        <v>0</v>
      </c>
      <c r="H13">
        <f>B13+F13+IF(C13="CEIL_NEIGHBOR",1,0)</f>
        <v>7</v>
      </c>
      <c r="I13">
        <f>B13+H13</f>
        <v>13</v>
      </c>
      <c r="J13" t="str">
        <f>B13&amp;"p+"&amp;H13&amp;"n+"&amp;B13&amp;"e"</f>
        <v>6p+7n+6e</v>
      </c>
      <c r="K13" t="str">
        <f>(2*B13+H13)&amp;"u+"&amp;(B13+2*H13)&amp;"d+"&amp;B13&amp;"e"</f>
        <v>19u+20d+6e</v>
      </c>
      <c r="L13">
        <f>B13*Constants!$B$11+(H13-B13)*Constants!$B$12</f>
        <v>55.6171875</v>
      </c>
      <c r="M13">
        <f>L13*Constants!$B$5</f>
        <v>444.9375</v>
      </c>
      <c r="N13">
        <f>L13*7</f>
        <v>389.3203125</v>
      </c>
      <c r="O13" t="str">
        <f>IF(B13&gt;Constants!$B$6-Constants!$B$5,"CONSTANT_FRONTIER_TAIL_CANDIDATE",IF(G13=0,"CONSTANT_STABLE_ANCHOR_LANE",IF(G13=Constants!$B$2/2,"CONSTANT_HALF_WRITE_LANE","CONSTANT_BOUND_LADDER_LANE")))</f>
        <v>CONSTANT_BOUND_LADDER_LANE</v>
      </c>
    </row>
    <row r="14">
      <c r="A14">
        <f>ROW()-1</f>
        <v>13</v>
      </c>
      <c r="B14">
        <f>INT((A14-1)/2)+1</f>
        <v>7</v>
      </c>
      <c r="C14" t="str">
        <f>IF(MOD(A14-1,2)=0,"FLOOR_PRIMARY","CEIL_NEIGHBOR")</f>
        <v>FLOOR_PRIMARY</v>
      </c>
      <c r="D14" t="str">
        <f>IF(C14="FLOOR_PRIMARY","yes",IF(G14&lt;&gt;0,"yes","no"))</f>
        <v>yes</v>
      </c>
      <c r="E14">
        <f>MAX(0,INT((B14-1)/Constants!$B$2))</f>
        <v>0</v>
      </c>
      <c r="F14">
        <f>INT(B14*E14/Constants!$B$2)</f>
        <v>0</v>
      </c>
      <c r="G14">
        <f>MOD(B14*E14,Constants!$B$2)</f>
        <v>0</v>
      </c>
      <c r="H14">
        <f>B14+F14+IF(C14="CEIL_NEIGHBOR",1,0)</f>
        <v>7</v>
      </c>
      <c r="I14">
        <f>B14+H14</f>
        <v>14</v>
      </c>
      <c r="J14" t="str">
        <f>B14&amp;"p+"&amp;H14&amp;"n+"&amp;B14&amp;"e"</f>
        <v>7p+7n+7e</v>
      </c>
      <c r="K14" t="str">
        <f>(2*B14+H14)&amp;"u+"&amp;(B14+2*H14)&amp;"d+"&amp;B14&amp;"e"</f>
        <v>21u+21d+7e</v>
      </c>
      <c r="L14">
        <f>B14*Constants!$B$11+(H14-B14)*Constants!$B$12</f>
        <v>64.86848958333333333333333333333333333333333333333333333333333333333333333333333333333333333333333333</v>
      </c>
      <c r="M14">
        <f>L14*Constants!$B$5</f>
        <v>518.9479166666666666666666666666666666666666666666666666666666666666666666666666666666666666666666667</v>
      </c>
      <c r="N14">
        <f>L14*7</f>
        <v>454.0794270833333333333333333333333333333333333333333333333333333333333333333333333333333333333333333</v>
      </c>
      <c r="O14" t="str">
        <f>IF(B14&gt;Constants!$B$6-Constants!$B$5,"CONSTANT_FRONTIER_TAIL_CANDIDATE",IF(G14=0,"CONSTANT_STABLE_ANCHOR_LANE",IF(G14=Constants!$B$2/2,"CONSTANT_HALF_WRITE_LANE","CONSTANT_BOUND_LADDER_LANE")))</f>
        <v>CONSTANT_STABLE_ANCHOR_LANE</v>
      </c>
    </row>
    <row r="15">
      <c r="A15">
        <f>ROW()-1</f>
        <v>14</v>
      </c>
      <c r="B15">
        <f>INT((A15-1)/2)+1</f>
        <v>7</v>
      </c>
      <c r="C15" t="str">
        <f>IF(MOD(A15-1,2)=0,"FLOOR_PRIMARY","CEIL_NEIGHBOR")</f>
        <v>CEIL_NEIGHBOR</v>
      </c>
      <c r="D15" t="str">
        <f>IF(C15="FLOOR_PRIMARY","yes",IF(G15&lt;&gt;0,"yes","no"))</f>
        <v>no</v>
      </c>
      <c r="E15">
        <f>MAX(0,INT((B15-1)/Constants!$B$2))</f>
        <v>0</v>
      </c>
      <c r="F15">
        <f>INT(B15*E15/Constants!$B$2)</f>
        <v>0</v>
      </c>
      <c r="G15">
        <f>MOD(B15*E15,Constants!$B$2)</f>
        <v>0</v>
      </c>
      <c r="H15">
        <f>B15+F15+IF(C15="CEIL_NEIGHBOR",1,0)</f>
        <v>8</v>
      </c>
      <c r="I15">
        <f>B15+H15</f>
        <v>15</v>
      </c>
      <c r="J15" t="str">
        <f>B15&amp;"p+"&amp;H15&amp;"n+"&amp;B15&amp;"e"</f>
        <v>7p+8n+7e</v>
      </c>
      <c r="K15" t="str">
        <f>(2*B15+H15)&amp;"u+"&amp;(B15+2*H15)&amp;"d+"&amp;B15&amp;"e"</f>
        <v>22u+23d+7e</v>
      </c>
      <c r="L15">
        <f>B15*Constants!$B$11+(H15-B15)*Constants!$B$12</f>
        <v>64.88411458333333333333333333333333333333333333333333333333333333333333333333333333333333333333333333</v>
      </c>
      <c r="M15">
        <f>L15*Constants!$B$5</f>
        <v>519.0729166666666666666666666666666666666666666666666666666666666666666666666666666666666666666666667</v>
      </c>
      <c r="N15">
        <f>L15*7</f>
        <v>454.1888020833333333333333333333333333333333333333333333333333333333333333333333333333333333333333333</v>
      </c>
      <c r="O15" t="str">
        <f>IF(B15&gt;Constants!$B$6-Constants!$B$5,"CONSTANT_FRONTIER_TAIL_CANDIDATE",IF(G15=0,"CONSTANT_STABLE_ANCHOR_LANE",IF(G15=Constants!$B$2/2,"CONSTANT_HALF_WRITE_LANE","CONSTANT_BOUND_LADDER_LANE")))</f>
        <v>CONSTANT_BOUND_LADDER_LANE</v>
      </c>
    </row>
    <row r="16">
      <c r="A16">
        <f>ROW()-1</f>
        <v>15</v>
      </c>
      <c r="B16">
        <f>INT((A16-1)/2)+1</f>
        <v>8</v>
      </c>
      <c r="C16" t="str">
        <f>IF(MOD(A16-1,2)=0,"FLOOR_PRIMARY","CEIL_NEIGHBOR")</f>
        <v>FLOOR_PRIMARY</v>
      </c>
      <c r="D16" t="str">
        <f>IF(C16="FLOOR_PRIMARY","yes",IF(G16&lt;&gt;0,"yes","no"))</f>
        <v>yes</v>
      </c>
      <c r="E16">
        <f>MAX(0,INT((B16-1)/Constants!$B$2))</f>
        <v>0</v>
      </c>
      <c r="F16">
        <f>INT(B16*E16/Constants!$B$2)</f>
        <v>0</v>
      </c>
      <c r="G16">
        <f>MOD(B16*E16,Constants!$B$2)</f>
        <v>0</v>
      </c>
      <c r="H16">
        <f>B16+F16+IF(C16="CEIL_NEIGHBOR",1,0)</f>
        <v>8</v>
      </c>
      <c r="I16">
        <f>B16+H16</f>
        <v>16</v>
      </c>
      <c r="J16" t="str">
        <f>B16&amp;"p+"&amp;H16&amp;"n+"&amp;B16&amp;"e"</f>
        <v>8p+8n+8e</v>
      </c>
      <c r="K16" t="str">
        <f>(2*B16+H16)&amp;"u+"&amp;(B16+2*H16)&amp;"d+"&amp;B16&amp;"e"</f>
        <v>24u+24d+8e</v>
      </c>
      <c r="L16">
        <f>B16*Constants!$B$11+(H16-B16)*Constants!$B$12</f>
        <v>74.13541666666666666666666666666666666666666666666666666666666666666666666666666666666666666666666667</v>
      </c>
      <c r="M16">
        <f>L16*Constants!$B$5</f>
        <v>593.0833333333333333333333333333333333333333333333333333333333333333333333333333333333333333333333333</v>
      </c>
      <c r="N16">
        <f>L16*7</f>
        <v>518.9479166666666666666666666666666666666666666666666666666666666666666666666666666666666666666666667</v>
      </c>
      <c r="O16" t="str">
        <f>IF(B16&gt;Constants!$B$6-Constants!$B$5,"CONSTANT_FRONTIER_TAIL_CANDIDATE",IF(G16=0,"CONSTANT_STABLE_ANCHOR_LANE",IF(G16=Constants!$B$2/2,"CONSTANT_HALF_WRITE_LANE","CONSTANT_BOUND_LADDER_LANE")))</f>
        <v>CONSTANT_STABLE_ANCHOR_LANE</v>
      </c>
    </row>
    <row r="17">
      <c r="A17">
        <f>ROW()-1</f>
        <v>16</v>
      </c>
      <c r="B17">
        <f>INT((A17-1)/2)+1</f>
        <v>8</v>
      </c>
      <c r="C17" t="str">
        <f>IF(MOD(A17-1,2)=0,"FLOOR_PRIMARY","CEIL_NEIGHBOR")</f>
        <v>CEIL_NEIGHBOR</v>
      </c>
      <c r="D17" t="str">
        <f>IF(C17="FLOOR_PRIMARY","yes",IF(G17&lt;&gt;0,"yes","no"))</f>
        <v>no</v>
      </c>
      <c r="E17">
        <f>MAX(0,INT((B17-1)/Constants!$B$2))</f>
        <v>0</v>
      </c>
      <c r="F17">
        <f>INT(B17*E17/Constants!$B$2)</f>
        <v>0</v>
      </c>
      <c r="G17">
        <f>MOD(B17*E17,Constants!$B$2)</f>
        <v>0</v>
      </c>
      <c r="H17">
        <f>B17+F17+IF(C17="CEIL_NEIGHBOR",1,0)</f>
        <v>9</v>
      </c>
      <c r="I17">
        <f>B17+H17</f>
        <v>17</v>
      </c>
      <c r="J17" t="str">
        <f>B17&amp;"p+"&amp;H17&amp;"n+"&amp;B17&amp;"e"</f>
        <v>8p+9n+8e</v>
      </c>
      <c r="K17" t="str">
        <f>(2*B17+H17)&amp;"u+"&amp;(B17+2*H17)&amp;"d+"&amp;B17&amp;"e"</f>
        <v>25u+26d+8e</v>
      </c>
      <c r="L17">
        <f>B17*Constants!$B$11+(H17-B17)*Constants!$B$12</f>
        <v>74.15104166666666666666666666666666666666666666666666666666666666666666666666666666666666666666666667</v>
      </c>
      <c r="M17">
        <f>L17*Constants!$B$5</f>
        <v>593.2083333333333333333333333333333333333333333333333333333333333333333333333333333333333333333333333</v>
      </c>
      <c r="N17">
        <f>L17*7</f>
        <v>519.0572916666666666666666666666666666666666666666666666666666666666666666666666666666666666666666667</v>
      </c>
      <c r="O17" t="str">
        <f>IF(B17&gt;Constants!$B$6-Constants!$B$5,"CONSTANT_FRONTIER_TAIL_CANDIDATE",IF(G17=0,"CONSTANT_STABLE_ANCHOR_LANE",IF(G17=Constants!$B$2/2,"CONSTANT_HALF_WRITE_LANE","CONSTANT_BOUND_LADDER_LANE")))</f>
        <v>CONSTANT_BOUND_LADDER_LANE</v>
      </c>
    </row>
    <row r="18">
      <c r="A18">
        <f>ROW()-1</f>
        <v>17</v>
      </c>
      <c r="B18">
        <f>INT((A18-1)/2)+1</f>
        <v>9</v>
      </c>
      <c r="C18" t="str">
        <f>IF(MOD(A18-1,2)=0,"FLOOR_PRIMARY","CEIL_NEIGHBOR")</f>
        <v>FLOOR_PRIMARY</v>
      </c>
      <c r="D18" t="str">
        <f>IF(C18="FLOOR_PRIMARY","yes",IF(G18&lt;&gt;0,"yes","no"))</f>
        <v>yes</v>
      </c>
      <c r="E18">
        <f>MAX(0,INT((B18-1)/Constants!$B$2))</f>
        <v>0</v>
      </c>
      <c r="F18">
        <f>INT(B18*E18/Constants!$B$2)</f>
        <v>0</v>
      </c>
      <c r="G18">
        <f>MOD(B18*E18,Constants!$B$2)</f>
        <v>0</v>
      </c>
      <c r="H18">
        <f>B18+F18+IF(C18="CEIL_NEIGHBOR",1,0)</f>
        <v>9</v>
      </c>
      <c r="I18">
        <f>B18+H18</f>
        <v>18</v>
      </c>
      <c r="J18" t="str">
        <f>B18&amp;"p+"&amp;H18&amp;"n+"&amp;B18&amp;"e"</f>
        <v>9p+9n+9e</v>
      </c>
      <c r="K18" t="str">
        <f>(2*B18+H18)&amp;"u+"&amp;(B18+2*H18)&amp;"d+"&amp;B18&amp;"e"</f>
        <v>27u+27d+9e</v>
      </c>
      <c r="L18">
        <f>B18*Constants!$B$11+(H18-B18)*Constants!$B$12</f>
        <v>83.40234375</v>
      </c>
      <c r="M18">
        <f>L18*Constants!$B$5</f>
        <v>667.21875</v>
      </c>
      <c r="N18">
        <f>L18*7</f>
        <v>583.81640625</v>
      </c>
      <c r="O18" t="str">
        <f>IF(B18&gt;Constants!$B$6-Constants!$B$5,"CONSTANT_FRONTIER_TAIL_CANDIDATE",IF(G18=0,"CONSTANT_STABLE_ANCHOR_LANE",IF(G18=Constants!$B$2/2,"CONSTANT_HALF_WRITE_LANE","CONSTANT_BOUND_LADDER_LANE")))</f>
        <v>CONSTANT_STABLE_ANCHOR_LANE</v>
      </c>
    </row>
    <row r="19">
      <c r="A19">
        <f>ROW()-1</f>
        <v>18</v>
      </c>
      <c r="B19">
        <f>INT((A19-1)/2)+1</f>
        <v>9</v>
      </c>
      <c r="C19" t="str">
        <f>IF(MOD(A19-1,2)=0,"FLOOR_PRIMARY","CEIL_NEIGHBOR")</f>
        <v>CEIL_NEIGHBOR</v>
      </c>
      <c r="D19" t="str">
        <f>IF(C19="FLOOR_PRIMARY","yes",IF(G19&lt;&gt;0,"yes","no"))</f>
        <v>no</v>
      </c>
      <c r="E19">
        <f>MAX(0,INT((B19-1)/Constants!$B$2))</f>
        <v>0</v>
      </c>
      <c r="F19">
        <f>INT(B19*E19/Constants!$B$2)</f>
        <v>0</v>
      </c>
      <c r="G19">
        <f>MOD(B19*E19,Constants!$B$2)</f>
        <v>0</v>
      </c>
      <c r="H19">
        <f>B19+F19+IF(C19="CEIL_NEIGHBOR",1,0)</f>
        <v>10</v>
      </c>
      <c r="I19">
        <f>B19+H19</f>
        <v>19</v>
      </c>
      <c r="J19" t="str">
        <f>B19&amp;"p+"&amp;H19&amp;"n+"&amp;B19&amp;"e"</f>
        <v>9p+10n+9e</v>
      </c>
      <c r="K19" t="str">
        <f>(2*B19+H19)&amp;"u+"&amp;(B19+2*H19)&amp;"d+"&amp;B19&amp;"e"</f>
        <v>28u+29d+9e</v>
      </c>
      <c r="L19">
        <f>B19*Constants!$B$11+(H19-B19)*Constants!$B$12</f>
        <v>83.41796875</v>
      </c>
      <c r="M19">
        <f>L19*Constants!$B$5</f>
        <v>667.34375</v>
      </c>
      <c r="N19">
        <f>L19*7</f>
        <v>583.92578125</v>
      </c>
      <c r="O19" t="str">
        <f>IF(B19&gt;Constants!$B$6-Constants!$B$5,"CONSTANT_FRONTIER_TAIL_CANDIDATE",IF(G19=0,"CONSTANT_STABLE_ANCHOR_LANE",IF(G19=Constants!$B$2/2,"CONSTANT_HALF_WRITE_LANE","CONSTANT_BOUND_LADDER_LANE")))</f>
        <v>CONSTANT_BOUND_LADDER_LANE</v>
      </c>
    </row>
    <row r="20">
      <c r="A20">
        <f>ROW()-1</f>
        <v>19</v>
      </c>
      <c r="B20">
        <f>INT((A20-1)/2)+1</f>
        <v>10</v>
      </c>
      <c r="C20" t="str">
        <f>IF(MOD(A20-1,2)=0,"FLOOR_PRIMARY","CEIL_NEIGHBOR")</f>
        <v>FLOOR_PRIMARY</v>
      </c>
      <c r="D20" t="str">
        <f>IF(C20="FLOOR_PRIMARY","yes",IF(G20&lt;&gt;0,"yes","no"))</f>
        <v>yes</v>
      </c>
      <c r="E20">
        <f>MAX(0,INT((B20-1)/Constants!$B$2))</f>
        <v>0</v>
      </c>
      <c r="F20">
        <f>INT(B20*E20/Constants!$B$2)</f>
        <v>0</v>
      </c>
      <c r="G20">
        <f>MOD(B20*E20,Constants!$B$2)</f>
        <v>0</v>
      </c>
      <c r="H20">
        <f>B20+F20+IF(C20="CEIL_NEIGHBOR",1,0)</f>
        <v>10</v>
      </c>
      <c r="I20">
        <f>B20+H20</f>
        <v>20</v>
      </c>
      <c r="J20" t="str">
        <f>B20&amp;"p+"&amp;H20&amp;"n+"&amp;B20&amp;"e"</f>
        <v>10p+10n+10e</v>
      </c>
      <c r="K20" t="str">
        <f>(2*B20+H20)&amp;"u+"&amp;(B20+2*H20)&amp;"d+"&amp;B20&amp;"e"</f>
        <v>30u+30d+10e</v>
      </c>
      <c r="L20">
        <f>B20*Constants!$B$11+(H20-B20)*Constants!$B$12</f>
        <v>92.66927083333333333333333333333333333333333333333333333333333333333333333333333333333333333333333333</v>
      </c>
      <c r="M20">
        <f>L20*Constants!$B$5</f>
        <v>741.3541666666666666666666666666666666666666666666666666666666666666666666666666666666666666666666667</v>
      </c>
      <c r="N20">
        <f>L20*7</f>
        <v>648.6848958333333333333333333333333333333333333333333333333333333333333333333333333333333333333333333</v>
      </c>
      <c r="O20" t="str">
        <f>IF(B20&gt;Constants!$B$6-Constants!$B$5,"CONSTANT_FRONTIER_TAIL_CANDIDATE",IF(G20=0,"CONSTANT_STABLE_ANCHOR_LANE",IF(G20=Constants!$B$2/2,"CONSTANT_HALF_WRITE_LANE","CONSTANT_BOUND_LADDER_LANE")))</f>
        <v>CONSTANT_STABLE_ANCHOR_LANE</v>
      </c>
    </row>
    <row r="21">
      <c r="A21">
        <f>ROW()-1</f>
        <v>20</v>
      </c>
      <c r="B21">
        <f>INT((A21-1)/2)+1</f>
        <v>10</v>
      </c>
      <c r="C21" t="str">
        <f>IF(MOD(A21-1,2)=0,"FLOOR_PRIMARY","CEIL_NEIGHBOR")</f>
        <v>CEIL_NEIGHBOR</v>
      </c>
      <c r="D21" t="str">
        <f>IF(C21="FLOOR_PRIMARY","yes",IF(G21&lt;&gt;0,"yes","no"))</f>
        <v>no</v>
      </c>
      <c r="E21">
        <f>MAX(0,INT((B21-1)/Constants!$B$2))</f>
        <v>0</v>
      </c>
      <c r="F21">
        <f>INT(B21*E21/Constants!$B$2)</f>
        <v>0</v>
      </c>
      <c r="G21">
        <f>MOD(B21*E21,Constants!$B$2)</f>
        <v>0</v>
      </c>
      <c r="H21">
        <f>B21+F21+IF(C21="CEIL_NEIGHBOR",1,0)</f>
        <v>11</v>
      </c>
      <c r="I21">
        <f>B21+H21</f>
        <v>21</v>
      </c>
      <c r="J21" t="str">
        <f>B21&amp;"p+"&amp;H21&amp;"n+"&amp;B21&amp;"e"</f>
        <v>10p+11n+10e</v>
      </c>
      <c r="K21" t="str">
        <f>(2*B21+H21)&amp;"u+"&amp;(B21+2*H21)&amp;"d+"&amp;B21&amp;"e"</f>
        <v>31u+32d+10e</v>
      </c>
      <c r="L21">
        <f>B21*Constants!$B$11+(H21-B21)*Constants!$B$12</f>
        <v>92.68489583333333333333333333333333333333333333333333333333333333333333333333333333333333333333333333</v>
      </c>
      <c r="M21">
        <f>L21*Constants!$B$5</f>
        <v>741.4791666666666666666666666666666666666666666666666666666666666666666666666666666666666666666666667</v>
      </c>
      <c r="N21">
        <f>L21*7</f>
        <v>648.7942708333333333333333333333333333333333333333333333333333333333333333333333333333333333333333333</v>
      </c>
      <c r="O21" t="str">
        <f>IF(B21&gt;Constants!$B$6-Constants!$B$5,"CONSTANT_FRONTIER_TAIL_CANDIDATE",IF(G21=0,"CONSTANT_STABLE_ANCHOR_LANE",IF(G21=Constants!$B$2/2,"CONSTANT_HALF_WRITE_LANE","CONSTANT_BOUND_LADDER_LANE")))</f>
        <v>CONSTANT_BOUND_LADDER_LANE</v>
      </c>
    </row>
    <row r="22">
      <c r="A22">
        <f>ROW()-1</f>
        <v>21</v>
      </c>
      <c r="B22">
        <f>INT((A22-1)/2)+1</f>
        <v>11</v>
      </c>
      <c r="C22" t="str">
        <f>IF(MOD(A22-1,2)=0,"FLOOR_PRIMARY","CEIL_NEIGHBOR")</f>
        <v>FLOOR_PRIMARY</v>
      </c>
      <c r="D22" t="str">
        <f>IF(C22="FLOOR_PRIMARY","yes",IF(G22&lt;&gt;0,"yes","no"))</f>
        <v>yes</v>
      </c>
      <c r="E22">
        <f>MAX(0,INT((B22-1)/Constants!$B$2))</f>
        <v>0</v>
      </c>
      <c r="F22">
        <f>INT(B22*E22/Constants!$B$2)</f>
        <v>0</v>
      </c>
      <c r="G22">
        <f>MOD(B22*E22,Constants!$B$2)</f>
        <v>0</v>
      </c>
      <c r="H22">
        <f>B22+F22+IF(C22="CEIL_NEIGHBOR",1,0)</f>
        <v>11</v>
      </c>
      <c r="I22">
        <f>B22+H22</f>
        <v>22</v>
      </c>
      <c r="J22" t="str">
        <f>B22&amp;"p+"&amp;H22&amp;"n+"&amp;B22&amp;"e"</f>
        <v>11p+11n+11e</v>
      </c>
      <c r="K22" t="str">
        <f>(2*B22+H22)&amp;"u+"&amp;(B22+2*H22)&amp;"d+"&amp;B22&amp;"e"</f>
        <v>33u+33d+11e</v>
      </c>
      <c r="L22">
        <f>B22*Constants!$B$11+(H22-B22)*Constants!$B$12</f>
        <v>101.9361979166666666666666666666666666666666666666666666666666666666666666666666666666666666666666667</v>
      </c>
      <c r="M22">
        <f>L22*Constants!$B$5</f>
        <v>815.4895833333333333333333333333333333333333333333333333333333333333333333333333333333333333333333333</v>
      </c>
      <c r="N22">
        <f>L22*7</f>
        <v>713.5533854166666666666666666666666666666666666666666666666666666666666666666666666666666666666666667</v>
      </c>
      <c r="O22" t="str">
        <f>IF(B22&gt;Constants!$B$6-Constants!$B$5,"CONSTANT_FRONTIER_TAIL_CANDIDATE",IF(G22=0,"CONSTANT_STABLE_ANCHOR_LANE",IF(G22=Constants!$B$2/2,"CONSTANT_HALF_WRITE_LANE","CONSTANT_BOUND_LADDER_LANE")))</f>
        <v>CONSTANT_STABLE_ANCHOR_LANE</v>
      </c>
    </row>
    <row r="23">
      <c r="A23">
        <f>ROW()-1</f>
        <v>22</v>
      </c>
      <c r="B23">
        <f>INT((A23-1)/2)+1</f>
        <v>11</v>
      </c>
      <c r="C23" t="str">
        <f>IF(MOD(A23-1,2)=0,"FLOOR_PRIMARY","CEIL_NEIGHBOR")</f>
        <v>CEIL_NEIGHBOR</v>
      </c>
      <c r="D23" t="str">
        <f>IF(C23="FLOOR_PRIMARY","yes",IF(G23&lt;&gt;0,"yes","no"))</f>
        <v>no</v>
      </c>
      <c r="E23">
        <f>MAX(0,INT((B23-1)/Constants!$B$2))</f>
        <v>0</v>
      </c>
      <c r="F23">
        <f>INT(B23*E23/Constants!$B$2)</f>
        <v>0</v>
      </c>
      <c r="G23">
        <f>MOD(B23*E23,Constants!$B$2)</f>
        <v>0</v>
      </c>
      <c r="H23">
        <f>B23+F23+IF(C23="CEIL_NEIGHBOR",1,0)</f>
        <v>12</v>
      </c>
      <c r="I23">
        <f>B23+H23</f>
        <v>23</v>
      </c>
      <c r="J23" t="str">
        <f>B23&amp;"p+"&amp;H23&amp;"n+"&amp;B23&amp;"e"</f>
        <v>11p+12n+11e</v>
      </c>
      <c r="K23" t="str">
        <f>(2*B23+H23)&amp;"u+"&amp;(B23+2*H23)&amp;"d+"&amp;B23&amp;"e"</f>
        <v>34u+35d+11e</v>
      </c>
      <c r="L23">
        <f>B23*Constants!$B$11+(H23-B23)*Constants!$B$12</f>
        <v>101.9518229166666666666666666666666666666666666666666666666666666666666666666666666666666666666666667</v>
      </c>
      <c r="M23">
        <f>L23*Constants!$B$5</f>
        <v>815.6145833333333333333333333333333333333333333333333333333333333333333333333333333333333333333333333</v>
      </c>
      <c r="N23">
        <f>L23*7</f>
        <v>713.6627604166666666666666666666666666666666666666666666666666666666666666666666666666666666666666667</v>
      </c>
      <c r="O23" t="str">
        <f>IF(B23&gt;Constants!$B$6-Constants!$B$5,"CONSTANT_FRONTIER_TAIL_CANDIDATE",IF(G23=0,"CONSTANT_STABLE_ANCHOR_LANE",IF(G23=Constants!$B$2/2,"CONSTANT_HALF_WRITE_LANE","CONSTANT_BOUND_LADDER_LANE")))</f>
        <v>CONSTANT_BOUND_LADDER_LANE</v>
      </c>
    </row>
    <row r="24">
      <c r="A24">
        <f>ROW()-1</f>
        <v>23</v>
      </c>
      <c r="B24">
        <f>INT((A24-1)/2)+1</f>
        <v>12</v>
      </c>
      <c r="C24" t="str">
        <f>IF(MOD(A24-1,2)=0,"FLOOR_PRIMARY","CEIL_NEIGHBOR")</f>
        <v>FLOOR_PRIMARY</v>
      </c>
      <c r="D24" t="str">
        <f>IF(C24="FLOOR_PRIMARY","yes",IF(G24&lt;&gt;0,"yes","no"))</f>
        <v>yes</v>
      </c>
      <c r="E24">
        <f>MAX(0,INT((B24-1)/Constants!$B$2))</f>
        <v>0</v>
      </c>
      <c r="F24">
        <f>INT(B24*E24/Constants!$B$2)</f>
        <v>0</v>
      </c>
      <c r="G24">
        <f>MOD(B24*E24,Constants!$B$2)</f>
        <v>0</v>
      </c>
      <c r="H24">
        <f>B24+F24+IF(C24="CEIL_NEIGHBOR",1,0)</f>
        <v>12</v>
      </c>
      <c r="I24">
        <f>B24+H24</f>
        <v>24</v>
      </c>
      <c r="J24" t="str">
        <f>B24&amp;"p+"&amp;H24&amp;"n+"&amp;B24&amp;"e"</f>
        <v>12p+12n+12e</v>
      </c>
      <c r="K24" t="str">
        <f>(2*B24+H24)&amp;"u+"&amp;(B24+2*H24)&amp;"d+"&amp;B24&amp;"e"</f>
        <v>36u+36d+12e</v>
      </c>
      <c r="L24">
        <f>B24*Constants!$B$11+(H24-B24)*Constants!$B$12</f>
        <v>111.203125</v>
      </c>
      <c r="M24">
        <f>L24*Constants!$B$5</f>
        <v>889.625</v>
      </c>
      <c r="N24">
        <f>L24*7</f>
        <v>778.421875</v>
      </c>
      <c r="O24" t="str">
        <f>IF(B24&gt;Constants!$B$6-Constants!$B$5,"CONSTANT_FRONTIER_TAIL_CANDIDATE",IF(G24=0,"CONSTANT_STABLE_ANCHOR_LANE",IF(G24=Constants!$B$2/2,"CONSTANT_HALF_WRITE_LANE","CONSTANT_BOUND_LADDER_LANE")))</f>
        <v>CONSTANT_STABLE_ANCHOR_LANE</v>
      </c>
    </row>
    <row r="25">
      <c r="A25">
        <f>ROW()-1</f>
        <v>24</v>
      </c>
      <c r="B25">
        <f>INT((A25-1)/2)+1</f>
        <v>12</v>
      </c>
      <c r="C25" t="str">
        <f>IF(MOD(A25-1,2)=0,"FLOOR_PRIMARY","CEIL_NEIGHBOR")</f>
        <v>CEIL_NEIGHBOR</v>
      </c>
      <c r="D25" t="str">
        <f>IF(C25="FLOOR_PRIMARY","yes",IF(G25&lt;&gt;0,"yes","no"))</f>
        <v>no</v>
      </c>
      <c r="E25">
        <f>MAX(0,INT((B25-1)/Constants!$B$2))</f>
        <v>0</v>
      </c>
      <c r="F25">
        <f>INT(B25*E25/Constants!$B$2)</f>
        <v>0</v>
      </c>
      <c r="G25">
        <f>MOD(B25*E25,Constants!$B$2)</f>
        <v>0</v>
      </c>
      <c r="H25">
        <f>B25+F25+IF(C25="CEIL_NEIGHBOR",1,0)</f>
        <v>13</v>
      </c>
      <c r="I25">
        <f>B25+H25</f>
        <v>25</v>
      </c>
      <c r="J25" t="str">
        <f>B25&amp;"p+"&amp;H25&amp;"n+"&amp;B25&amp;"e"</f>
        <v>12p+13n+12e</v>
      </c>
      <c r="K25" t="str">
        <f>(2*B25+H25)&amp;"u+"&amp;(B25+2*H25)&amp;"d+"&amp;B25&amp;"e"</f>
        <v>37u+38d+12e</v>
      </c>
      <c r="L25">
        <f>B25*Constants!$B$11+(H25-B25)*Constants!$B$12</f>
        <v>111.21875</v>
      </c>
      <c r="M25">
        <f>L25*Constants!$B$5</f>
        <v>889.75</v>
      </c>
      <c r="N25">
        <f>L25*7</f>
        <v>778.53125</v>
      </c>
      <c r="O25" t="str">
        <f>IF(B25&gt;Constants!$B$6-Constants!$B$5,"CONSTANT_FRONTIER_TAIL_CANDIDATE",IF(G25=0,"CONSTANT_STABLE_ANCHOR_LANE",IF(G25=Constants!$B$2/2,"CONSTANT_HALF_WRITE_LANE","CONSTANT_BOUND_LADDER_LANE")))</f>
        <v>CONSTANT_BOUND_LADDER_LANE</v>
      </c>
    </row>
    <row r="26">
      <c r="A26">
        <f>ROW()-1</f>
        <v>25</v>
      </c>
      <c r="B26">
        <f>INT((A26-1)/2)+1</f>
        <v>13</v>
      </c>
      <c r="C26" t="str">
        <f>IF(MOD(A26-1,2)=0,"FLOOR_PRIMARY","CEIL_NEIGHBOR")</f>
        <v>FLOOR_PRIMARY</v>
      </c>
      <c r="D26" t="str">
        <f>IF(C26="FLOOR_PRIMARY","yes",IF(G26&lt;&gt;0,"yes","no"))</f>
        <v>yes</v>
      </c>
      <c r="E26">
        <f>MAX(0,INT((B26-1)/Constants!$B$2))</f>
        <v>1</v>
      </c>
      <c r="F26">
        <f>INT(B26*E26/Constants!$B$2)</f>
        <v>1</v>
      </c>
      <c r="G26">
        <f>MOD(B26*E26,Constants!$B$2)</f>
        <v>1</v>
      </c>
      <c r="H26">
        <f>B26+F26+IF(C26="CEIL_NEIGHBOR",1,0)</f>
        <v>14</v>
      </c>
      <c r="I26">
        <f>B26+H26</f>
        <v>27</v>
      </c>
      <c r="J26" t="str">
        <f>B26&amp;"p+"&amp;H26&amp;"n+"&amp;B26&amp;"e"</f>
        <v>13p+14n+13e</v>
      </c>
      <c r="K26" t="str">
        <f>(2*B26+H26)&amp;"u+"&amp;(B26+2*H26)&amp;"d+"&amp;B26&amp;"e"</f>
        <v>40u+41d+13e</v>
      </c>
      <c r="L26">
        <f>B26*Constants!$B$11+(H26-B26)*Constants!$B$12</f>
        <v>120.4856770833333333333333333333333333333333333333333333333333333333333333333333333333333333333333333</v>
      </c>
      <c r="M26">
        <f>L26*Constants!$B$5</f>
        <v>963.8854166666666666666666666666666666666666666666666666666666666666666666666666666666666666666666667</v>
      </c>
      <c r="N26">
        <f>L26*7</f>
        <v>843.3997395833333333333333333333333333333333333333333333333333333333333333333333333333333333333333333</v>
      </c>
      <c r="O26" t="str">
        <f>IF(B26&gt;Constants!$B$6-Constants!$B$5,"CONSTANT_FRONTIER_TAIL_CANDIDATE",IF(G26=0,"CONSTANT_STABLE_ANCHOR_LANE",IF(G26=Constants!$B$2/2,"CONSTANT_HALF_WRITE_LANE","CONSTANT_BOUND_LADDER_LANE")))</f>
        <v>CONSTANT_BOUND_LADDER_LANE</v>
      </c>
    </row>
    <row r="27">
      <c r="A27">
        <f>ROW()-1</f>
        <v>26</v>
      </c>
      <c r="B27">
        <f>INT((A27-1)/2)+1</f>
        <v>13</v>
      </c>
      <c r="C27" t="str">
        <f>IF(MOD(A27-1,2)=0,"FLOOR_PRIMARY","CEIL_NEIGHBOR")</f>
        <v>CEIL_NEIGHBOR</v>
      </c>
      <c r="D27" t="str">
        <f>IF(C27="FLOOR_PRIMARY","yes",IF(G27&lt;&gt;0,"yes","no"))</f>
        <v>yes</v>
      </c>
      <c r="E27">
        <f>MAX(0,INT((B27-1)/Constants!$B$2))</f>
        <v>1</v>
      </c>
      <c r="F27">
        <f>INT(B27*E27/Constants!$B$2)</f>
        <v>1</v>
      </c>
      <c r="G27">
        <f>MOD(B27*E27,Constants!$B$2)</f>
        <v>1</v>
      </c>
      <c r="H27">
        <f>B27+F27+IF(C27="CEIL_NEIGHBOR",1,0)</f>
        <v>15</v>
      </c>
      <c r="I27">
        <f>B27+H27</f>
        <v>28</v>
      </c>
      <c r="J27" t="str">
        <f>B27&amp;"p+"&amp;H27&amp;"n+"&amp;B27&amp;"e"</f>
        <v>13p+15n+13e</v>
      </c>
      <c r="K27" t="str">
        <f>(2*B27+H27)&amp;"u+"&amp;(B27+2*H27)&amp;"d+"&amp;B27&amp;"e"</f>
        <v>41u+43d+13e</v>
      </c>
      <c r="L27">
        <f>B27*Constants!$B$11+(H27-B27)*Constants!$B$12</f>
        <v>120.5013020833333333333333333333333333333333333333333333333333333333333333333333333333333333333333333</v>
      </c>
      <c r="M27">
        <f>L27*Constants!$B$5</f>
        <v>964.0104166666666666666666666666666666666666666666666666666666666666666666666666666666666666666666667</v>
      </c>
      <c r="N27">
        <f>L27*7</f>
        <v>843.5091145833333333333333333333333333333333333333333333333333333333333333333333333333333333333333333</v>
      </c>
      <c r="O27" t="str">
        <f>IF(B27&gt;Constants!$B$6-Constants!$B$5,"CONSTANT_FRONTIER_TAIL_CANDIDATE",IF(G27=0,"CONSTANT_STABLE_ANCHOR_LANE",IF(G27=Constants!$B$2/2,"CONSTANT_HALF_WRITE_LANE","CONSTANT_BOUND_LADDER_LANE")))</f>
        <v>CONSTANT_BOUND_LADDER_LANE</v>
      </c>
    </row>
    <row r="28">
      <c r="A28">
        <f>ROW()-1</f>
        <v>27</v>
      </c>
      <c r="B28">
        <f>INT((A28-1)/2)+1</f>
        <v>14</v>
      </c>
      <c r="C28" t="str">
        <f>IF(MOD(A28-1,2)=0,"FLOOR_PRIMARY","CEIL_NEIGHBOR")</f>
        <v>FLOOR_PRIMARY</v>
      </c>
      <c r="D28" t="str">
        <f>IF(C28="FLOOR_PRIMARY","yes",IF(G28&lt;&gt;0,"yes","no"))</f>
        <v>yes</v>
      </c>
      <c r="E28">
        <f>MAX(0,INT((B28-1)/Constants!$B$2))</f>
        <v>1</v>
      </c>
      <c r="F28">
        <f>INT(B28*E28/Constants!$B$2)</f>
        <v>1</v>
      </c>
      <c r="G28">
        <f>MOD(B28*E28,Constants!$B$2)</f>
        <v>2</v>
      </c>
      <c r="H28">
        <f>B28+F28+IF(C28="CEIL_NEIGHBOR",1,0)</f>
        <v>15</v>
      </c>
      <c r="I28">
        <f>B28+H28</f>
        <v>29</v>
      </c>
      <c r="J28" t="str">
        <f>B28&amp;"p+"&amp;H28&amp;"n+"&amp;B28&amp;"e"</f>
        <v>14p+15n+14e</v>
      </c>
      <c r="K28" t="str">
        <f>(2*B28+H28)&amp;"u+"&amp;(B28+2*H28)&amp;"d+"&amp;B28&amp;"e"</f>
        <v>43u+44d+14e</v>
      </c>
      <c r="L28">
        <f>B28*Constants!$B$11+(H28-B28)*Constants!$B$12</f>
        <v>129.7526041666666666666666666666666666666666666666666666666666666666666666666666666666666666666666667</v>
      </c>
      <c r="M28">
        <f>L28*Constants!$B$5</f>
        <v>1038.020833333333333333333333333333333333333333333333333333333333333333333333333333333333333333333333</v>
      </c>
      <c r="N28">
        <f>L28*7</f>
        <v>908.2682291666666666666666666666666666666666666666666666666666666666666666666666666666666666666666667</v>
      </c>
      <c r="O28" t="str">
        <f>IF(B28&gt;Constants!$B$6-Constants!$B$5,"CONSTANT_FRONTIER_TAIL_CANDIDATE",IF(G28=0,"CONSTANT_STABLE_ANCHOR_LANE",IF(G28=Constants!$B$2/2,"CONSTANT_HALF_WRITE_LANE","CONSTANT_BOUND_LADDER_LANE")))</f>
        <v>CONSTANT_BOUND_LADDER_LANE</v>
      </c>
    </row>
    <row r="29">
      <c r="A29">
        <f>ROW()-1</f>
        <v>28</v>
      </c>
      <c r="B29">
        <f>INT((A29-1)/2)+1</f>
        <v>14</v>
      </c>
      <c r="C29" t="str">
        <f>IF(MOD(A29-1,2)=0,"FLOOR_PRIMARY","CEIL_NEIGHBOR")</f>
        <v>CEIL_NEIGHBOR</v>
      </c>
      <c r="D29" t="str">
        <f>IF(C29="FLOOR_PRIMARY","yes",IF(G29&lt;&gt;0,"yes","no"))</f>
        <v>yes</v>
      </c>
      <c r="E29">
        <f>MAX(0,INT((B29-1)/Constants!$B$2))</f>
        <v>1</v>
      </c>
      <c r="F29">
        <f>INT(B29*E29/Constants!$B$2)</f>
        <v>1</v>
      </c>
      <c r="G29">
        <f>MOD(B29*E29,Constants!$B$2)</f>
        <v>2</v>
      </c>
      <c r="H29">
        <f>B29+F29+IF(C29="CEIL_NEIGHBOR",1,0)</f>
        <v>16</v>
      </c>
      <c r="I29">
        <f>B29+H29</f>
        <v>30</v>
      </c>
      <c r="J29" t="str">
        <f>B29&amp;"p+"&amp;H29&amp;"n+"&amp;B29&amp;"e"</f>
        <v>14p+16n+14e</v>
      </c>
      <c r="K29" t="str">
        <f>(2*B29+H29)&amp;"u+"&amp;(B29+2*H29)&amp;"d+"&amp;B29&amp;"e"</f>
        <v>44u+46d+14e</v>
      </c>
      <c r="L29">
        <f>B29*Constants!$B$11+(H29-B29)*Constants!$B$12</f>
        <v>129.7682291666666666666666666666666666666666666666666666666666666666666666666666666666666666666666667</v>
      </c>
      <c r="M29">
        <f>L29*Constants!$B$5</f>
        <v>1038.145833333333333333333333333333333333333333333333333333333333333333333333333333333333333333333333</v>
      </c>
      <c r="N29">
        <f>L29*7</f>
        <v>908.3776041666666666666666666666666666666666666666666666666666666666666666666666666666666666666666667</v>
      </c>
      <c r="O29" t="str">
        <f>IF(B29&gt;Constants!$B$6-Constants!$B$5,"CONSTANT_FRONTIER_TAIL_CANDIDATE",IF(G29=0,"CONSTANT_STABLE_ANCHOR_LANE",IF(G29=Constants!$B$2/2,"CONSTANT_HALF_WRITE_LANE","CONSTANT_BOUND_LADDER_LANE")))</f>
        <v>CONSTANT_BOUND_LADDER_LANE</v>
      </c>
    </row>
    <row r="30">
      <c r="A30">
        <f>ROW()-1</f>
        <v>29</v>
      </c>
      <c r="B30">
        <f>INT((A30-1)/2)+1</f>
        <v>15</v>
      </c>
      <c r="C30" t="str">
        <f>IF(MOD(A30-1,2)=0,"FLOOR_PRIMARY","CEIL_NEIGHBOR")</f>
        <v>FLOOR_PRIMARY</v>
      </c>
      <c r="D30" t="str">
        <f>IF(C30="FLOOR_PRIMARY","yes",IF(G30&lt;&gt;0,"yes","no"))</f>
        <v>yes</v>
      </c>
      <c r="E30">
        <f>MAX(0,INT((B30-1)/Constants!$B$2))</f>
        <v>1</v>
      </c>
      <c r="F30">
        <f>INT(B30*E30/Constants!$B$2)</f>
        <v>1</v>
      </c>
      <c r="G30">
        <f>MOD(B30*E30,Constants!$B$2)</f>
        <v>3</v>
      </c>
      <c r="H30">
        <f>B30+F30+IF(C30="CEIL_NEIGHBOR",1,0)</f>
        <v>16</v>
      </c>
      <c r="I30">
        <f>B30+H30</f>
        <v>31</v>
      </c>
      <c r="J30" t="str">
        <f>B30&amp;"p+"&amp;H30&amp;"n+"&amp;B30&amp;"e"</f>
        <v>15p+16n+15e</v>
      </c>
      <c r="K30" t="str">
        <f>(2*B30+H30)&amp;"u+"&amp;(B30+2*H30)&amp;"d+"&amp;B30&amp;"e"</f>
        <v>46u+47d+15e</v>
      </c>
      <c r="L30">
        <f>B30*Constants!$B$11+(H30-B30)*Constants!$B$12</f>
        <v>139.01953125</v>
      </c>
      <c r="M30">
        <f>L30*Constants!$B$5</f>
        <v>1112.15625</v>
      </c>
      <c r="N30">
        <f>L30*7</f>
        <v>973.13671875</v>
      </c>
      <c r="O30" t="str">
        <f>IF(B30&gt;Constants!$B$6-Constants!$B$5,"CONSTANT_FRONTIER_TAIL_CANDIDATE",IF(G30=0,"CONSTANT_STABLE_ANCHOR_LANE",IF(G30=Constants!$B$2/2,"CONSTANT_HALF_WRITE_LANE","CONSTANT_BOUND_LADDER_LANE")))</f>
        <v>CONSTANT_BOUND_LADDER_LANE</v>
      </c>
    </row>
    <row r="31">
      <c r="A31">
        <f>ROW()-1</f>
        <v>30</v>
      </c>
      <c r="B31">
        <f>INT((A31-1)/2)+1</f>
        <v>15</v>
      </c>
      <c r="C31" t="str">
        <f>IF(MOD(A31-1,2)=0,"FLOOR_PRIMARY","CEIL_NEIGHBOR")</f>
        <v>CEIL_NEIGHBOR</v>
      </c>
      <c r="D31" t="str">
        <f>IF(C31="FLOOR_PRIMARY","yes",IF(G31&lt;&gt;0,"yes","no"))</f>
        <v>yes</v>
      </c>
      <c r="E31">
        <f>MAX(0,INT((B31-1)/Constants!$B$2))</f>
        <v>1</v>
      </c>
      <c r="F31">
        <f>INT(B31*E31/Constants!$B$2)</f>
        <v>1</v>
      </c>
      <c r="G31">
        <f>MOD(B31*E31,Constants!$B$2)</f>
        <v>3</v>
      </c>
      <c r="H31">
        <f>B31+F31+IF(C31="CEIL_NEIGHBOR",1,0)</f>
        <v>17</v>
      </c>
      <c r="I31">
        <f>B31+H31</f>
        <v>32</v>
      </c>
      <c r="J31" t="str">
        <f>B31&amp;"p+"&amp;H31&amp;"n+"&amp;B31&amp;"e"</f>
        <v>15p+17n+15e</v>
      </c>
      <c r="K31" t="str">
        <f>(2*B31+H31)&amp;"u+"&amp;(B31+2*H31)&amp;"d+"&amp;B31&amp;"e"</f>
        <v>47u+49d+15e</v>
      </c>
      <c r="L31">
        <f>B31*Constants!$B$11+(H31-B31)*Constants!$B$12</f>
        <v>139.03515625</v>
      </c>
      <c r="M31">
        <f>L31*Constants!$B$5</f>
        <v>1112.28125</v>
      </c>
      <c r="N31">
        <f>L31*7</f>
        <v>973.24609375</v>
      </c>
      <c r="O31" t="str">
        <f>IF(B31&gt;Constants!$B$6-Constants!$B$5,"CONSTANT_FRONTIER_TAIL_CANDIDATE",IF(G31=0,"CONSTANT_STABLE_ANCHOR_LANE",IF(G31=Constants!$B$2/2,"CONSTANT_HALF_WRITE_LANE","CONSTANT_BOUND_LADDER_LANE")))</f>
        <v>CONSTANT_BOUND_LADDER_LANE</v>
      </c>
    </row>
    <row r="32">
      <c r="A32">
        <f>ROW()-1</f>
        <v>31</v>
      </c>
      <c r="B32">
        <f>INT((A32-1)/2)+1</f>
        <v>16</v>
      </c>
      <c r="C32" t="str">
        <f>IF(MOD(A32-1,2)=0,"FLOOR_PRIMARY","CEIL_NEIGHBOR")</f>
        <v>FLOOR_PRIMARY</v>
      </c>
      <c r="D32" t="str">
        <f>IF(C32="FLOOR_PRIMARY","yes",IF(G32&lt;&gt;0,"yes","no"))</f>
        <v>yes</v>
      </c>
      <c r="E32">
        <f>MAX(0,INT((B32-1)/Constants!$B$2))</f>
        <v>1</v>
      </c>
      <c r="F32">
        <f>INT(B32*E32/Constants!$B$2)</f>
        <v>1</v>
      </c>
      <c r="G32">
        <f>MOD(B32*E32,Constants!$B$2)</f>
        <v>4</v>
      </c>
      <c r="H32">
        <f>B32+F32+IF(C32="CEIL_NEIGHBOR",1,0)</f>
        <v>17</v>
      </c>
      <c r="I32">
        <f>B32+H32</f>
        <v>33</v>
      </c>
      <c r="J32" t="str">
        <f>B32&amp;"p+"&amp;H32&amp;"n+"&amp;B32&amp;"e"</f>
        <v>16p+17n+16e</v>
      </c>
      <c r="K32" t="str">
        <f>(2*B32+H32)&amp;"u+"&amp;(B32+2*H32)&amp;"d+"&amp;B32&amp;"e"</f>
        <v>49u+50d+16e</v>
      </c>
      <c r="L32">
        <f>B32*Constants!$B$11+(H32-B32)*Constants!$B$12</f>
        <v>148.2864583333333333333333333333333333333333333333333333333333333333333333333333333333333333333333333</v>
      </c>
      <c r="M32">
        <f>L32*Constants!$B$5</f>
        <v>1186.291666666666666666666666666666666666666666666666666666666666666666666666666666666666666666666667</v>
      </c>
      <c r="N32">
        <f>L32*7</f>
        <v>1038.005208333333333333333333333333333333333333333333333333333333333333333333333333333333333333333333</v>
      </c>
      <c r="O32" t="str">
        <f>IF(B32&gt;Constants!$B$6-Constants!$B$5,"CONSTANT_FRONTIER_TAIL_CANDIDATE",IF(G32=0,"CONSTANT_STABLE_ANCHOR_LANE",IF(G32=Constants!$B$2/2,"CONSTANT_HALF_WRITE_LANE","CONSTANT_BOUND_LADDER_LANE")))</f>
        <v>CONSTANT_BOUND_LADDER_LANE</v>
      </c>
    </row>
    <row r="33">
      <c r="A33">
        <f>ROW()-1</f>
        <v>32</v>
      </c>
      <c r="B33">
        <f>INT((A33-1)/2)+1</f>
        <v>16</v>
      </c>
      <c r="C33" t="str">
        <f>IF(MOD(A33-1,2)=0,"FLOOR_PRIMARY","CEIL_NEIGHBOR")</f>
        <v>CEIL_NEIGHBOR</v>
      </c>
      <c r="D33" t="str">
        <f>IF(C33="FLOOR_PRIMARY","yes",IF(G33&lt;&gt;0,"yes","no"))</f>
        <v>yes</v>
      </c>
      <c r="E33">
        <f>MAX(0,INT((B33-1)/Constants!$B$2))</f>
        <v>1</v>
      </c>
      <c r="F33">
        <f>INT(B33*E33/Constants!$B$2)</f>
        <v>1</v>
      </c>
      <c r="G33">
        <f>MOD(B33*E33,Constants!$B$2)</f>
        <v>4</v>
      </c>
      <c r="H33">
        <f>B33+F33+IF(C33="CEIL_NEIGHBOR",1,0)</f>
        <v>18</v>
      </c>
      <c r="I33">
        <f>B33+H33</f>
        <v>34</v>
      </c>
      <c r="J33" t="str">
        <f>B33&amp;"p+"&amp;H33&amp;"n+"&amp;B33&amp;"e"</f>
        <v>16p+18n+16e</v>
      </c>
      <c r="K33" t="str">
        <f>(2*B33+H33)&amp;"u+"&amp;(B33+2*H33)&amp;"d+"&amp;B33&amp;"e"</f>
        <v>50u+52d+16e</v>
      </c>
      <c r="L33">
        <f>B33*Constants!$B$11+(H33-B33)*Constants!$B$12</f>
        <v>148.3020833333333333333333333333333333333333333333333333333333333333333333333333333333333333333333333</v>
      </c>
      <c r="M33">
        <f>L33*Constants!$B$5</f>
        <v>1186.416666666666666666666666666666666666666666666666666666666666666666666666666666666666666666666667</v>
      </c>
      <c r="N33">
        <f>L33*7</f>
        <v>1038.114583333333333333333333333333333333333333333333333333333333333333333333333333333333333333333333</v>
      </c>
      <c r="O33" t="str">
        <f>IF(B33&gt;Constants!$B$6-Constants!$B$5,"CONSTANT_FRONTIER_TAIL_CANDIDATE",IF(G33=0,"CONSTANT_STABLE_ANCHOR_LANE",IF(G33=Constants!$B$2/2,"CONSTANT_HALF_WRITE_LANE","CONSTANT_BOUND_LADDER_LANE")))</f>
        <v>CONSTANT_BOUND_LADDER_LANE</v>
      </c>
    </row>
    <row r="34">
      <c r="A34">
        <f>ROW()-1</f>
        <v>33</v>
      </c>
      <c r="B34">
        <f>INT((A34-1)/2)+1</f>
        <v>17</v>
      </c>
      <c r="C34" t="str">
        <f>IF(MOD(A34-1,2)=0,"FLOOR_PRIMARY","CEIL_NEIGHBOR")</f>
        <v>FLOOR_PRIMARY</v>
      </c>
      <c r="D34" t="str">
        <f>IF(C34="FLOOR_PRIMARY","yes",IF(G34&lt;&gt;0,"yes","no"))</f>
        <v>yes</v>
      </c>
      <c r="E34">
        <f>MAX(0,INT((B34-1)/Constants!$B$2))</f>
        <v>1</v>
      </c>
      <c r="F34">
        <f>INT(B34*E34/Constants!$B$2)</f>
        <v>1</v>
      </c>
      <c r="G34">
        <f>MOD(B34*E34,Constants!$B$2)</f>
        <v>5</v>
      </c>
      <c r="H34">
        <f>B34+F34+IF(C34="CEIL_NEIGHBOR",1,0)</f>
        <v>18</v>
      </c>
      <c r="I34">
        <f>B34+H34</f>
        <v>35</v>
      </c>
      <c r="J34" t="str">
        <f>B34&amp;"p+"&amp;H34&amp;"n+"&amp;B34&amp;"e"</f>
        <v>17p+18n+17e</v>
      </c>
      <c r="K34" t="str">
        <f>(2*B34+H34)&amp;"u+"&amp;(B34+2*H34)&amp;"d+"&amp;B34&amp;"e"</f>
        <v>52u+53d+17e</v>
      </c>
      <c r="L34">
        <f>B34*Constants!$B$11+(H34-B34)*Constants!$B$12</f>
        <v>157.5533854166666666666666666666666666666666666666666666666666666666666666666666666666666666666666667</v>
      </c>
      <c r="M34">
        <f>L34*Constants!$B$5</f>
        <v>1260.427083333333333333333333333333333333333333333333333333333333333333333333333333333333333333333333</v>
      </c>
      <c r="N34">
        <f>L34*7</f>
        <v>1102.873697916666666666666666666666666666666666666666666666666666666666666666666666666666666666666667</v>
      </c>
      <c r="O34" t="str">
        <f>IF(B34&gt;Constants!$B$6-Constants!$B$5,"CONSTANT_FRONTIER_TAIL_CANDIDATE",IF(G34=0,"CONSTANT_STABLE_ANCHOR_LANE",IF(G34=Constants!$B$2/2,"CONSTANT_HALF_WRITE_LANE","CONSTANT_BOUND_LADDER_LANE")))</f>
        <v>CONSTANT_BOUND_LADDER_LANE</v>
      </c>
    </row>
    <row r="35">
      <c r="A35">
        <f>ROW()-1</f>
        <v>34</v>
      </c>
      <c r="B35">
        <f>INT((A35-1)/2)+1</f>
        <v>17</v>
      </c>
      <c r="C35" t="str">
        <f>IF(MOD(A35-1,2)=0,"FLOOR_PRIMARY","CEIL_NEIGHBOR")</f>
        <v>CEIL_NEIGHBOR</v>
      </c>
      <c r="D35" t="str">
        <f>IF(C35="FLOOR_PRIMARY","yes",IF(G35&lt;&gt;0,"yes","no"))</f>
        <v>yes</v>
      </c>
      <c r="E35">
        <f>MAX(0,INT((B35-1)/Constants!$B$2))</f>
        <v>1</v>
      </c>
      <c r="F35">
        <f>INT(B35*E35/Constants!$B$2)</f>
        <v>1</v>
      </c>
      <c r="G35">
        <f>MOD(B35*E35,Constants!$B$2)</f>
        <v>5</v>
      </c>
      <c r="H35">
        <f>B35+F35+IF(C35="CEIL_NEIGHBOR",1,0)</f>
        <v>19</v>
      </c>
      <c r="I35">
        <f>B35+H35</f>
        <v>36</v>
      </c>
      <c r="J35" t="str">
        <f>B35&amp;"p+"&amp;H35&amp;"n+"&amp;B35&amp;"e"</f>
        <v>17p+19n+17e</v>
      </c>
      <c r="K35" t="str">
        <f>(2*B35+H35)&amp;"u+"&amp;(B35+2*H35)&amp;"d+"&amp;B35&amp;"e"</f>
        <v>53u+55d+17e</v>
      </c>
      <c r="L35">
        <f>B35*Constants!$B$11+(H35-B35)*Constants!$B$12</f>
        <v>157.5690104166666666666666666666666666666666666666666666666666666666666666666666666666666666666666667</v>
      </c>
      <c r="M35">
        <f>L35*Constants!$B$5</f>
        <v>1260.552083333333333333333333333333333333333333333333333333333333333333333333333333333333333333333333</v>
      </c>
      <c r="N35">
        <f>L35*7</f>
        <v>1102.983072916666666666666666666666666666666666666666666666666666666666666666666666666666666666666667</v>
      </c>
      <c r="O35" t="str">
        <f>IF(B35&gt;Constants!$B$6-Constants!$B$5,"CONSTANT_FRONTIER_TAIL_CANDIDATE",IF(G35=0,"CONSTANT_STABLE_ANCHOR_LANE",IF(G35=Constants!$B$2/2,"CONSTANT_HALF_WRITE_LANE","CONSTANT_BOUND_LADDER_LANE")))</f>
        <v>CONSTANT_BOUND_LADDER_LANE</v>
      </c>
    </row>
    <row r="36">
      <c r="A36">
        <f>ROW()-1</f>
        <v>35</v>
      </c>
      <c r="B36">
        <f>INT((A36-1)/2)+1</f>
        <v>18</v>
      </c>
      <c r="C36" t="str">
        <f>IF(MOD(A36-1,2)=0,"FLOOR_PRIMARY","CEIL_NEIGHBOR")</f>
        <v>FLOOR_PRIMARY</v>
      </c>
      <c r="D36" t="str">
        <f>IF(C36="FLOOR_PRIMARY","yes",IF(G36&lt;&gt;0,"yes","no"))</f>
        <v>yes</v>
      </c>
      <c r="E36">
        <f>MAX(0,INT((B36-1)/Constants!$B$2))</f>
        <v>1</v>
      </c>
      <c r="F36">
        <f>INT(B36*E36/Constants!$B$2)</f>
        <v>1</v>
      </c>
      <c r="G36">
        <f>MOD(B36*E36,Constants!$B$2)</f>
        <v>6</v>
      </c>
      <c r="H36">
        <f>B36+F36+IF(C36="CEIL_NEIGHBOR",1,0)</f>
        <v>19</v>
      </c>
      <c r="I36">
        <f>B36+H36</f>
        <v>37</v>
      </c>
      <c r="J36" t="str">
        <f>B36&amp;"p+"&amp;H36&amp;"n+"&amp;B36&amp;"e"</f>
        <v>18p+19n+18e</v>
      </c>
      <c r="K36" t="str">
        <f>(2*B36+H36)&amp;"u+"&amp;(B36+2*H36)&amp;"d+"&amp;B36&amp;"e"</f>
        <v>55u+56d+18e</v>
      </c>
      <c r="L36">
        <f>B36*Constants!$B$11+(H36-B36)*Constants!$B$12</f>
        <v>166.8203125</v>
      </c>
      <c r="M36">
        <f>L36*Constants!$B$5</f>
        <v>1334.5625</v>
      </c>
      <c r="N36">
        <f>L36*7</f>
        <v>1167.7421875</v>
      </c>
      <c r="O36" t="str">
        <f>IF(B36&gt;Constants!$B$6-Constants!$B$5,"CONSTANT_FRONTIER_TAIL_CANDIDATE",IF(G36=0,"CONSTANT_STABLE_ANCHOR_LANE",IF(G36=Constants!$B$2/2,"CONSTANT_HALF_WRITE_LANE","CONSTANT_BOUND_LADDER_LANE")))</f>
        <v>CONSTANT_HALF_WRITE_LANE</v>
      </c>
    </row>
    <row r="37">
      <c r="A37">
        <f>ROW()-1</f>
        <v>36</v>
      </c>
      <c r="B37">
        <f>INT((A37-1)/2)+1</f>
        <v>18</v>
      </c>
      <c r="C37" t="str">
        <f>IF(MOD(A37-1,2)=0,"FLOOR_PRIMARY","CEIL_NEIGHBOR")</f>
        <v>CEIL_NEIGHBOR</v>
      </c>
      <c r="D37" t="str">
        <f>IF(C37="FLOOR_PRIMARY","yes",IF(G37&lt;&gt;0,"yes","no"))</f>
        <v>yes</v>
      </c>
      <c r="E37">
        <f>MAX(0,INT((B37-1)/Constants!$B$2))</f>
        <v>1</v>
      </c>
      <c r="F37">
        <f>INT(B37*E37/Constants!$B$2)</f>
        <v>1</v>
      </c>
      <c r="G37">
        <f>MOD(B37*E37,Constants!$B$2)</f>
        <v>6</v>
      </c>
      <c r="H37">
        <f>B37+F37+IF(C37="CEIL_NEIGHBOR",1,0)</f>
        <v>20</v>
      </c>
      <c r="I37">
        <f>B37+H37</f>
        <v>38</v>
      </c>
      <c r="J37" t="str">
        <f>B37&amp;"p+"&amp;H37&amp;"n+"&amp;B37&amp;"e"</f>
        <v>18p+20n+18e</v>
      </c>
      <c r="K37" t="str">
        <f>(2*B37+H37)&amp;"u+"&amp;(B37+2*H37)&amp;"d+"&amp;B37&amp;"e"</f>
        <v>56u+58d+18e</v>
      </c>
      <c r="L37">
        <f>B37*Constants!$B$11+(H37-B37)*Constants!$B$12</f>
        <v>166.8359375</v>
      </c>
      <c r="M37">
        <f>L37*Constants!$B$5</f>
        <v>1334.6875</v>
      </c>
      <c r="N37">
        <f>L37*7</f>
        <v>1167.8515625</v>
      </c>
      <c r="O37" t="str">
        <f>IF(B37&gt;Constants!$B$6-Constants!$B$5,"CONSTANT_FRONTIER_TAIL_CANDIDATE",IF(G37=0,"CONSTANT_STABLE_ANCHOR_LANE",IF(G37=Constants!$B$2/2,"CONSTANT_HALF_WRITE_LANE","CONSTANT_BOUND_LADDER_LANE")))</f>
        <v>CONSTANT_HALF_WRITE_LANE</v>
      </c>
    </row>
    <row r="38">
      <c r="A38">
        <f>ROW()-1</f>
        <v>37</v>
      </c>
      <c r="B38">
        <f>INT((A38-1)/2)+1</f>
        <v>19</v>
      </c>
      <c r="C38" t="str">
        <f>IF(MOD(A38-1,2)=0,"FLOOR_PRIMARY","CEIL_NEIGHBOR")</f>
        <v>FLOOR_PRIMARY</v>
      </c>
      <c r="D38" t="str">
        <f>IF(C38="FLOOR_PRIMARY","yes",IF(G38&lt;&gt;0,"yes","no"))</f>
        <v>yes</v>
      </c>
      <c r="E38">
        <f>MAX(0,INT((B38-1)/Constants!$B$2))</f>
        <v>1</v>
      </c>
      <c r="F38">
        <f>INT(B38*E38/Constants!$B$2)</f>
        <v>1</v>
      </c>
      <c r="G38">
        <f>MOD(B38*E38,Constants!$B$2)</f>
        <v>7</v>
      </c>
      <c r="H38">
        <f>B38+F38+IF(C38="CEIL_NEIGHBOR",1,0)</f>
        <v>20</v>
      </c>
      <c r="I38">
        <f>B38+H38</f>
        <v>39</v>
      </c>
      <c r="J38" t="str">
        <f>B38&amp;"p+"&amp;H38&amp;"n+"&amp;B38&amp;"e"</f>
        <v>19p+20n+19e</v>
      </c>
      <c r="K38" t="str">
        <f>(2*B38+H38)&amp;"u+"&amp;(B38+2*H38)&amp;"d+"&amp;B38&amp;"e"</f>
        <v>58u+59d+19e</v>
      </c>
      <c r="L38">
        <f>B38*Constants!$B$11+(H38-B38)*Constants!$B$12</f>
        <v>176.0872395833333333333333333333333333333333333333333333333333333333333333333333333333333333333333333</v>
      </c>
      <c r="M38">
        <f>L38*Constants!$B$5</f>
        <v>1408.697916666666666666666666666666666666666666666666666666666666666666666666666666666666666666666667</v>
      </c>
      <c r="N38">
        <f>L38*7</f>
        <v>1232.610677083333333333333333333333333333333333333333333333333333333333333333333333333333333333333333</v>
      </c>
      <c r="O38" t="str">
        <f>IF(B38&gt;Constants!$B$6-Constants!$B$5,"CONSTANT_FRONTIER_TAIL_CANDIDATE",IF(G38=0,"CONSTANT_STABLE_ANCHOR_LANE",IF(G38=Constants!$B$2/2,"CONSTANT_HALF_WRITE_LANE","CONSTANT_BOUND_LADDER_LANE")))</f>
        <v>CONSTANT_BOUND_LADDER_LANE</v>
      </c>
    </row>
    <row r="39">
      <c r="A39">
        <f>ROW()-1</f>
        <v>38</v>
      </c>
      <c r="B39">
        <f>INT((A39-1)/2)+1</f>
        <v>19</v>
      </c>
      <c r="C39" t="str">
        <f>IF(MOD(A39-1,2)=0,"FLOOR_PRIMARY","CEIL_NEIGHBOR")</f>
        <v>CEIL_NEIGHBOR</v>
      </c>
      <c r="D39" t="str">
        <f>IF(C39="FLOOR_PRIMARY","yes",IF(G39&lt;&gt;0,"yes","no"))</f>
        <v>yes</v>
      </c>
      <c r="E39">
        <f>MAX(0,INT((B39-1)/Constants!$B$2))</f>
        <v>1</v>
      </c>
      <c r="F39">
        <f>INT(B39*E39/Constants!$B$2)</f>
        <v>1</v>
      </c>
      <c r="G39">
        <f>MOD(B39*E39,Constants!$B$2)</f>
        <v>7</v>
      </c>
      <c r="H39">
        <f>B39+F39+IF(C39="CEIL_NEIGHBOR",1,0)</f>
        <v>21</v>
      </c>
      <c r="I39">
        <f>B39+H39</f>
        <v>40</v>
      </c>
      <c r="J39" t="str">
        <f>B39&amp;"p+"&amp;H39&amp;"n+"&amp;B39&amp;"e"</f>
        <v>19p+21n+19e</v>
      </c>
      <c r="K39" t="str">
        <f>(2*B39+H39)&amp;"u+"&amp;(B39+2*H39)&amp;"d+"&amp;B39&amp;"e"</f>
        <v>59u+61d+19e</v>
      </c>
      <c r="L39">
        <f>B39*Constants!$B$11+(H39-B39)*Constants!$B$12</f>
        <v>176.1028645833333333333333333333333333333333333333333333333333333333333333333333333333333333333333333</v>
      </c>
      <c r="M39">
        <f>L39*Constants!$B$5</f>
        <v>1408.822916666666666666666666666666666666666666666666666666666666666666666666666666666666666666666667</v>
      </c>
      <c r="N39">
        <f>L39*7</f>
        <v>1232.720052083333333333333333333333333333333333333333333333333333333333333333333333333333333333333333</v>
      </c>
      <c r="O39" t="str">
        <f>IF(B39&gt;Constants!$B$6-Constants!$B$5,"CONSTANT_FRONTIER_TAIL_CANDIDATE",IF(G39=0,"CONSTANT_STABLE_ANCHOR_LANE",IF(G39=Constants!$B$2/2,"CONSTANT_HALF_WRITE_LANE","CONSTANT_BOUND_LADDER_LANE")))</f>
        <v>CONSTANT_BOUND_LADDER_LANE</v>
      </c>
    </row>
    <row r="40">
      <c r="A40">
        <f>ROW()-1</f>
        <v>39</v>
      </c>
      <c r="B40">
        <f>INT((A40-1)/2)+1</f>
        <v>20</v>
      </c>
      <c r="C40" t="str">
        <f>IF(MOD(A40-1,2)=0,"FLOOR_PRIMARY","CEIL_NEIGHBOR")</f>
        <v>FLOOR_PRIMARY</v>
      </c>
      <c r="D40" t="str">
        <f>IF(C40="FLOOR_PRIMARY","yes",IF(G40&lt;&gt;0,"yes","no"))</f>
        <v>yes</v>
      </c>
      <c r="E40">
        <f>MAX(0,INT((B40-1)/Constants!$B$2))</f>
        <v>1</v>
      </c>
      <c r="F40">
        <f>INT(B40*E40/Constants!$B$2)</f>
        <v>1</v>
      </c>
      <c r="G40">
        <f>MOD(B40*E40,Constants!$B$2)</f>
        <v>8</v>
      </c>
      <c r="H40">
        <f>B40+F40+IF(C40="CEIL_NEIGHBOR",1,0)</f>
        <v>21</v>
      </c>
      <c r="I40">
        <f>B40+H40</f>
        <v>41</v>
      </c>
      <c r="J40" t="str">
        <f>B40&amp;"p+"&amp;H40&amp;"n+"&amp;B40&amp;"e"</f>
        <v>20p+21n+20e</v>
      </c>
      <c r="K40" t="str">
        <f>(2*B40+H40)&amp;"u+"&amp;(B40+2*H40)&amp;"d+"&amp;B40&amp;"e"</f>
        <v>61u+62d+20e</v>
      </c>
      <c r="L40">
        <f>B40*Constants!$B$11+(H40-B40)*Constants!$B$12</f>
        <v>185.3541666666666666666666666666666666666666666666666666666666666666666666666666666666666666666666667</v>
      </c>
      <c r="M40">
        <f>L40*Constants!$B$5</f>
        <v>1482.833333333333333333333333333333333333333333333333333333333333333333333333333333333333333333333333</v>
      </c>
      <c r="N40">
        <f>L40*7</f>
        <v>1297.479166666666666666666666666666666666666666666666666666666666666666666666666666666666666666666667</v>
      </c>
      <c r="O40" t="str">
        <f>IF(B40&gt;Constants!$B$6-Constants!$B$5,"CONSTANT_FRONTIER_TAIL_CANDIDATE",IF(G40=0,"CONSTANT_STABLE_ANCHOR_LANE",IF(G40=Constants!$B$2/2,"CONSTANT_HALF_WRITE_LANE","CONSTANT_BOUND_LADDER_LANE")))</f>
        <v>CONSTANT_BOUND_LADDER_LANE</v>
      </c>
    </row>
    <row r="41">
      <c r="A41">
        <f>ROW()-1</f>
        <v>40</v>
      </c>
      <c r="B41">
        <f>INT((A41-1)/2)+1</f>
        <v>20</v>
      </c>
      <c r="C41" t="str">
        <f>IF(MOD(A41-1,2)=0,"FLOOR_PRIMARY","CEIL_NEIGHBOR")</f>
        <v>CEIL_NEIGHBOR</v>
      </c>
      <c r="D41" t="str">
        <f>IF(C41="FLOOR_PRIMARY","yes",IF(G41&lt;&gt;0,"yes","no"))</f>
        <v>yes</v>
      </c>
      <c r="E41">
        <f>MAX(0,INT((B41-1)/Constants!$B$2))</f>
        <v>1</v>
      </c>
      <c r="F41">
        <f>INT(B41*E41/Constants!$B$2)</f>
        <v>1</v>
      </c>
      <c r="G41">
        <f>MOD(B41*E41,Constants!$B$2)</f>
        <v>8</v>
      </c>
      <c r="H41">
        <f>B41+F41+IF(C41="CEIL_NEIGHBOR",1,0)</f>
        <v>22</v>
      </c>
      <c r="I41">
        <f>B41+H41</f>
        <v>42</v>
      </c>
      <c r="J41" t="str">
        <f>B41&amp;"p+"&amp;H41&amp;"n+"&amp;B41&amp;"e"</f>
        <v>20p+22n+20e</v>
      </c>
      <c r="K41" t="str">
        <f>(2*B41+H41)&amp;"u+"&amp;(B41+2*H41)&amp;"d+"&amp;B41&amp;"e"</f>
        <v>62u+64d+20e</v>
      </c>
      <c r="L41">
        <f>B41*Constants!$B$11+(H41-B41)*Constants!$B$12</f>
        <v>185.3697916666666666666666666666666666666666666666666666666666666666666666666666666666666666666666667</v>
      </c>
      <c r="M41">
        <f>L41*Constants!$B$5</f>
        <v>1482.958333333333333333333333333333333333333333333333333333333333333333333333333333333333333333333333</v>
      </c>
      <c r="N41">
        <f>L41*7</f>
        <v>1297.588541666666666666666666666666666666666666666666666666666666666666666666666666666666666666666667</v>
      </c>
      <c r="O41" t="str">
        <f>IF(B41&gt;Constants!$B$6-Constants!$B$5,"CONSTANT_FRONTIER_TAIL_CANDIDATE",IF(G41=0,"CONSTANT_STABLE_ANCHOR_LANE",IF(G41=Constants!$B$2/2,"CONSTANT_HALF_WRITE_LANE","CONSTANT_BOUND_LADDER_LANE")))</f>
        <v>CONSTANT_BOUND_LADDER_LANE</v>
      </c>
    </row>
    <row r="42">
      <c r="A42">
        <f>ROW()-1</f>
        <v>41</v>
      </c>
      <c r="B42">
        <f>INT((A42-1)/2)+1</f>
        <v>21</v>
      </c>
      <c r="C42" t="str">
        <f>IF(MOD(A42-1,2)=0,"FLOOR_PRIMARY","CEIL_NEIGHBOR")</f>
        <v>FLOOR_PRIMARY</v>
      </c>
      <c r="D42" t="str">
        <f>IF(C42="FLOOR_PRIMARY","yes",IF(G42&lt;&gt;0,"yes","no"))</f>
        <v>yes</v>
      </c>
      <c r="E42">
        <f>MAX(0,INT((B42-1)/Constants!$B$2))</f>
        <v>1</v>
      </c>
      <c r="F42">
        <f>INT(B42*E42/Constants!$B$2)</f>
        <v>1</v>
      </c>
      <c r="G42">
        <f>MOD(B42*E42,Constants!$B$2)</f>
        <v>9</v>
      </c>
      <c r="H42">
        <f>B42+F42+IF(C42="CEIL_NEIGHBOR",1,0)</f>
        <v>22</v>
      </c>
      <c r="I42">
        <f>B42+H42</f>
        <v>43</v>
      </c>
      <c r="J42" t="str">
        <f>B42&amp;"p+"&amp;H42&amp;"n+"&amp;B42&amp;"e"</f>
        <v>21p+22n+21e</v>
      </c>
      <c r="K42" t="str">
        <f>(2*B42+H42)&amp;"u+"&amp;(B42+2*H42)&amp;"d+"&amp;B42&amp;"e"</f>
        <v>64u+65d+21e</v>
      </c>
      <c r="L42">
        <f>B42*Constants!$B$11+(H42-B42)*Constants!$B$12</f>
        <v>194.62109375</v>
      </c>
      <c r="M42">
        <f>L42*Constants!$B$5</f>
        <v>1556.96875</v>
      </c>
      <c r="N42">
        <f>L42*7</f>
        <v>1362.34765625</v>
      </c>
      <c r="O42" t="str">
        <f>IF(B42&gt;Constants!$B$6-Constants!$B$5,"CONSTANT_FRONTIER_TAIL_CANDIDATE",IF(G42=0,"CONSTANT_STABLE_ANCHOR_LANE",IF(G42=Constants!$B$2/2,"CONSTANT_HALF_WRITE_LANE","CONSTANT_BOUND_LADDER_LANE")))</f>
        <v>CONSTANT_BOUND_LADDER_LANE</v>
      </c>
    </row>
    <row r="43">
      <c r="A43">
        <f>ROW()-1</f>
        <v>42</v>
      </c>
      <c r="B43">
        <f>INT((A43-1)/2)+1</f>
        <v>21</v>
      </c>
      <c r="C43" t="str">
        <f>IF(MOD(A43-1,2)=0,"FLOOR_PRIMARY","CEIL_NEIGHBOR")</f>
        <v>CEIL_NEIGHBOR</v>
      </c>
      <c r="D43" t="str">
        <f>IF(C43="FLOOR_PRIMARY","yes",IF(G43&lt;&gt;0,"yes","no"))</f>
        <v>yes</v>
      </c>
      <c r="E43">
        <f>MAX(0,INT((B43-1)/Constants!$B$2))</f>
        <v>1</v>
      </c>
      <c r="F43">
        <f>INT(B43*E43/Constants!$B$2)</f>
        <v>1</v>
      </c>
      <c r="G43">
        <f>MOD(B43*E43,Constants!$B$2)</f>
        <v>9</v>
      </c>
      <c r="H43">
        <f>B43+F43+IF(C43="CEIL_NEIGHBOR",1,0)</f>
        <v>23</v>
      </c>
      <c r="I43">
        <f>B43+H43</f>
        <v>44</v>
      </c>
      <c r="J43" t="str">
        <f>B43&amp;"p+"&amp;H43&amp;"n+"&amp;B43&amp;"e"</f>
        <v>21p+23n+21e</v>
      </c>
      <c r="K43" t="str">
        <f>(2*B43+H43)&amp;"u+"&amp;(B43+2*H43)&amp;"d+"&amp;B43&amp;"e"</f>
        <v>65u+67d+21e</v>
      </c>
      <c r="L43">
        <f>B43*Constants!$B$11+(H43-B43)*Constants!$B$12</f>
        <v>194.63671875</v>
      </c>
      <c r="M43">
        <f>L43*Constants!$B$5</f>
        <v>1557.09375</v>
      </c>
      <c r="N43">
        <f>L43*7</f>
        <v>1362.45703125</v>
      </c>
      <c r="O43" t="str">
        <f>IF(B43&gt;Constants!$B$6-Constants!$B$5,"CONSTANT_FRONTIER_TAIL_CANDIDATE",IF(G43=0,"CONSTANT_STABLE_ANCHOR_LANE",IF(G43=Constants!$B$2/2,"CONSTANT_HALF_WRITE_LANE","CONSTANT_BOUND_LADDER_LANE")))</f>
        <v>CONSTANT_BOUND_LADDER_LANE</v>
      </c>
    </row>
    <row r="44">
      <c r="A44">
        <f>ROW()-1</f>
        <v>43</v>
      </c>
      <c r="B44">
        <f>INT((A44-1)/2)+1</f>
        <v>22</v>
      </c>
      <c r="C44" t="str">
        <f>IF(MOD(A44-1,2)=0,"FLOOR_PRIMARY","CEIL_NEIGHBOR")</f>
        <v>FLOOR_PRIMARY</v>
      </c>
      <c r="D44" t="str">
        <f>IF(C44="FLOOR_PRIMARY","yes",IF(G44&lt;&gt;0,"yes","no"))</f>
        <v>yes</v>
      </c>
      <c r="E44">
        <f>MAX(0,INT((B44-1)/Constants!$B$2))</f>
        <v>1</v>
      </c>
      <c r="F44">
        <f>INT(B44*E44/Constants!$B$2)</f>
        <v>1</v>
      </c>
      <c r="G44">
        <f>MOD(B44*E44,Constants!$B$2)</f>
        <v>10</v>
      </c>
      <c r="H44">
        <f>B44+F44+IF(C44="CEIL_NEIGHBOR",1,0)</f>
        <v>23</v>
      </c>
      <c r="I44">
        <f>B44+H44</f>
        <v>45</v>
      </c>
      <c r="J44" t="str">
        <f>B44&amp;"p+"&amp;H44&amp;"n+"&amp;B44&amp;"e"</f>
        <v>22p+23n+22e</v>
      </c>
      <c r="K44" t="str">
        <f>(2*B44+H44)&amp;"u+"&amp;(B44+2*H44)&amp;"d+"&amp;B44&amp;"e"</f>
        <v>67u+68d+22e</v>
      </c>
      <c r="L44">
        <f>B44*Constants!$B$11+(H44-B44)*Constants!$B$12</f>
        <v>203.8880208333333333333333333333333333333333333333333333333333333333333333333333333333333333333333333</v>
      </c>
      <c r="M44">
        <f>L44*Constants!$B$5</f>
        <v>1631.104166666666666666666666666666666666666666666666666666666666666666666666666666666666666666666667</v>
      </c>
      <c r="N44">
        <f>L44*7</f>
        <v>1427.216145833333333333333333333333333333333333333333333333333333333333333333333333333333333333333333</v>
      </c>
      <c r="O44" t="str">
        <f>IF(B44&gt;Constants!$B$6-Constants!$B$5,"CONSTANT_FRONTIER_TAIL_CANDIDATE",IF(G44=0,"CONSTANT_STABLE_ANCHOR_LANE",IF(G44=Constants!$B$2/2,"CONSTANT_HALF_WRITE_LANE","CONSTANT_BOUND_LADDER_LANE")))</f>
        <v>CONSTANT_BOUND_LADDER_LANE</v>
      </c>
    </row>
    <row r="45">
      <c r="A45">
        <f>ROW()-1</f>
        <v>44</v>
      </c>
      <c r="B45">
        <f>INT((A45-1)/2)+1</f>
        <v>22</v>
      </c>
      <c r="C45" t="str">
        <f>IF(MOD(A45-1,2)=0,"FLOOR_PRIMARY","CEIL_NEIGHBOR")</f>
        <v>CEIL_NEIGHBOR</v>
      </c>
      <c r="D45" t="str">
        <f>IF(C45="FLOOR_PRIMARY","yes",IF(G45&lt;&gt;0,"yes","no"))</f>
        <v>yes</v>
      </c>
      <c r="E45">
        <f>MAX(0,INT((B45-1)/Constants!$B$2))</f>
        <v>1</v>
      </c>
      <c r="F45">
        <f>INT(B45*E45/Constants!$B$2)</f>
        <v>1</v>
      </c>
      <c r="G45">
        <f>MOD(B45*E45,Constants!$B$2)</f>
        <v>10</v>
      </c>
      <c r="H45">
        <f>B45+F45+IF(C45="CEIL_NEIGHBOR",1,0)</f>
        <v>24</v>
      </c>
      <c r="I45">
        <f>B45+H45</f>
        <v>46</v>
      </c>
      <c r="J45" t="str">
        <f>B45&amp;"p+"&amp;H45&amp;"n+"&amp;B45&amp;"e"</f>
        <v>22p+24n+22e</v>
      </c>
      <c r="K45" t="str">
        <f>(2*B45+H45)&amp;"u+"&amp;(B45+2*H45)&amp;"d+"&amp;B45&amp;"e"</f>
        <v>68u+70d+22e</v>
      </c>
      <c r="L45">
        <f>B45*Constants!$B$11+(H45-B45)*Constants!$B$12</f>
        <v>203.9036458333333333333333333333333333333333333333333333333333333333333333333333333333333333333333333</v>
      </c>
      <c r="M45">
        <f>L45*Constants!$B$5</f>
        <v>1631.229166666666666666666666666666666666666666666666666666666666666666666666666666666666666666666667</v>
      </c>
      <c r="N45">
        <f>L45*7</f>
        <v>1427.325520833333333333333333333333333333333333333333333333333333333333333333333333333333333333333333</v>
      </c>
      <c r="O45" t="str">
        <f>IF(B45&gt;Constants!$B$6-Constants!$B$5,"CONSTANT_FRONTIER_TAIL_CANDIDATE",IF(G45=0,"CONSTANT_STABLE_ANCHOR_LANE",IF(G45=Constants!$B$2/2,"CONSTANT_HALF_WRITE_LANE","CONSTANT_BOUND_LADDER_LANE")))</f>
        <v>CONSTANT_BOUND_LADDER_LANE</v>
      </c>
    </row>
    <row r="46">
      <c r="A46">
        <f>ROW()-1</f>
        <v>45</v>
      </c>
      <c r="B46">
        <f>INT((A46-1)/2)+1</f>
        <v>23</v>
      </c>
      <c r="C46" t="str">
        <f>IF(MOD(A46-1,2)=0,"FLOOR_PRIMARY","CEIL_NEIGHBOR")</f>
        <v>FLOOR_PRIMARY</v>
      </c>
      <c r="D46" t="str">
        <f>IF(C46="FLOOR_PRIMARY","yes",IF(G46&lt;&gt;0,"yes","no"))</f>
        <v>yes</v>
      </c>
      <c r="E46">
        <f>MAX(0,INT((B46-1)/Constants!$B$2))</f>
        <v>1</v>
      </c>
      <c r="F46">
        <f>INT(B46*E46/Constants!$B$2)</f>
        <v>1</v>
      </c>
      <c r="G46">
        <f>MOD(B46*E46,Constants!$B$2)</f>
        <v>11</v>
      </c>
      <c r="H46">
        <f>B46+F46+IF(C46="CEIL_NEIGHBOR",1,0)</f>
        <v>24</v>
      </c>
      <c r="I46">
        <f>B46+H46</f>
        <v>47</v>
      </c>
      <c r="J46" t="str">
        <f>B46&amp;"p+"&amp;H46&amp;"n+"&amp;B46&amp;"e"</f>
        <v>23p+24n+23e</v>
      </c>
      <c r="K46" t="str">
        <f>(2*B46+H46)&amp;"u+"&amp;(B46+2*H46)&amp;"d+"&amp;B46&amp;"e"</f>
        <v>70u+71d+23e</v>
      </c>
      <c r="L46">
        <f>B46*Constants!$B$11+(H46-B46)*Constants!$B$12</f>
        <v>213.1549479166666666666666666666666666666666666666666666666666666666666666666666666666666666666666667</v>
      </c>
      <c r="M46">
        <f>L46*Constants!$B$5</f>
        <v>1705.239583333333333333333333333333333333333333333333333333333333333333333333333333333333333333333333</v>
      </c>
      <c r="N46">
        <f>L46*7</f>
        <v>1492.084635416666666666666666666666666666666666666666666666666666666666666666666666666666666666666667</v>
      </c>
      <c r="O46" t="str">
        <f>IF(B46&gt;Constants!$B$6-Constants!$B$5,"CONSTANT_FRONTIER_TAIL_CANDIDATE",IF(G46=0,"CONSTANT_STABLE_ANCHOR_LANE",IF(G46=Constants!$B$2/2,"CONSTANT_HALF_WRITE_LANE","CONSTANT_BOUND_LADDER_LANE")))</f>
        <v>CONSTANT_BOUND_LADDER_LANE</v>
      </c>
    </row>
    <row r="47">
      <c r="A47">
        <f>ROW()-1</f>
        <v>46</v>
      </c>
      <c r="B47">
        <f>INT((A47-1)/2)+1</f>
        <v>23</v>
      </c>
      <c r="C47" t="str">
        <f>IF(MOD(A47-1,2)=0,"FLOOR_PRIMARY","CEIL_NEIGHBOR")</f>
        <v>CEIL_NEIGHBOR</v>
      </c>
      <c r="D47" t="str">
        <f>IF(C47="FLOOR_PRIMARY","yes",IF(G47&lt;&gt;0,"yes","no"))</f>
        <v>yes</v>
      </c>
      <c r="E47">
        <f>MAX(0,INT((B47-1)/Constants!$B$2))</f>
        <v>1</v>
      </c>
      <c r="F47">
        <f>INT(B47*E47/Constants!$B$2)</f>
        <v>1</v>
      </c>
      <c r="G47">
        <f>MOD(B47*E47,Constants!$B$2)</f>
        <v>11</v>
      </c>
      <c r="H47">
        <f>B47+F47+IF(C47="CEIL_NEIGHBOR",1,0)</f>
        <v>25</v>
      </c>
      <c r="I47">
        <f>B47+H47</f>
        <v>48</v>
      </c>
      <c r="J47" t="str">
        <f>B47&amp;"p+"&amp;H47&amp;"n+"&amp;B47&amp;"e"</f>
        <v>23p+25n+23e</v>
      </c>
      <c r="K47" t="str">
        <f>(2*B47+H47)&amp;"u+"&amp;(B47+2*H47)&amp;"d+"&amp;B47&amp;"e"</f>
        <v>71u+73d+23e</v>
      </c>
      <c r="L47">
        <f>B47*Constants!$B$11+(H47-B47)*Constants!$B$12</f>
        <v>213.1705729166666666666666666666666666666666666666666666666666666666666666666666666666666666666666667</v>
      </c>
      <c r="M47">
        <f>L47*Constants!$B$5</f>
        <v>1705.364583333333333333333333333333333333333333333333333333333333333333333333333333333333333333333333</v>
      </c>
      <c r="N47">
        <f>L47*7</f>
        <v>1492.194010416666666666666666666666666666666666666666666666666666666666666666666666666666666666666667</v>
      </c>
      <c r="O47" t="str">
        <f>IF(B47&gt;Constants!$B$6-Constants!$B$5,"CONSTANT_FRONTIER_TAIL_CANDIDATE",IF(G47=0,"CONSTANT_STABLE_ANCHOR_LANE",IF(G47=Constants!$B$2/2,"CONSTANT_HALF_WRITE_LANE","CONSTANT_BOUND_LADDER_LANE")))</f>
        <v>CONSTANT_BOUND_LADDER_LANE</v>
      </c>
    </row>
    <row r="48">
      <c r="A48">
        <f>ROW()-1</f>
        <v>47</v>
      </c>
      <c r="B48">
        <f>INT((A48-1)/2)+1</f>
        <v>24</v>
      </c>
      <c r="C48" t="str">
        <f>IF(MOD(A48-1,2)=0,"FLOOR_PRIMARY","CEIL_NEIGHBOR")</f>
        <v>FLOOR_PRIMARY</v>
      </c>
      <c r="D48" t="str">
        <f>IF(C48="FLOOR_PRIMARY","yes",IF(G48&lt;&gt;0,"yes","no"))</f>
        <v>yes</v>
      </c>
      <c r="E48">
        <f>MAX(0,INT((B48-1)/Constants!$B$2))</f>
        <v>1</v>
      </c>
      <c r="F48">
        <f>INT(B48*E48/Constants!$B$2)</f>
        <v>2</v>
      </c>
      <c r="G48">
        <f>MOD(B48*E48,Constants!$B$2)</f>
        <v>0</v>
      </c>
      <c r="H48">
        <f>B48+F48+IF(C48="CEIL_NEIGHBOR",1,0)</f>
        <v>26</v>
      </c>
      <c r="I48">
        <f>B48+H48</f>
        <v>50</v>
      </c>
      <c r="J48" t="str">
        <f>B48&amp;"p+"&amp;H48&amp;"n+"&amp;B48&amp;"e"</f>
        <v>24p+26n+24e</v>
      </c>
      <c r="K48" t="str">
        <f>(2*B48+H48)&amp;"u+"&amp;(B48+2*H48)&amp;"d+"&amp;B48&amp;"e"</f>
        <v>74u+76d+24e</v>
      </c>
      <c r="L48">
        <f>B48*Constants!$B$11+(H48-B48)*Constants!$B$12</f>
        <v>222.4375</v>
      </c>
      <c r="M48">
        <f>L48*Constants!$B$5</f>
        <v>1779.5</v>
      </c>
      <c r="N48">
        <f>L48*7</f>
        <v>1557.0625</v>
      </c>
      <c r="O48" t="str">
        <f>IF(B48&gt;Constants!$B$6-Constants!$B$5,"CONSTANT_FRONTIER_TAIL_CANDIDATE",IF(G48=0,"CONSTANT_STABLE_ANCHOR_LANE",IF(G48=Constants!$B$2/2,"CONSTANT_HALF_WRITE_LANE","CONSTANT_BOUND_LADDER_LANE")))</f>
        <v>CONSTANT_STABLE_ANCHOR_LANE</v>
      </c>
    </row>
    <row r="49">
      <c r="A49">
        <f>ROW()-1</f>
        <v>48</v>
      </c>
      <c r="B49">
        <f>INT((A49-1)/2)+1</f>
        <v>24</v>
      </c>
      <c r="C49" t="str">
        <f>IF(MOD(A49-1,2)=0,"FLOOR_PRIMARY","CEIL_NEIGHBOR")</f>
        <v>CEIL_NEIGHBOR</v>
      </c>
      <c r="D49" t="str">
        <f>IF(C49="FLOOR_PRIMARY","yes",IF(G49&lt;&gt;0,"yes","no"))</f>
        <v>no</v>
      </c>
      <c r="E49">
        <f>MAX(0,INT((B49-1)/Constants!$B$2))</f>
        <v>1</v>
      </c>
      <c r="F49">
        <f>INT(B49*E49/Constants!$B$2)</f>
        <v>2</v>
      </c>
      <c r="G49">
        <f>MOD(B49*E49,Constants!$B$2)</f>
        <v>0</v>
      </c>
      <c r="H49">
        <f>B49+F49+IF(C49="CEIL_NEIGHBOR",1,0)</f>
        <v>27</v>
      </c>
      <c r="I49">
        <f>B49+H49</f>
        <v>51</v>
      </c>
      <c r="J49" t="str">
        <f>B49&amp;"p+"&amp;H49&amp;"n+"&amp;B49&amp;"e"</f>
        <v>24p+27n+24e</v>
      </c>
      <c r="K49" t="str">
        <f>(2*B49+H49)&amp;"u+"&amp;(B49+2*H49)&amp;"d+"&amp;B49&amp;"e"</f>
        <v>75u+78d+24e</v>
      </c>
      <c r="L49">
        <f>B49*Constants!$B$11+(H49-B49)*Constants!$B$12</f>
        <v>222.453125</v>
      </c>
      <c r="M49">
        <f>L49*Constants!$B$5</f>
        <v>1779.625</v>
      </c>
      <c r="N49">
        <f>L49*7</f>
        <v>1557.171875</v>
      </c>
      <c r="O49" t="str">
        <f>IF(B49&gt;Constants!$B$6-Constants!$B$5,"CONSTANT_FRONTIER_TAIL_CANDIDATE",IF(G49=0,"CONSTANT_STABLE_ANCHOR_LANE",IF(G49=Constants!$B$2/2,"CONSTANT_HALF_WRITE_LANE","CONSTANT_BOUND_LADDER_LANE")))</f>
        <v>CONSTANT_BOUND_LADDER_LANE</v>
      </c>
    </row>
    <row r="50">
      <c r="A50">
        <f>ROW()-1</f>
        <v>49</v>
      </c>
      <c r="B50">
        <f>INT((A50-1)/2)+1</f>
        <v>25</v>
      </c>
      <c r="C50" t="str">
        <f>IF(MOD(A50-1,2)=0,"FLOOR_PRIMARY","CEIL_NEIGHBOR")</f>
        <v>FLOOR_PRIMARY</v>
      </c>
      <c r="D50" t="str">
        <f>IF(C50="FLOOR_PRIMARY","yes",IF(G50&lt;&gt;0,"yes","no"))</f>
        <v>yes</v>
      </c>
      <c r="E50">
        <f>MAX(0,INT((B50-1)/Constants!$B$2))</f>
        <v>2</v>
      </c>
      <c r="F50">
        <f>INT(B50*E50/Constants!$B$2)</f>
        <v>4</v>
      </c>
      <c r="G50">
        <f>MOD(B50*E50,Constants!$B$2)</f>
        <v>2</v>
      </c>
      <c r="H50">
        <f>B50+F50+IF(C50="CEIL_NEIGHBOR",1,0)</f>
        <v>29</v>
      </c>
      <c r="I50">
        <f>B50+H50</f>
        <v>54</v>
      </c>
      <c r="J50" t="str">
        <f>B50&amp;"p+"&amp;H50&amp;"n+"&amp;B50&amp;"e"</f>
        <v>25p+29n+25e</v>
      </c>
      <c r="K50" t="str">
        <f>(2*B50+H50)&amp;"u+"&amp;(B50+2*H50)&amp;"d+"&amp;B50&amp;"e"</f>
        <v>79u+83d+25e</v>
      </c>
      <c r="L50">
        <f>B50*Constants!$B$11+(H50-B50)*Constants!$B$12</f>
        <v>231.7356770833333333333333333333333333333333333333333333333333333333333333333333333333333333333333333</v>
      </c>
      <c r="M50">
        <f>L50*Constants!$B$5</f>
        <v>1853.885416666666666666666666666666666666666666666666666666666666666666666666666666666666666666666667</v>
      </c>
      <c r="N50">
        <f>L50*7</f>
        <v>1622.149739583333333333333333333333333333333333333333333333333333333333333333333333333333333333333333</v>
      </c>
      <c r="O50" t="str">
        <f>IF(B50&gt;Constants!$B$6-Constants!$B$5,"CONSTANT_FRONTIER_TAIL_CANDIDATE",IF(G50=0,"CONSTANT_STABLE_ANCHOR_LANE",IF(G50=Constants!$B$2/2,"CONSTANT_HALF_WRITE_LANE","CONSTANT_BOUND_LADDER_LANE")))</f>
        <v>CONSTANT_BOUND_LADDER_LANE</v>
      </c>
    </row>
    <row r="51">
      <c r="A51">
        <f>ROW()-1</f>
        <v>50</v>
      </c>
      <c r="B51">
        <f>INT((A51-1)/2)+1</f>
        <v>25</v>
      </c>
      <c r="C51" t="str">
        <f>IF(MOD(A51-1,2)=0,"FLOOR_PRIMARY","CEIL_NEIGHBOR")</f>
        <v>CEIL_NEIGHBOR</v>
      </c>
      <c r="D51" t="str">
        <f>IF(C51="FLOOR_PRIMARY","yes",IF(G51&lt;&gt;0,"yes","no"))</f>
        <v>yes</v>
      </c>
      <c r="E51">
        <f>MAX(0,INT((B51-1)/Constants!$B$2))</f>
        <v>2</v>
      </c>
      <c r="F51">
        <f>INT(B51*E51/Constants!$B$2)</f>
        <v>4</v>
      </c>
      <c r="G51">
        <f>MOD(B51*E51,Constants!$B$2)</f>
        <v>2</v>
      </c>
      <c r="H51">
        <f>B51+F51+IF(C51="CEIL_NEIGHBOR",1,0)</f>
        <v>30</v>
      </c>
      <c r="I51">
        <f>B51+H51</f>
        <v>55</v>
      </c>
      <c r="J51" t="str">
        <f>B51&amp;"p+"&amp;H51&amp;"n+"&amp;B51&amp;"e"</f>
        <v>25p+30n+25e</v>
      </c>
      <c r="K51" t="str">
        <f>(2*B51+H51)&amp;"u+"&amp;(B51+2*H51)&amp;"d+"&amp;B51&amp;"e"</f>
        <v>80u+85d+25e</v>
      </c>
      <c r="L51">
        <f>B51*Constants!$B$11+(H51-B51)*Constants!$B$12</f>
        <v>231.7513020833333333333333333333333333333333333333333333333333333333333333333333333333333333333333333</v>
      </c>
      <c r="M51">
        <f>L51*Constants!$B$5</f>
        <v>1854.010416666666666666666666666666666666666666666666666666666666666666666666666666666666666666666667</v>
      </c>
      <c r="N51">
        <f>L51*7</f>
        <v>1622.259114583333333333333333333333333333333333333333333333333333333333333333333333333333333333333333</v>
      </c>
      <c r="O51" t="str">
        <f>IF(B51&gt;Constants!$B$6-Constants!$B$5,"CONSTANT_FRONTIER_TAIL_CANDIDATE",IF(G51=0,"CONSTANT_STABLE_ANCHOR_LANE",IF(G51=Constants!$B$2/2,"CONSTANT_HALF_WRITE_LANE","CONSTANT_BOUND_LADDER_LANE")))</f>
        <v>CONSTANT_BOUND_LADDER_LANE</v>
      </c>
    </row>
    <row r="52">
      <c r="A52">
        <f>ROW()-1</f>
        <v>51</v>
      </c>
      <c r="B52">
        <f>INT((A52-1)/2)+1</f>
        <v>26</v>
      </c>
      <c r="C52" t="str">
        <f>IF(MOD(A52-1,2)=0,"FLOOR_PRIMARY","CEIL_NEIGHBOR")</f>
        <v>FLOOR_PRIMARY</v>
      </c>
      <c r="D52" t="str">
        <f>IF(C52="FLOOR_PRIMARY","yes",IF(G52&lt;&gt;0,"yes","no"))</f>
        <v>yes</v>
      </c>
      <c r="E52">
        <f>MAX(0,INT((B52-1)/Constants!$B$2))</f>
        <v>2</v>
      </c>
      <c r="F52">
        <f>INT(B52*E52/Constants!$B$2)</f>
        <v>4</v>
      </c>
      <c r="G52">
        <f>MOD(B52*E52,Constants!$B$2)</f>
        <v>4</v>
      </c>
      <c r="H52">
        <f>B52+F52+IF(C52="CEIL_NEIGHBOR",1,0)</f>
        <v>30</v>
      </c>
      <c r="I52">
        <f>B52+H52</f>
        <v>56</v>
      </c>
      <c r="J52" t="str">
        <f>B52&amp;"p+"&amp;H52&amp;"n+"&amp;B52&amp;"e"</f>
        <v>26p+30n+26e</v>
      </c>
      <c r="K52" t="str">
        <f>(2*B52+H52)&amp;"u+"&amp;(B52+2*H52)&amp;"d+"&amp;B52&amp;"e"</f>
        <v>82u+86d+26e</v>
      </c>
      <c r="L52">
        <f>B52*Constants!$B$11+(H52-B52)*Constants!$B$12</f>
        <v>241.0026041666666666666666666666666666666666666666666666666666666666666666666666666666666666666666667</v>
      </c>
      <c r="M52">
        <f>L52*Constants!$B$5</f>
        <v>1928.020833333333333333333333333333333333333333333333333333333333333333333333333333333333333333333333</v>
      </c>
      <c r="N52">
        <f>L52*7</f>
        <v>1687.018229166666666666666666666666666666666666666666666666666666666666666666666666666666666666666667</v>
      </c>
      <c r="O52" t="str">
        <f>IF(B52&gt;Constants!$B$6-Constants!$B$5,"CONSTANT_FRONTIER_TAIL_CANDIDATE",IF(G52=0,"CONSTANT_STABLE_ANCHOR_LANE",IF(G52=Constants!$B$2/2,"CONSTANT_HALF_WRITE_LANE","CONSTANT_BOUND_LADDER_LANE")))</f>
        <v>CONSTANT_BOUND_LADDER_LANE</v>
      </c>
    </row>
    <row r="53">
      <c r="A53">
        <f>ROW()-1</f>
        <v>52</v>
      </c>
      <c r="B53">
        <f>INT((A53-1)/2)+1</f>
        <v>26</v>
      </c>
      <c r="C53" t="str">
        <f>IF(MOD(A53-1,2)=0,"FLOOR_PRIMARY","CEIL_NEIGHBOR")</f>
        <v>CEIL_NEIGHBOR</v>
      </c>
      <c r="D53" t="str">
        <f>IF(C53="FLOOR_PRIMARY","yes",IF(G53&lt;&gt;0,"yes","no"))</f>
        <v>yes</v>
      </c>
      <c r="E53">
        <f>MAX(0,INT((B53-1)/Constants!$B$2))</f>
        <v>2</v>
      </c>
      <c r="F53">
        <f>INT(B53*E53/Constants!$B$2)</f>
        <v>4</v>
      </c>
      <c r="G53">
        <f>MOD(B53*E53,Constants!$B$2)</f>
        <v>4</v>
      </c>
      <c r="H53">
        <f>B53+F53+IF(C53="CEIL_NEIGHBOR",1,0)</f>
        <v>31</v>
      </c>
      <c r="I53">
        <f>B53+H53</f>
        <v>57</v>
      </c>
      <c r="J53" t="str">
        <f>B53&amp;"p+"&amp;H53&amp;"n+"&amp;B53&amp;"e"</f>
        <v>26p+31n+26e</v>
      </c>
      <c r="K53" t="str">
        <f>(2*B53+H53)&amp;"u+"&amp;(B53+2*H53)&amp;"d+"&amp;B53&amp;"e"</f>
        <v>83u+88d+26e</v>
      </c>
      <c r="L53">
        <f>B53*Constants!$B$11+(H53-B53)*Constants!$B$12</f>
        <v>241.0182291666666666666666666666666666666666666666666666666666666666666666666666666666666666666666667</v>
      </c>
      <c r="M53">
        <f>L53*Constants!$B$5</f>
        <v>1928.145833333333333333333333333333333333333333333333333333333333333333333333333333333333333333333333</v>
      </c>
      <c r="N53">
        <f>L53*7</f>
        <v>1687.127604166666666666666666666666666666666666666666666666666666666666666666666666666666666666666667</v>
      </c>
      <c r="O53" t="str">
        <f>IF(B53&gt;Constants!$B$6-Constants!$B$5,"CONSTANT_FRONTIER_TAIL_CANDIDATE",IF(G53=0,"CONSTANT_STABLE_ANCHOR_LANE",IF(G53=Constants!$B$2/2,"CONSTANT_HALF_WRITE_LANE","CONSTANT_BOUND_LADDER_LANE")))</f>
        <v>CONSTANT_BOUND_LADDER_LANE</v>
      </c>
    </row>
    <row r="54">
      <c r="A54">
        <f>ROW()-1</f>
        <v>53</v>
      </c>
      <c r="B54">
        <f>INT((A54-1)/2)+1</f>
        <v>27</v>
      </c>
      <c r="C54" t="str">
        <f>IF(MOD(A54-1,2)=0,"FLOOR_PRIMARY","CEIL_NEIGHBOR")</f>
        <v>FLOOR_PRIMARY</v>
      </c>
      <c r="D54" t="str">
        <f>IF(C54="FLOOR_PRIMARY","yes",IF(G54&lt;&gt;0,"yes","no"))</f>
        <v>yes</v>
      </c>
      <c r="E54">
        <f>MAX(0,INT((B54-1)/Constants!$B$2))</f>
        <v>2</v>
      </c>
      <c r="F54">
        <f>INT(B54*E54/Constants!$B$2)</f>
        <v>4</v>
      </c>
      <c r="G54">
        <f>MOD(B54*E54,Constants!$B$2)</f>
        <v>6</v>
      </c>
      <c r="H54">
        <f>B54+F54+IF(C54="CEIL_NEIGHBOR",1,0)</f>
        <v>31</v>
      </c>
      <c r="I54">
        <f>B54+H54</f>
        <v>58</v>
      </c>
      <c r="J54" t="str">
        <f>B54&amp;"p+"&amp;H54&amp;"n+"&amp;B54&amp;"e"</f>
        <v>27p+31n+27e</v>
      </c>
      <c r="K54" t="str">
        <f>(2*B54+H54)&amp;"u+"&amp;(B54+2*H54)&amp;"d+"&amp;B54&amp;"e"</f>
        <v>85u+89d+27e</v>
      </c>
      <c r="L54">
        <f>B54*Constants!$B$11+(H54-B54)*Constants!$B$12</f>
        <v>250.26953125</v>
      </c>
      <c r="M54">
        <f>L54*Constants!$B$5</f>
        <v>2002.15625</v>
      </c>
      <c r="N54">
        <f>L54*7</f>
        <v>1751.88671875</v>
      </c>
      <c r="O54" t="str">
        <f>IF(B54&gt;Constants!$B$6-Constants!$B$5,"CONSTANT_FRONTIER_TAIL_CANDIDATE",IF(G54=0,"CONSTANT_STABLE_ANCHOR_LANE",IF(G54=Constants!$B$2/2,"CONSTANT_HALF_WRITE_LANE","CONSTANT_BOUND_LADDER_LANE")))</f>
        <v>CONSTANT_HALF_WRITE_LANE</v>
      </c>
    </row>
    <row r="55">
      <c r="A55">
        <f>ROW()-1</f>
        <v>54</v>
      </c>
      <c r="B55">
        <f>INT((A55-1)/2)+1</f>
        <v>27</v>
      </c>
      <c r="C55" t="str">
        <f>IF(MOD(A55-1,2)=0,"FLOOR_PRIMARY","CEIL_NEIGHBOR")</f>
        <v>CEIL_NEIGHBOR</v>
      </c>
      <c r="D55" t="str">
        <f>IF(C55="FLOOR_PRIMARY","yes",IF(G55&lt;&gt;0,"yes","no"))</f>
        <v>yes</v>
      </c>
      <c r="E55">
        <f>MAX(0,INT((B55-1)/Constants!$B$2))</f>
        <v>2</v>
      </c>
      <c r="F55">
        <f>INT(B55*E55/Constants!$B$2)</f>
        <v>4</v>
      </c>
      <c r="G55">
        <f>MOD(B55*E55,Constants!$B$2)</f>
        <v>6</v>
      </c>
      <c r="H55">
        <f>B55+F55+IF(C55="CEIL_NEIGHBOR",1,0)</f>
        <v>32</v>
      </c>
      <c r="I55">
        <f>B55+H55</f>
        <v>59</v>
      </c>
      <c r="J55" t="str">
        <f>B55&amp;"p+"&amp;H55&amp;"n+"&amp;B55&amp;"e"</f>
        <v>27p+32n+27e</v>
      </c>
      <c r="K55" t="str">
        <f>(2*B55+H55)&amp;"u+"&amp;(B55+2*H55)&amp;"d+"&amp;B55&amp;"e"</f>
        <v>86u+91d+27e</v>
      </c>
      <c r="L55">
        <f>B55*Constants!$B$11+(H55-B55)*Constants!$B$12</f>
        <v>250.28515625</v>
      </c>
      <c r="M55">
        <f>L55*Constants!$B$5</f>
        <v>2002.28125</v>
      </c>
      <c r="N55">
        <f>L55*7</f>
        <v>1751.99609375</v>
      </c>
      <c r="O55" t="str">
        <f>IF(B55&gt;Constants!$B$6-Constants!$B$5,"CONSTANT_FRONTIER_TAIL_CANDIDATE",IF(G55=0,"CONSTANT_STABLE_ANCHOR_LANE",IF(G55=Constants!$B$2/2,"CONSTANT_HALF_WRITE_LANE","CONSTANT_BOUND_LADDER_LANE")))</f>
        <v>CONSTANT_HALF_WRITE_LANE</v>
      </c>
    </row>
    <row r="56">
      <c r="A56">
        <f>ROW()-1</f>
        <v>55</v>
      </c>
      <c r="B56">
        <f>INT((A56-1)/2)+1</f>
        <v>28</v>
      </c>
      <c r="C56" t="str">
        <f>IF(MOD(A56-1,2)=0,"FLOOR_PRIMARY","CEIL_NEIGHBOR")</f>
        <v>FLOOR_PRIMARY</v>
      </c>
      <c r="D56" t="str">
        <f>IF(C56="FLOOR_PRIMARY","yes",IF(G56&lt;&gt;0,"yes","no"))</f>
        <v>yes</v>
      </c>
      <c r="E56">
        <f>MAX(0,INT((B56-1)/Constants!$B$2))</f>
        <v>2</v>
      </c>
      <c r="F56">
        <f>INT(B56*E56/Constants!$B$2)</f>
        <v>4</v>
      </c>
      <c r="G56">
        <f>MOD(B56*E56,Constants!$B$2)</f>
        <v>8</v>
      </c>
      <c r="H56">
        <f>B56+F56+IF(C56="CEIL_NEIGHBOR",1,0)</f>
        <v>32</v>
      </c>
      <c r="I56">
        <f>B56+H56</f>
        <v>60</v>
      </c>
      <c r="J56" t="str">
        <f>B56&amp;"p+"&amp;H56&amp;"n+"&amp;B56&amp;"e"</f>
        <v>28p+32n+28e</v>
      </c>
      <c r="K56" t="str">
        <f>(2*B56+H56)&amp;"u+"&amp;(B56+2*H56)&amp;"d+"&amp;B56&amp;"e"</f>
        <v>88u+92d+28e</v>
      </c>
      <c r="L56">
        <f>B56*Constants!$B$11+(H56-B56)*Constants!$B$12</f>
        <v>259.5364583333333333333333333333333333333333333333333333333333333333333333333333333333333333333333333</v>
      </c>
      <c r="M56">
        <f>L56*Constants!$B$5</f>
        <v>2076.291666666666666666666666666666666666666666666666666666666666666666666666666666666666666666666667</v>
      </c>
      <c r="N56">
        <f>L56*7</f>
        <v>1816.755208333333333333333333333333333333333333333333333333333333333333333333333333333333333333333333</v>
      </c>
      <c r="O56" t="str">
        <f>IF(B56&gt;Constants!$B$6-Constants!$B$5,"CONSTANT_FRONTIER_TAIL_CANDIDATE",IF(G56=0,"CONSTANT_STABLE_ANCHOR_LANE",IF(G56=Constants!$B$2/2,"CONSTANT_HALF_WRITE_LANE","CONSTANT_BOUND_LADDER_LANE")))</f>
        <v>CONSTANT_BOUND_LADDER_LANE</v>
      </c>
    </row>
    <row r="57">
      <c r="A57">
        <f>ROW()-1</f>
        <v>56</v>
      </c>
      <c r="B57">
        <f>INT((A57-1)/2)+1</f>
        <v>28</v>
      </c>
      <c r="C57" t="str">
        <f>IF(MOD(A57-1,2)=0,"FLOOR_PRIMARY","CEIL_NEIGHBOR")</f>
        <v>CEIL_NEIGHBOR</v>
      </c>
      <c r="D57" t="str">
        <f>IF(C57="FLOOR_PRIMARY","yes",IF(G57&lt;&gt;0,"yes","no"))</f>
        <v>yes</v>
      </c>
      <c r="E57">
        <f>MAX(0,INT((B57-1)/Constants!$B$2))</f>
        <v>2</v>
      </c>
      <c r="F57">
        <f>INT(B57*E57/Constants!$B$2)</f>
        <v>4</v>
      </c>
      <c r="G57">
        <f>MOD(B57*E57,Constants!$B$2)</f>
        <v>8</v>
      </c>
      <c r="H57">
        <f>B57+F57+IF(C57="CEIL_NEIGHBOR",1,0)</f>
        <v>33</v>
      </c>
      <c r="I57">
        <f>B57+H57</f>
        <v>61</v>
      </c>
      <c r="J57" t="str">
        <f>B57&amp;"p+"&amp;H57&amp;"n+"&amp;B57&amp;"e"</f>
        <v>28p+33n+28e</v>
      </c>
      <c r="K57" t="str">
        <f>(2*B57+H57)&amp;"u+"&amp;(B57+2*H57)&amp;"d+"&amp;B57&amp;"e"</f>
        <v>89u+94d+28e</v>
      </c>
      <c r="L57">
        <f>B57*Constants!$B$11+(H57-B57)*Constants!$B$12</f>
        <v>259.5520833333333333333333333333333333333333333333333333333333333333333333333333333333333333333333333</v>
      </c>
      <c r="M57">
        <f>L57*Constants!$B$5</f>
        <v>2076.416666666666666666666666666666666666666666666666666666666666666666666666666666666666666666666667</v>
      </c>
      <c r="N57">
        <f>L57*7</f>
        <v>1816.864583333333333333333333333333333333333333333333333333333333333333333333333333333333333333333333</v>
      </c>
      <c r="O57" t="str">
        <f>IF(B57&gt;Constants!$B$6-Constants!$B$5,"CONSTANT_FRONTIER_TAIL_CANDIDATE",IF(G57=0,"CONSTANT_STABLE_ANCHOR_LANE",IF(G57=Constants!$B$2/2,"CONSTANT_HALF_WRITE_LANE","CONSTANT_BOUND_LADDER_LANE")))</f>
        <v>CONSTANT_BOUND_LADDER_LANE</v>
      </c>
    </row>
    <row r="58">
      <c r="A58">
        <f>ROW()-1</f>
        <v>57</v>
      </c>
      <c r="B58">
        <f>INT((A58-1)/2)+1</f>
        <v>29</v>
      </c>
      <c r="C58" t="str">
        <f>IF(MOD(A58-1,2)=0,"FLOOR_PRIMARY","CEIL_NEIGHBOR")</f>
        <v>FLOOR_PRIMARY</v>
      </c>
      <c r="D58" t="str">
        <f>IF(C58="FLOOR_PRIMARY","yes",IF(G58&lt;&gt;0,"yes","no"))</f>
        <v>yes</v>
      </c>
      <c r="E58">
        <f>MAX(0,INT((B58-1)/Constants!$B$2))</f>
        <v>2</v>
      </c>
      <c r="F58">
        <f>INT(B58*E58/Constants!$B$2)</f>
        <v>4</v>
      </c>
      <c r="G58">
        <f>MOD(B58*E58,Constants!$B$2)</f>
        <v>10</v>
      </c>
      <c r="H58">
        <f>B58+F58+IF(C58="CEIL_NEIGHBOR",1,0)</f>
        <v>33</v>
      </c>
      <c r="I58">
        <f>B58+H58</f>
        <v>62</v>
      </c>
      <c r="J58" t="str">
        <f>B58&amp;"p+"&amp;H58&amp;"n+"&amp;B58&amp;"e"</f>
        <v>29p+33n+29e</v>
      </c>
      <c r="K58" t="str">
        <f>(2*B58+H58)&amp;"u+"&amp;(B58+2*H58)&amp;"d+"&amp;B58&amp;"e"</f>
        <v>91u+95d+29e</v>
      </c>
      <c r="L58">
        <f>B58*Constants!$B$11+(H58-B58)*Constants!$B$12</f>
        <v>268.8033854166666666666666666666666666666666666666666666666666666666666666666666666666666666666666667</v>
      </c>
      <c r="M58">
        <f>L58*Constants!$B$5</f>
        <v>2150.427083333333333333333333333333333333333333333333333333333333333333333333333333333333333333333333</v>
      </c>
      <c r="N58">
        <f>L58*7</f>
        <v>1881.623697916666666666666666666666666666666666666666666666666666666666666666666666666666666666666667</v>
      </c>
      <c r="O58" t="str">
        <f>IF(B58&gt;Constants!$B$6-Constants!$B$5,"CONSTANT_FRONTIER_TAIL_CANDIDATE",IF(G58=0,"CONSTANT_STABLE_ANCHOR_LANE",IF(G58=Constants!$B$2/2,"CONSTANT_HALF_WRITE_LANE","CONSTANT_BOUND_LADDER_LANE")))</f>
        <v>CONSTANT_BOUND_LADDER_LANE</v>
      </c>
    </row>
    <row r="59">
      <c r="A59">
        <f>ROW()-1</f>
        <v>58</v>
      </c>
      <c r="B59">
        <f>INT((A59-1)/2)+1</f>
        <v>29</v>
      </c>
      <c r="C59" t="str">
        <f>IF(MOD(A59-1,2)=0,"FLOOR_PRIMARY","CEIL_NEIGHBOR")</f>
        <v>CEIL_NEIGHBOR</v>
      </c>
      <c r="D59" t="str">
        <f>IF(C59="FLOOR_PRIMARY","yes",IF(G59&lt;&gt;0,"yes","no"))</f>
        <v>yes</v>
      </c>
      <c r="E59">
        <f>MAX(0,INT((B59-1)/Constants!$B$2))</f>
        <v>2</v>
      </c>
      <c r="F59">
        <f>INT(B59*E59/Constants!$B$2)</f>
        <v>4</v>
      </c>
      <c r="G59">
        <f>MOD(B59*E59,Constants!$B$2)</f>
        <v>10</v>
      </c>
      <c r="H59">
        <f>B59+F59+IF(C59="CEIL_NEIGHBOR",1,0)</f>
        <v>34</v>
      </c>
      <c r="I59">
        <f>B59+H59</f>
        <v>63</v>
      </c>
      <c r="J59" t="str">
        <f>B59&amp;"p+"&amp;H59&amp;"n+"&amp;B59&amp;"e"</f>
        <v>29p+34n+29e</v>
      </c>
      <c r="K59" t="str">
        <f>(2*B59+H59)&amp;"u+"&amp;(B59+2*H59)&amp;"d+"&amp;B59&amp;"e"</f>
        <v>92u+97d+29e</v>
      </c>
      <c r="L59">
        <f>B59*Constants!$B$11+(H59-B59)*Constants!$B$12</f>
        <v>268.8190104166666666666666666666666666666666666666666666666666666666666666666666666666666666666666667</v>
      </c>
      <c r="M59">
        <f>L59*Constants!$B$5</f>
        <v>2150.552083333333333333333333333333333333333333333333333333333333333333333333333333333333333333333333</v>
      </c>
      <c r="N59">
        <f>L59*7</f>
        <v>1881.733072916666666666666666666666666666666666666666666666666666666666666666666666666666666666666667</v>
      </c>
      <c r="O59" t="str">
        <f>IF(B59&gt;Constants!$B$6-Constants!$B$5,"CONSTANT_FRONTIER_TAIL_CANDIDATE",IF(G59=0,"CONSTANT_STABLE_ANCHOR_LANE",IF(G59=Constants!$B$2/2,"CONSTANT_HALF_WRITE_LANE","CONSTANT_BOUND_LADDER_LANE")))</f>
        <v>CONSTANT_BOUND_LADDER_LANE</v>
      </c>
    </row>
    <row r="60">
      <c r="A60">
        <f>ROW()-1</f>
        <v>59</v>
      </c>
      <c r="B60">
        <f>INT((A60-1)/2)+1</f>
        <v>30</v>
      </c>
      <c r="C60" t="str">
        <f>IF(MOD(A60-1,2)=0,"FLOOR_PRIMARY","CEIL_NEIGHBOR")</f>
        <v>FLOOR_PRIMARY</v>
      </c>
      <c r="D60" t="str">
        <f>IF(C60="FLOOR_PRIMARY","yes",IF(G60&lt;&gt;0,"yes","no"))</f>
        <v>yes</v>
      </c>
      <c r="E60">
        <f>MAX(0,INT((B60-1)/Constants!$B$2))</f>
        <v>2</v>
      </c>
      <c r="F60">
        <f>INT(B60*E60/Constants!$B$2)</f>
        <v>5</v>
      </c>
      <c r="G60">
        <f>MOD(B60*E60,Constants!$B$2)</f>
        <v>0</v>
      </c>
      <c r="H60">
        <f>B60+F60+IF(C60="CEIL_NEIGHBOR",1,0)</f>
        <v>35</v>
      </c>
      <c r="I60">
        <f>B60+H60</f>
        <v>65</v>
      </c>
      <c r="J60" t="str">
        <f>B60&amp;"p+"&amp;H60&amp;"n+"&amp;B60&amp;"e"</f>
        <v>30p+35n+30e</v>
      </c>
      <c r="K60" t="str">
        <f>(2*B60+H60)&amp;"u+"&amp;(B60+2*H60)&amp;"d+"&amp;B60&amp;"e"</f>
        <v>95u+100d+30e</v>
      </c>
      <c r="L60">
        <f>B60*Constants!$B$11+(H60-B60)*Constants!$B$12</f>
        <v>278.0859375</v>
      </c>
      <c r="M60">
        <f>L60*Constants!$B$5</f>
        <v>2224.6875</v>
      </c>
      <c r="N60">
        <f>L60*7</f>
        <v>1946.6015625</v>
      </c>
      <c r="O60" t="str">
        <f>IF(B60&gt;Constants!$B$6-Constants!$B$5,"CONSTANT_FRONTIER_TAIL_CANDIDATE",IF(G60=0,"CONSTANT_STABLE_ANCHOR_LANE",IF(G60=Constants!$B$2/2,"CONSTANT_HALF_WRITE_LANE","CONSTANT_BOUND_LADDER_LANE")))</f>
        <v>CONSTANT_STABLE_ANCHOR_LANE</v>
      </c>
    </row>
    <row r="61">
      <c r="A61">
        <f>ROW()-1</f>
        <v>60</v>
      </c>
      <c r="B61">
        <f>INT((A61-1)/2)+1</f>
        <v>30</v>
      </c>
      <c r="C61" t="str">
        <f>IF(MOD(A61-1,2)=0,"FLOOR_PRIMARY","CEIL_NEIGHBOR")</f>
        <v>CEIL_NEIGHBOR</v>
      </c>
      <c r="D61" t="str">
        <f>IF(C61="FLOOR_PRIMARY","yes",IF(G61&lt;&gt;0,"yes","no"))</f>
        <v>no</v>
      </c>
      <c r="E61">
        <f>MAX(0,INT((B61-1)/Constants!$B$2))</f>
        <v>2</v>
      </c>
      <c r="F61">
        <f>INT(B61*E61/Constants!$B$2)</f>
        <v>5</v>
      </c>
      <c r="G61">
        <f>MOD(B61*E61,Constants!$B$2)</f>
        <v>0</v>
      </c>
      <c r="H61">
        <f>B61+F61+IF(C61="CEIL_NEIGHBOR",1,0)</f>
        <v>36</v>
      </c>
      <c r="I61">
        <f>B61+H61</f>
        <v>66</v>
      </c>
      <c r="J61" t="str">
        <f>B61&amp;"p+"&amp;H61&amp;"n+"&amp;B61&amp;"e"</f>
        <v>30p+36n+30e</v>
      </c>
      <c r="K61" t="str">
        <f>(2*B61+H61)&amp;"u+"&amp;(B61+2*H61)&amp;"d+"&amp;B61&amp;"e"</f>
        <v>96u+102d+30e</v>
      </c>
      <c r="L61">
        <f>B61*Constants!$B$11+(H61-B61)*Constants!$B$12</f>
        <v>278.1015625</v>
      </c>
      <c r="M61">
        <f>L61*Constants!$B$5</f>
        <v>2224.8125</v>
      </c>
      <c r="N61">
        <f>L61*7</f>
        <v>1946.7109375</v>
      </c>
      <c r="O61" t="str">
        <f>IF(B61&gt;Constants!$B$6-Constants!$B$5,"CONSTANT_FRONTIER_TAIL_CANDIDATE",IF(G61=0,"CONSTANT_STABLE_ANCHOR_LANE",IF(G61=Constants!$B$2/2,"CONSTANT_HALF_WRITE_LANE","CONSTANT_BOUND_LADDER_LANE")))</f>
        <v>CONSTANT_BOUND_LADDER_LANE</v>
      </c>
    </row>
    <row r="62">
      <c r="A62">
        <f>ROW()-1</f>
        <v>61</v>
      </c>
      <c r="B62">
        <f>INT((A62-1)/2)+1</f>
        <v>31</v>
      </c>
      <c r="C62" t="str">
        <f>IF(MOD(A62-1,2)=0,"FLOOR_PRIMARY","CEIL_NEIGHBOR")</f>
        <v>FLOOR_PRIMARY</v>
      </c>
      <c r="D62" t="str">
        <f>IF(C62="FLOOR_PRIMARY","yes",IF(G62&lt;&gt;0,"yes","no"))</f>
        <v>yes</v>
      </c>
      <c r="E62">
        <f>MAX(0,INT((B62-1)/Constants!$B$2))</f>
        <v>2</v>
      </c>
      <c r="F62">
        <f>INT(B62*E62/Constants!$B$2)</f>
        <v>5</v>
      </c>
      <c r="G62">
        <f>MOD(B62*E62,Constants!$B$2)</f>
        <v>2</v>
      </c>
      <c r="H62">
        <f>B62+F62+IF(C62="CEIL_NEIGHBOR",1,0)</f>
        <v>36</v>
      </c>
      <c r="I62">
        <f>B62+H62</f>
        <v>67</v>
      </c>
      <c r="J62" t="str">
        <f>B62&amp;"p+"&amp;H62&amp;"n+"&amp;B62&amp;"e"</f>
        <v>31p+36n+31e</v>
      </c>
      <c r="K62" t="str">
        <f>(2*B62+H62)&amp;"u+"&amp;(B62+2*H62)&amp;"d+"&amp;B62&amp;"e"</f>
        <v>98u+103d+31e</v>
      </c>
      <c r="L62">
        <f>B62*Constants!$B$11+(H62-B62)*Constants!$B$12</f>
        <v>287.3528645833333333333333333333333333333333333333333333333333333333333333333333333333333333333333333</v>
      </c>
      <c r="M62">
        <f>L62*Constants!$B$5</f>
        <v>2298.822916666666666666666666666666666666666666666666666666666666666666666666666666666666666666666667</v>
      </c>
      <c r="N62">
        <f>L62*7</f>
        <v>2011.470052083333333333333333333333333333333333333333333333333333333333333333333333333333333333333333</v>
      </c>
      <c r="O62" t="str">
        <f>IF(B62&gt;Constants!$B$6-Constants!$B$5,"CONSTANT_FRONTIER_TAIL_CANDIDATE",IF(G62=0,"CONSTANT_STABLE_ANCHOR_LANE",IF(G62=Constants!$B$2/2,"CONSTANT_HALF_WRITE_LANE","CONSTANT_BOUND_LADDER_LANE")))</f>
        <v>CONSTANT_BOUND_LADDER_LANE</v>
      </c>
    </row>
    <row r="63">
      <c r="A63">
        <f>ROW()-1</f>
        <v>62</v>
      </c>
      <c r="B63">
        <f>INT((A63-1)/2)+1</f>
        <v>31</v>
      </c>
      <c r="C63" t="str">
        <f>IF(MOD(A63-1,2)=0,"FLOOR_PRIMARY","CEIL_NEIGHBOR")</f>
        <v>CEIL_NEIGHBOR</v>
      </c>
      <c r="D63" t="str">
        <f>IF(C63="FLOOR_PRIMARY","yes",IF(G63&lt;&gt;0,"yes","no"))</f>
        <v>yes</v>
      </c>
      <c r="E63">
        <f>MAX(0,INT((B63-1)/Constants!$B$2))</f>
        <v>2</v>
      </c>
      <c r="F63">
        <f>INT(B63*E63/Constants!$B$2)</f>
        <v>5</v>
      </c>
      <c r="G63">
        <f>MOD(B63*E63,Constants!$B$2)</f>
        <v>2</v>
      </c>
      <c r="H63">
        <f>B63+F63+IF(C63="CEIL_NEIGHBOR",1,0)</f>
        <v>37</v>
      </c>
      <c r="I63">
        <f>B63+H63</f>
        <v>68</v>
      </c>
      <c r="J63" t="str">
        <f>B63&amp;"p+"&amp;H63&amp;"n+"&amp;B63&amp;"e"</f>
        <v>31p+37n+31e</v>
      </c>
      <c r="K63" t="str">
        <f>(2*B63+H63)&amp;"u+"&amp;(B63+2*H63)&amp;"d+"&amp;B63&amp;"e"</f>
        <v>99u+105d+31e</v>
      </c>
      <c r="L63">
        <f>B63*Constants!$B$11+(H63-B63)*Constants!$B$12</f>
        <v>287.3684895833333333333333333333333333333333333333333333333333333333333333333333333333333333333333333</v>
      </c>
      <c r="M63">
        <f>L63*Constants!$B$5</f>
        <v>2298.947916666666666666666666666666666666666666666666666666666666666666666666666666666666666666666667</v>
      </c>
      <c r="N63">
        <f>L63*7</f>
        <v>2011.579427083333333333333333333333333333333333333333333333333333333333333333333333333333333333333333</v>
      </c>
      <c r="O63" t="str">
        <f>IF(B63&gt;Constants!$B$6-Constants!$B$5,"CONSTANT_FRONTIER_TAIL_CANDIDATE",IF(G63=0,"CONSTANT_STABLE_ANCHOR_LANE",IF(G63=Constants!$B$2/2,"CONSTANT_HALF_WRITE_LANE","CONSTANT_BOUND_LADDER_LANE")))</f>
        <v>CONSTANT_BOUND_LADDER_LANE</v>
      </c>
    </row>
    <row r="64">
      <c r="A64">
        <f>ROW()-1</f>
        <v>63</v>
      </c>
      <c r="B64">
        <f>INT((A64-1)/2)+1</f>
        <v>32</v>
      </c>
      <c r="C64" t="str">
        <f>IF(MOD(A64-1,2)=0,"FLOOR_PRIMARY","CEIL_NEIGHBOR")</f>
        <v>FLOOR_PRIMARY</v>
      </c>
      <c r="D64" t="str">
        <f>IF(C64="FLOOR_PRIMARY","yes",IF(G64&lt;&gt;0,"yes","no"))</f>
        <v>yes</v>
      </c>
      <c r="E64">
        <f>MAX(0,INT((B64-1)/Constants!$B$2))</f>
        <v>2</v>
      </c>
      <c r="F64">
        <f>INT(B64*E64/Constants!$B$2)</f>
        <v>5</v>
      </c>
      <c r="G64">
        <f>MOD(B64*E64,Constants!$B$2)</f>
        <v>4</v>
      </c>
      <c r="H64">
        <f>B64+F64+IF(C64="CEIL_NEIGHBOR",1,0)</f>
        <v>37</v>
      </c>
      <c r="I64">
        <f>B64+H64</f>
        <v>69</v>
      </c>
      <c r="J64" t="str">
        <f>B64&amp;"p+"&amp;H64&amp;"n+"&amp;B64&amp;"e"</f>
        <v>32p+37n+32e</v>
      </c>
      <c r="K64" t="str">
        <f>(2*B64+H64)&amp;"u+"&amp;(B64+2*H64)&amp;"d+"&amp;B64&amp;"e"</f>
        <v>101u+106d+32e</v>
      </c>
      <c r="L64">
        <f>B64*Constants!$B$11+(H64-B64)*Constants!$B$12</f>
        <v>296.6197916666666666666666666666666666666666666666666666666666666666666666666666666666666666666666667</v>
      </c>
      <c r="M64">
        <f>L64*Constants!$B$5</f>
        <v>2372.958333333333333333333333333333333333333333333333333333333333333333333333333333333333333333333333</v>
      </c>
      <c r="N64">
        <f>L64*7</f>
        <v>2076.338541666666666666666666666666666666666666666666666666666666666666666666666666666666666666666667</v>
      </c>
      <c r="O64" t="str">
        <f>IF(B64&gt;Constants!$B$6-Constants!$B$5,"CONSTANT_FRONTIER_TAIL_CANDIDATE",IF(G64=0,"CONSTANT_STABLE_ANCHOR_LANE",IF(G64=Constants!$B$2/2,"CONSTANT_HALF_WRITE_LANE","CONSTANT_BOUND_LADDER_LANE")))</f>
        <v>CONSTANT_BOUND_LADDER_LANE</v>
      </c>
    </row>
    <row r="65">
      <c r="A65">
        <f>ROW()-1</f>
        <v>64</v>
      </c>
      <c r="B65">
        <f>INT((A65-1)/2)+1</f>
        <v>32</v>
      </c>
      <c r="C65" t="str">
        <f>IF(MOD(A65-1,2)=0,"FLOOR_PRIMARY","CEIL_NEIGHBOR")</f>
        <v>CEIL_NEIGHBOR</v>
      </c>
      <c r="D65" t="str">
        <f>IF(C65="FLOOR_PRIMARY","yes",IF(G65&lt;&gt;0,"yes","no"))</f>
        <v>yes</v>
      </c>
      <c r="E65">
        <f>MAX(0,INT((B65-1)/Constants!$B$2))</f>
        <v>2</v>
      </c>
      <c r="F65">
        <f>INT(B65*E65/Constants!$B$2)</f>
        <v>5</v>
      </c>
      <c r="G65">
        <f>MOD(B65*E65,Constants!$B$2)</f>
        <v>4</v>
      </c>
      <c r="H65">
        <f>B65+F65+IF(C65="CEIL_NEIGHBOR",1,0)</f>
        <v>38</v>
      </c>
      <c r="I65">
        <f>B65+H65</f>
        <v>70</v>
      </c>
      <c r="J65" t="str">
        <f>B65&amp;"p+"&amp;H65&amp;"n+"&amp;B65&amp;"e"</f>
        <v>32p+38n+32e</v>
      </c>
      <c r="K65" t="str">
        <f>(2*B65+H65)&amp;"u+"&amp;(B65+2*H65)&amp;"d+"&amp;B65&amp;"e"</f>
        <v>102u+108d+32e</v>
      </c>
      <c r="L65">
        <f>B65*Constants!$B$11+(H65-B65)*Constants!$B$12</f>
        <v>296.6354166666666666666666666666666666666666666666666666666666666666666666666666666666666666666666667</v>
      </c>
      <c r="M65">
        <f>L65*Constants!$B$5</f>
        <v>2373.083333333333333333333333333333333333333333333333333333333333333333333333333333333333333333333333</v>
      </c>
      <c r="N65">
        <f>L65*7</f>
        <v>2076.447916666666666666666666666666666666666666666666666666666666666666666666666666666666666666666667</v>
      </c>
      <c r="O65" t="str">
        <f>IF(B65&gt;Constants!$B$6-Constants!$B$5,"CONSTANT_FRONTIER_TAIL_CANDIDATE",IF(G65=0,"CONSTANT_STABLE_ANCHOR_LANE",IF(G65=Constants!$B$2/2,"CONSTANT_HALF_WRITE_LANE","CONSTANT_BOUND_LADDER_LANE")))</f>
        <v>CONSTANT_BOUND_LADDER_LANE</v>
      </c>
    </row>
    <row r="66">
      <c r="A66">
        <f>ROW()-1</f>
        <v>65</v>
      </c>
      <c r="B66">
        <f>INT((A66-1)/2)+1</f>
        <v>33</v>
      </c>
      <c r="C66" t="str">
        <f>IF(MOD(A66-1,2)=0,"FLOOR_PRIMARY","CEIL_NEIGHBOR")</f>
        <v>FLOOR_PRIMARY</v>
      </c>
      <c r="D66" t="str">
        <f>IF(C66="FLOOR_PRIMARY","yes",IF(G66&lt;&gt;0,"yes","no"))</f>
        <v>yes</v>
      </c>
      <c r="E66">
        <f>MAX(0,INT((B66-1)/Constants!$B$2))</f>
        <v>2</v>
      </c>
      <c r="F66">
        <f>INT(B66*E66/Constants!$B$2)</f>
        <v>5</v>
      </c>
      <c r="G66">
        <f>MOD(B66*E66,Constants!$B$2)</f>
        <v>6</v>
      </c>
      <c r="H66">
        <f>B66+F66+IF(C66="CEIL_NEIGHBOR",1,0)</f>
        <v>38</v>
      </c>
      <c r="I66">
        <f>B66+H66</f>
        <v>71</v>
      </c>
      <c r="J66" t="str">
        <f>B66&amp;"p+"&amp;H66&amp;"n+"&amp;B66&amp;"e"</f>
        <v>33p+38n+33e</v>
      </c>
      <c r="K66" t="str">
        <f>(2*B66+H66)&amp;"u+"&amp;(B66+2*H66)&amp;"d+"&amp;B66&amp;"e"</f>
        <v>104u+109d+33e</v>
      </c>
      <c r="L66">
        <f>B66*Constants!$B$11+(H66-B66)*Constants!$B$12</f>
        <v>305.88671875</v>
      </c>
      <c r="M66">
        <f>L66*Constants!$B$5</f>
        <v>2447.09375</v>
      </c>
      <c r="N66">
        <f>L66*7</f>
        <v>2141.20703125</v>
      </c>
      <c r="O66" t="str">
        <f>IF(B66&gt;Constants!$B$6-Constants!$B$5,"CONSTANT_FRONTIER_TAIL_CANDIDATE",IF(G66=0,"CONSTANT_STABLE_ANCHOR_LANE",IF(G66=Constants!$B$2/2,"CONSTANT_HALF_WRITE_LANE","CONSTANT_BOUND_LADDER_LANE")))</f>
        <v>CONSTANT_HALF_WRITE_LANE</v>
      </c>
    </row>
    <row r="67">
      <c r="A67">
        <f>ROW()-1</f>
        <v>66</v>
      </c>
      <c r="B67">
        <f>INT((A67-1)/2)+1</f>
        <v>33</v>
      </c>
      <c r="C67" t="str">
        <f>IF(MOD(A67-1,2)=0,"FLOOR_PRIMARY","CEIL_NEIGHBOR")</f>
        <v>CEIL_NEIGHBOR</v>
      </c>
      <c r="D67" t="str">
        <f>IF(C67="FLOOR_PRIMARY","yes",IF(G67&lt;&gt;0,"yes","no"))</f>
        <v>yes</v>
      </c>
      <c r="E67">
        <f>MAX(0,INT((B67-1)/Constants!$B$2))</f>
        <v>2</v>
      </c>
      <c r="F67">
        <f>INT(B67*E67/Constants!$B$2)</f>
        <v>5</v>
      </c>
      <c r="G67">
        <f>MOD(B67*E67,Constants!$B$2)</f>
        <v>6</v>
      </c>
      <c r="H67">
        <f>B67+F67+IF(C67="CEIL_NEIGHBOR",1,0)</f>
        <v>39</v>
      </c>
      <c r="I67">
        <f>B67+H67</f>
        <v>72</v>
      </c>
      <c r="J67" t="str">
        <f>B67&amp;"p+"&amp;H67&amp;"n+"&amp;B67&amp;"e"</f>
        <v>33p+39n+33e</v>
      </c>
      <c r="K67" t="str">
        <f>(2*B67+H67)&amp;"u+"&amp;(B67+2*H67)&amp;"d+"&amp;B67&amp;"e"</f>
        <v>105u+111d+33e</v>
      </c>
      <c r="L67">
        <f>B67*Constants!$B$11+(H67-B67)*Constants!$B$12</f>
        <v>305.90234375</v>
      </c>
      <c r="M67">
        <f>L67*Constants!$B$5</f>
        <v>2447.21875</v>
      </c>
      <c r="N67">
        <f>L67*7</f>
        <v>2141.31640625</v>
      </c>
      <c r="O67" t="str">
        <f>IF(B67&gt;Constants!$B$6-Constants!$B$5,"CONSTANT_FRONTIER_TAIL_CANDIDATE",IF(G67=0,"CONSTANT_STABLE_ANCHOR_LANE",IF(G67=Constants!$B$2/2,"CONSTANT_HALF_WRITE_LANE","CONSTANT_BOUND_LADDER_LANE")))</f>
        <v>CONSTANT_HALF_WRITE_LANE</v>
      </c>
    </row>
    <row r="68">
      <c r="A68">
        <f>ROW()-1</f>
        <v>67</v>
      </c>
      <c r="B68">
        <f>INT((A68-1)/2)+1</f>
        <v>34</v>
      </c>
      <c r="C68" t="str">
        <f>IF(MOD(A68-1,2)=0,"FLOOR_PRIMARY","CEIL_NEIGHBOR")</f>
        <v>FLOOR_PRIMARY</v>
      </c>
      <c r="D68" t="str">
        <f>IF(C68="FLOOR_PRIMARY","yes",IF(G68&lt;&gt;0,"yes","no"))</f>
        <v>yes</v>
      </c>
      <c r="E68">
        <f>MAX(0,INT((B68-1)/Constants!$B$2))</f>
        <v>2</v>
      </c>
      <c r="F68">
        <f>INT(B68*E68/Constants!$B$2)</f>
        <v>5</v>
      </c>
      <c r="G68">
        <f>MOD(B68*E68,Constants!$B$2)</f>
        <v>8</v>
      </c>
      <c r="H68">
        <f>B68+F68+IF(C68="CEIL_NEIGHBOR",1,0)</f>
        <v>39</v>
      </c>
      <c r="I68">
        <f>B68+H68</f>
        <v>73</v>
      </c>
      <c r="J68" t="str">
        <f>B68&amp;"p+"&amp;H68&amp;"n+"&amp;B68&amp;"e"</f>
        <v>34p+39n+34e</v>
      </c>
      <c r="K68" t="str">
        <f>(2*B68+H68)&amp;"u+"&amp;(B68+2*H68)&amp;"d+"&amp;B68&amp;"e"</f>
        <v>107u+112d+34e</v>
      </c>
      <c r="L68">
        <f>B68*Constants!$B$11+(H68-B68)*Constants!$B$12</f>
        <v>315.1536458333333333333333333333333333333333333333333333333333333333333333333333333333333333333333333</v>
      </c>
      <c r="M68">
        <f>L68*Constants!$B$5</f>
        <v>2521.229166666666666666666666666666666666666666666666666666666666666666666666666666666666666666666667</v>
      </c>
      <c r="N68">
        <f>L68*7</f>
        <v>2206.075520833333333333333333333333333333333333333333333333333333333333333333333333333333333333333333</v>
      </c>
      <c r="O68" t="str">
        <f>IF(B68&gt;Constants!$B$6-Constants!$B$5,"CONSTANT_FRONTIER_TAIL_CANDIDATE",IF(G68=0,"CONSTANT_STABLE_ANCHOR_LANE",IF(G68=Constants!$B$2/2,"CONSTANT_HALF_WRITE_LANE","CONSTANT_BOUND_LADDER_LANE")))</f>
        <v>CONSTANT_BOUND_LADDER_LANE</v>
      </c>
    </row>
    <row r="69">
      <c r="A69">
        <f>ROW()-1</f>
        <v>68</v>
      </c>
      <c r="B69">
        <f>INT((A69-1)/2)+1</f>
        <v>34</v>
      </c>
      <c r="C69" t="str">
        <f>IF(MOD(A69-1,2)=0,"FLOOR_PRIMARY","CEIL_NEIGHBOR")</f>
        <v>CEIL_NEIGHBOR</v>
      </c>
      <c r="D69" t="str">
        <f>IF(C69="FLOOR_PRIMARY","yes",IF(G69&lt;&gt;0,"yes","no"))</f>
        <v>yes</v>
      </c>
      <c r="E69">
        <f>MAX(0,INT((B69-1)/Constants!$B$2))</f>
        <v>2</v>
      </c>
      <c r="F69">
        <f>INT(B69*E69/Constants!$B$2)</f>
        <v>5</v>
      </c>
      <c r="G69">
        <f>MOD(B69*E69,Constants!$B$2)</f>
        <v>8</v>
      </c>
      <c r="H69">
        <f>B69+F69+IF(C69="CEIL_NEIGHBOR",1,0)</f>
        <v>40</v>
      </c>
      <c r="I69">
        <f>B69+H69</f>
        <v>74</v>
      </c>
      <c r="J69" t="str">
        <f>B69&amp;"p+"&amp;H69&amp;"n+"&amp;B69&amp;"e"</f>
        <v>34p+40n+34e</v>
      </c>
      <c r="K69" t="str">
        <f>(2*B69+H69)&amp;"u+"&amp;(B69+2*H69)&amp;"d+"&amp;B69&amp;"e"</f>
        <v>108u+114d+34e</v>
      </c>
      <c r="L69">
        <f>B69*Constants!$B$11+(H69-B69)*Constants!$B$12</f>
        <v>315.1692708333333333333333333333333333333333333333333333333333333333333333333333333333333333333333333</v>
      </c>
      <c r="M69">
        <f>L69*Constants!$B$5</f>
        <v>2521.354166666666666666666666666666666666666666666666666666666666666666666666666666666666666666666667</v>
      </c>
      <c r="N69">
        <f>L69*7</f>
        <v>2206.184895833333333333333333333333333333333333333333333333333333333333333333333333333333333333333333</v>
      </c>
      <c r="O69" t="str">
        <f>IF(B69&gt;Constants!$B$6-Constants!$B$5,"CONSTANT_FRONTIER_TAIL_CANDIDATE",IF(G69=0,"CONSTANT_STABLE_ANCHOR_LANE",IF(G69=Constants!$B$2/2,"CONSTANT_HALF_WRITE_LANE","CONSTANT_BOUND_LADDER_LANE")))</f>
        <v>CONSTANT_BOUND_LADDER_LANE</v>
      </c>
    </row>
    <row r="70">
      <c r="A70">
        <f>ROW()-1</f>
        <v>69</v>
      </c>
      <c r="B70">
        <f>INT((A70-1)/2)+1</f>
        <v>35</v>
      </c>
      <c r="C70" t="str">
        <f>IF(MOD(A70-1,2)=0,"FLOOR_PRIMARY","CEIL_NEIGHBOR")</f>
        <v>FLOOR_PRIMARY</v>
      </c>
      <c r="D70" t="str">
        <f>IF(C70="FLOOR_PRIMARY","yes",IF(G70&lt;&gt;0,"yes","no"))</f>
        <v>yes</v>
      </c>
      <c r="E70">
        <f>MAX(0,INT((B70-1)/Constants!$B$2))</f>
        <v>2</v>
      </c>
      <c r="F70">
        <f>INT(B70*E70/Constants!$B$2)</f>
        <v>5</v>
      </c>
      <c r="G70">
        <f>MOD(B70*E70,Constants!$B$2)</f>
        <v>10</v>
      </c>
      <c r="H70">
        <f>B70+F70+IF(C70="CEIL_NEIGHBOR",1,0)</f>
        <v>40</v>
      </c>
      <c r="I70">
        <f>B70+H70</f>
        <v>75</v>
      </c>
      <c r="J70" t="str">
        <f>B70&amp;"p+"&amp;H70&amp;"n+"&amp;B70&amp;"e"</f>
        <v>35p+40n+35e</v>
      </c>
      <c r="K70" t="str">
        <f>(2*B70+H70)&amp;"u+"&amp;(B70+2*H70)&amp;"d+"&amp;B70&amp;"e"</f>
        <v>110u+115d+35e</v>
      </c>
      <c r="L70">
        <f>B70*Constants!$B$11+(H70-B70)*Constants!$B$12</f>
        <v>324.4205729166666666666666666666666666666666666666666666666666666666666666666666666666666666666666667</v>
      </c>
      <c r="M70">
        <f>L70*Constants!$B$5</f>
        <v>2595.364583333333333333333333333333333333333333333333333333333333333333333333333333333333333333333333</v>
      </c>
      <c r="N70">
        <f>L70*7</f>
        <v>2270.944010416666666666666666666666666666666666666666666666666666666666666666666666666666666666666667</v>
      </c>
      <c r="O70" t="str">
        <f>IF(B70&gt;Constants!$B$6-Constants!$B$5,"CONSTANT_FRONTIER_TAIL_CANDIDATE",IF(G70=0,"CONSTANT_STABLE_ANCHOR_LANE",IF(G70=Constants!$B$2/2,"CONSTANT_HALF_WRITE_LANE","CONSTANT_BOUND_LADDER_LANE")))</f>
        <v>CONSTANT_BOUND_LADDER_LANE</v>
      </c>
    </row>
    <row r="71">
      <c r="A71">
        <f>ROW()-1</f>
        <v>70</v>
      </c>
      <c r="B71">
        <f>INT((A71-1)/2)+1</f>
        <v>35</v>
      </c>
      <c r="C71" t="str">
        <f>IF(MOD(A71-1,2)=0,"FLOOR_PRIMARY","CEIL_NEIGHBOR")</f>
        <v>CEIL_NEIGHBOR</v>
      </c>
      <c r="D71" t="str">
        <f>IF(C71="FLOOR_PRIMARY","yes",IF(G71&lt;&gt;0,"yes","no"))</f>
        <v>yes</v>
      </c>
      <c r="E71">
        <f>MAX(0,INT((B71-1)/Constants!$B$2))</f>
        <v>2</v>
      </c>
      <c r="F71">
        <f>INT(B71*E71/Constants!$B$2)</f>
        <v>5</v>
      </c>
      <c r="G71">
        <f>MOD(B71*E71,Constants!$B$2)</f>
        <v>10</v>
      </c>
      <c r="H71">
        <f>B71+F71+IF(C71="CEIL_NEIGHBOR",1,0)</f>
        <v>41</v>
      </c>
      <c r="I71">
        <f>B71+H71</f>
        <v>76</v>
      </c>
      <c r="J71" t="str">
        <f>B71&amp;"p+"&amp;H71&amp;"n+"&amp;B71&amp;"e"</f>
        <v>35p+41n+35e</v>
      </c>
      <c r="K71" t="str">
        <f>(2*B71+H71)&amp;"u+"&amp;(B71+2*H71)&amp;"d+"&amp;B71&amp;"e"</f>
        <v>111u+117d+35e</v>
      </c>
      <c r="L71">
        <f>B71*Constants!$B$11+(H71-B71)*Constants!$B$12</f>
        <v>324.4361979166666666666666666666666666666666666666666666666666666666666666666666666666666666666666667</v>
      </c>
      <c r="M71">
        <f>L71*Constants!$B$5</f>
        <v>2595.489583333333333333333333333333333333333333333333333333333333333333333333333333333333333333333333</v>
      </c>
      <c r="N71">
        <f>L71*7</f>
        <v>2271.053385416666666666666666666666666666666666666666666666666666666666666666666666666666666666666667</v>
      </c>
      <c r="O71" t="str">
        <f>IF(B71&gt;Constants!$B$6-Constants!$B$5,"CONSTANT_FRONTIER_TAIL_CANDIDATE",IF(G71=0,"CONSTANT_STABLE_ANCHOR_LANE",IF(G71=Constants!$B$2/2,"CONSTANT_HALF_WRITE_LANE","CONSTANT_BOUND_LADDER_LANE")))</f>
        <v>CONSTANT_BOUND_LADDER_LANE</v>
      </c>
    </row>
    <row r="72">
      <c r="A72">
        <f>ROW()-1</f>
        <v>71</v>
      </c>
      <c r="B72">
        <f>INT((A72-1)/2)+1</f>
        <v>36</v>
      </c>
      <c r="C72" t="str">
        <f>IF(MOD(A72-1,2)=0,"FLOOR_PRIMARY","CEIL_NEIGHBOR")</f>
        <v>FLOOR_PRIMARY</v>
      </c>
      <c r="D72" t="str">
        <f>IF(C72="FLOOR_PRIMARY","yes",IF(G72&lt;&gt;0,"yes","no"))</f>
        <v>yes</v>
      </c>
      <c r="E72">
        <f>MAX(0,INT((B72-1)/Constants!$B$2))</f>
        <v>2</v>
      </c>
      <c r="F72">
        <f>INT(B72*E72/Constants!$B$2)</f>
        <v>6</v>
      </c>
      <c r="G72">
        <f>MOD(B72*E72,Constants!$B$2)</f>
        <v>0</v>
      </c>
      <c r="H72">
        <f>B72+F72+IF(C72="CEIL_NEIGHBOR",1,0)</f>
        <v>42</v>
      </c>
      <c r="I72">
        <f>B72+H72</f>
        <v>78</v>
      </c>
      <c r="J72" t="str">
        <f>B72&amp;"p+"&amp;H72&amp;"n+"&amp;B72&amp;"e"</f>
        <v>36p+42n+36e</v>
      </c>
      <c r="K72" t="str">
        <f>(2*B72+H72)&amp;"u+"&amp;(B72+2*H72)&amp;"d+"&amp;B72&amp;"e"</f>
        <v>114u+120d+36e</v>
      </c>
      <c r="L72">
        <f>B72*Constants!$B$11+(H72-B72)*Constants!$B$12</f>
        <v>333.703125</v>
      </c>
      <c r="M72">
        <f>L72*Constants!$B$5</f>
        <v>2669.625</v>
      </c>
      <c r="N72">
        <f>L72*7</f>
        <v>2335.921875</v>
      </c>
      <c r="O72" t="str">
        <f>IF(B72&gt;Constants!$B$6-Constants!$B$5,"CONSTANT_FRONTIER_TAIL_CANDIDATE",IF(G72=0,"CONSTANT_STABLE_ANCHOR_LANE",IF(G72=Constants!$B$2/2,"CONSTANT_HALF_WRITE_LANE","CONSTANT_BOUND_LADDER_LANE")))</f>
        <v>CONSTANT_STABLE_ANCHOR_LANE</v>
      </c>
    </row>
    <row r="73">
      <c r="A73">
        <f>ROW()-1</f>
        <v>72</v>
      </c>
      <c r="B73">
        <f>INT((A73-1)/2)+1</f>
        <v>36</v>
      </c>
      <c r="C73" t="str">
        <f>IF(MOD(A73-1,2)=0,"FLOOR_PRIMARY","CEIL_NEIGHBOR")</f>
        <v>CEIL_NEIGHBOR</v>
      </c>
      <c r="D73" t="str">
        <f>IF(C73="FLOOR_PRIMARY","yes",IF(G73&lt;&gt;0,"yes","no"))</f>
        <v>no</v>
      </c>
      <c r="E73">
        <f>MAX(0,INT((B73-1)/Constants!$B$2))</f>
        <v>2</v>
      </c>
      <c r="F73">
        <f>INT(B73*E73/Constants!$B$2)</f>
        <v>6</v>
      </c>
      <c r="G73">
        <f>MOD(B73*E73,Constants!$B$2)</f>
        <v>0</v>
      </c>
      <c r="H73">
        <f>B73+F73+IF(C73="CEIL_NEIGHBOR",1,0)</f>
        <v>43</v>
      </c>
      <c r="I73">
        <f>B73+H73</f>
        <v>79</v>
      </c>
      <c r="J73" t="str">
        <f>B73&amp;"p+"&amp;H73&amp;"n+"&amp;B73&amp;"e"</f>
        <v>36p+43n+36e</v>
      </c>
      <c r="K73" t="str">
        <f>(2*B73+H73)&amp;"u+"&amp;(B73+2*H73)&amp;"d+"&amp;B73&amp;"e"</f>
        <v>115u+122d+36e</v>
      </c>
      <c r="L73">
        <f>B73*Constants!$B$11+(H73-B73)*Constants!$B$12</f>
        <v>333.71875</v>
      </c>
      <c r="M73">
        <f>L73*Constants!$B$5</f>
        <v>2669.75</v>
      </c>
      <c r="N73">
        <f>L73*7</f>
        <v>2336.03125</v>
      </c>
      <c r="O73" t="str">
        <f>IF(B73&gt;Constants!$B$6-Constants!$B$5,"CONSTANT_FRONTIER_TAIL_CANDIDATE",IF(G73=0,"CONSTANT_STABLE_ANCHOR_LANE",IF(G73=Constants!$B$2/2,"CONSTANT_HALF_WRITE_LANE","CONSTANT_BOUND_LADDER_LANE")))</f>
        <v>CONSTANT_BOUND_LADDER_LANE</v>
      </c>
    </row>
    <row r="74">
      <c r="A74">
        <f>ROW()-1</f>
        <v>73</v>
      </c>
      <c r="B74">
        <f>INT((A74-1)/2)+1</f>
        <v>37</v>
      </c>
      <c r="C74" t="str">
        <f>IF(MOD(A74-1,2)=0,"FLOOR_PRIMARY","CEIL_NEIGHBOR")</f>
        <v>FLOOR_PRIMARY</v>
      </c>
      <c r="D74" t="str">
        <f>IF(C74="FLOOR_PRIMARY","yes",IF(G74&lt;&gt;0,"yes","no"))</f>
        <v>yes</v>
      </c>
      <c r="E74">
        <f>MAX(0,INT((B74-1)/Constants!$B$2))</f>
        <v>3</v>
      </c>
      <c r="F74">
        <f>INT(B74*E74/Constants!$B$2)</f>
        <v>9</v>
      </c>
      <c r="G74">
        <f>MOD(B74*E74,Constants!$B$2)</f>
        <v>3</v>
      </c>
      <c r="H74">
        <f>B74+F74+IF(C74="CEIL_NEIGHBOR",1,0)</f>
        <v>46</v>
      </c>
      <c r="I74">
        <f>B74+H74</f>
        <v>83</v>
      </c>
      <c r="J74" t="str">
        <f>B74&amp;"p+"&amp;H74&amp;"n+"&amp;B74&amp;"e"</f>
        <v>37p+46n+37e</v>
      </c>
      <c r="K74" t="str">
        <f>(2*B74+H74)&amp;"u+"&amp;(B74+2*H74)&amp;"d+"&amp;B74&amp;"e"</f>
        <v>120u+129d+37e</v>
      </c>
      <c r="L74">
        <f>B74*Constants!$B$11+(H74-B74)*Constants!$B$12</f>
        <v>343.0169270833333333333333333333333333333333333333333333333333333333333333333333333333333333333333333</v>
      </c>
      <c r="M74">
        <f>L74*Constants!$B$5</f>
        <v>2744.135416666666666666666666666666666666666666666666666666666666666666666666666666666666666666666667</v>
      </c>
      <c r="N74">
        <f>L74*7</f>
        <v>2401.118489583333333333333333333333333333333333333333333333333333333333333333333333333333333333333333</v>
      </c>
      <c r="O74" t="str">
        <f>IF(B74&gt;Constants!$B$6-Constants!$B$5,"CONSTANT_FRONTIER_TAIL_CANDIDATE",IF(G74=0,"CONSTANT_STABLE_ANCHOR_LANE",IF(G74=Constants!$B$2/2,"CONSTANT_HALF_WRITE_LANE","CONSTANT_BOUND_LADDER_LANE")))</f>
        <v>CONSTANT_BOUND_LADDER_LANE</v>
      </c>
    </row>
    <row r="75">
      <c r="A75">
        <f>ROW()-1</f>
        <v>74</v>
      </c>
      <c r="B75">
        <f>INT((A75-1)/2)+1</f>
        <v>37</v>
      </c>
      <c r="C75" t="str">
        <f>IF(MOD(A75-1,2)=0,"FLOOR_PRIMARY","CEIL_NEIGHBOR")</f>
        <v>CEIL_NEIGHBOR</v>
      </c>
      <c r="D75" t="str">
        <f>IF(C75="FLOOR_PRIMARY","yes",IF(G75&lt;&gt;0,"yes","no"))</f>
        <v>yes</v>
      </c>
      <c r="E75">
        <f>MAX(0,INT((B75-1)/Constants!$B$2))</f>
        <v>3</v>
      </c>
      <c r="F75">
        <f>INT(B75*E75/Constants!$B$2)</f>
        <v>9</v>
      </c>
      <c r="G75">
        <f>MOD(B75*E75,Constants!$B$2)</f>
        <v>3</v>
      </c>
      <c r="H75">
        <f>B75+F75+IF(C75="CEIL_NEIGHBOR",1,0)</f>
        <v>47</v>
      </c>
      <c r="I75">
        <f>B75+H75</f>
        <v>84</v>
      </c>
      <c r="J75" t="str">
        <f>B75&amp;"p+"&amp;H75&amp;"n+"&amp;B75&amp;"e"</f>
        <v>37p+47n+37e</v>
      </c>
      <c r="K75" t="str">
        <f>(2*B75+H75)&amp;"u+"&amp;(B75+2*H75)&amp;"d+"&amp;B75&amp;"e"</f>
        <v>121u+131d+37e</v>
      </c>
      <c r="L75">
        <f>B75*Constants!$B$11+(H75-B75)*Constants!$B$12</f>
        <v>343.0325520833333333333333333333333333333333333333333333333333333333333333333333333333333333333333333</v>
      </c>
      <c r="M75">
        <f>L75*Constants!$B$5</f>
        <v>2744.260416666666666666666666666666666666666666666666666666666666666666666666666666666666666666666667</v>
      </c>
      <c r="N75">
        <f>L75*7</f>
        <v>2401.227864583333333333333333333333333333333333333333333333333333333333333333333333333333333333333333</v>
      </c>
      <c r="O75" t="str">
        <f>IF(B75&gt;Constants!$B$6-Constants!$B$5,"CONSTANT_FRONTIER_TAIL_CANDIDATE",IF(G75=0,"CONSTANT_STABLE_ANCHOR_LANE",IF(G75=Constants!$B$2/2,"CONSTANT_HALF_WRITE_LANE","CONSTANT_BOUND_LADDER_LANE")))</f>
        <v>CONSTANT_BOUND_LADDER_LANE</v>
      </c>
    </row>
    <row r="76">
      <c r="A76">
        <f>ROW()-1</f>
        <v>75</v>
      </c>
      <c r="B76">
        <f>INT((A76-1)/2)+1</f>
        <v>38</v>
      </c>
      <c r="C76" t="str">
        <f>IF(MOD(A76-1,2)=0,"FLOOR_PRIMARY","CEIL_NEIGHBOR")</f>
        <v>FLOOR_PRIMARY</v>
      </c>
      <c r="D76" t="str">
        <f>IF(C76="FLOOR_PRIMARY","yes",IF(G76&lt;&gt;0,"yes","no"))</f>
        <v>yes</v>
      </c>
      <c r="E76">
        <f>MAX(0,INT((B76-1)/Constants!$B$2))</f>
        <v>3</v>
      </c>
      <c r="F76">
        <f>INT(B76*E76/Constants!$B$2)</f>
        <v>9</v>
      </c>
      <c r="G76">
        <f>MOD(B76*E76,Constants!$B$2)</f>
        <v>6</v>
      </c>
      <c r="H76">
        <f>B76+F76+IF(C76="CEIL_NEIGHBOR",1,0)</f>
        <v>47</v>
      </c>
      <c r="I76">
        <f>B76+H76</f>
        <v>85</v>
      </c>
      <c r="J76" t="str">
        <f>B76&amp;"p+"&amp;H76&amp;"n+"&amp;B76&amp;"e"</f>
        <v>38p+47n+38e</v>
      </c>
      <c r="K76" t="str">
        <f>(2*B76+H76)&amp;"u+"&amp;(B76+2*H76)&amp;"d+"&amp;B76&amp;"e"</f>
        <v>123u+132d+38e</v>
      </c>
      <c r="L76">
        <f>B76*Constants!$B$11+(H76-B76)*Constants!$B$12</f>
        <v>352.2838541666666666666666666666666666666666666666666666666666666666666666666666666666666666666666667</v>
      </c>
      <c r="M76">
        <f>L76*Constants!$B$5</f>
        <v>2818.270833333333333333333333333333333333333333333333333333333333333333333333333333333333333333333333</v>
      </c>
      <c r="N76">
        <f>L76*7</f>
        <v>2465.986979166666666666666666666666666666666666666666666666666666666666666666666666666666666666666667</v>
      </c>
      <c r="O76" t="str">
        <f>IF(B76&gt;Constants!$B$6-Constants!$B$5,"CONSTANT_FRONTIER_TAIL_CANDIDATE",IF(G76=0,"CONSTANT_STABLE_ANCHOR_LANE",IF(G76=Constants!$B$2/2,"CONSTANT_HALF_WRITE_LANE","CONSTANT_BOUND_LADDER_LANE")))</f>
        <v>CONSTANT_HALF_WRITE_LANE</v>
      </c>
    </row>
    <row r="77">
      <c r="A77">
        <f>ROW()-1</f>
        <v>76</v>
      </c>
      <c r="B77">
        <f>INT((A77-1)/2)+1</f>
        <v>38</v>
      </c>
      <c r="C77" t="str">
        <f>IF(MOD(A77-1,2)=0,"FLOOR_PRIMARY","CEIL_NEIGHBOR")</f>
        <v>CEIL_NEIGHBOR</v>
      </c>
      <c r="D77" t="str">
        <f>IF(C77="FLOOR_PRIMARY","yes",IF(G77&lt;&gt;0,"yes","no"))</f>
        <v>yes</v>
      </c>
      <c r="E77">
        <f>MAX(0,INT((B77-1)/Constants!$B$2))</f>
        <v>3</v>
      </c>
      <c r="F77">
        <f>INT(B77*E77/Constants!$B$2)</f>
        <v>9</v>
      </c>
      <c r="G77">
        <f>MOD(B77*E77,Constants!$B$2)</f>
        <v>6</v>
      </c>
      <c r="H77">
        <f>B77+F77+IF(C77="CEIL_NEIGHBOR",1,0)</f>
        <v>48</v>
      </c>
      <c r="I77">
        <f>B77+H77</f>
        <v>86</v>
      </c>
      <c r="J77" t="str">
        <f>B77&amp;"p+"&amp;H77&amp;"n+"&amp;B77&amp;"e"</f>
        <v>38p+48n+38e</v>
      </c>
      <c r="K77" t="str">
        <f>(2*B77+H77)&amp;"u+"&amp;(B77+2*H77)&amp;"d+"&amp;B77&amp;"e"</f>
        <v>124u+134d+38e</v>
      </c>
      <c r="L77">
        <f>B77*Constants!$B$11+(H77-B77)*Constants!$B$12</f>
        <v>352.2994791666666666666666666666666666666666666666666666666666666666666666666666666666666666666666667</v>
      </c>
      <c r="M77">
        <f>L77*Constants!$B$5</f>
        <v>2818.395833333333333333333333333333333333333333333333333333333333333333333333333333333333333333333333</v>
      </c>
      <c r="N77">
        <f>L77*7</f>
        <v>2466.096354166666666666666666666666666666666666666666666666666666666666666666666666666666666666666667</v>
      </c>
      <c r="O77" t="str">
        <f>IF(B77&gt;Constants!$B$6-Constants!$B$5,"CONSTANT_FRONTIER_TAIL_CANDIDATE",IF(G77=0,"CONSTANT_STABLE_ANCHOR_LANE",IF(G77=Constants!$B$2/2,"CONSTANT_HALF_WRITE_LANE","CONSTANT_BOUND_LADDER_LANE")))</f>
        <v>CONSTANT_HALF_WRITE_LANE</v>
      </c>
    </row>
    <row r="78">
      <c r="A78">
        <f>ROW()-1</f>
        <v>77</v>
      </c>
      <c r="B78">
        <f>INT((A78-1)/2)+1</f>
        <v>39</v>
      </c>
      <c r="C78" t="str">
        <f>IF(MOD(A78-1,2)=0,"FLOOR_PRIMARY","CEIL_NEIGHBOR")</f>
        <v>FLOOR_PRIMARY</v>
      </c>
      <c r="D78" t="str">
        <f>IF(C78="FLOOR_PRIMARY","yes",IF(G78&lt;&gt;0,"yes","no"))</f>
        <v>yes</v>
      </c>
      <c r="E78">
        <f>MAX(0,INT((B78-1)/Constants!$B$2))</f>
        <v>3</v>
      </c>
      <c r="F78">
        <f>INT(B78*E78/Constants!$B$2)</f>
        <v>9</v>
      </c>
      <c r="G78">
        <f>MOD(B78*E78,Constants!$B$2)</f>
        <v>9</v>
      </c>
      <c r="H78">
        <f>B78+F78+IF(C78="CEIL_NEIGHBOR",1,0)</f>
        <v>48</v>
      </c>
      <c r="I78">
        <f>B78+H78</f>
        <v>87</v>
      </c>
      <c r="J78" t="str">
        <f>B78&amp;"p+"&amp;H78&amp;"n+"&amp;B78&amp;"e"</f>
        <v>39p+48n+39e</v>
      </c>
      <c r="K78" t="str">
        <f>(2*B78+H78)&amp;"u+"&amp;(B78+2*H78)&amp;"d+"&amp;B78&amp;"e"</f>
        <v>126u+135d+39e</v>
      </c>
      <c r="L78">
        <f>B78*Constants!$B$11+(H78-B78)*Constants!$B$12</f>
        <v>361.55078125</v>
      </c>
      <c r="M78">
        <f>L78*Constants!$B$5</f>
        <v>2892.40625</v>
      </c>
      <c r="N78">
        <f>L78*7</f>
        <v>2530.85546875</v>
      </c>
      <c r="O78" t="str">
        <f>IF(B78&gt;Constants!$B$6-Constants!$B$5,"CONSTANT_FRONTIER_TAIL_CANDIDATE",IF(G78=0,"CONSTANT_STABLE_ANCHOR_LANE",IF(G78=Constants!$B$2/2,"CONSTANT_HALF_WRITE_LANE","CONSTANT_BOUND_LADDER_LANE")))</f>
        <v>CONSTANT_BOUND_LADDER_LANE</v>
      </c>
    </row>
    <row r="79">
      <c r="A79">
        <f>ROW()-1</f>
        <v>78</v>
      </c>
      <c r="B79">
        <f>INT((A79-1)/2)+1</f>
        <v>39</v>
      </c>
      <c r="C79" t="str">
        <f>IF(MOD(A79-1,2)=0,"FLOOR_PRIMARY","CEIL_NEIGHBOR")</f>
        <v>CEIL_NEIGHBOR</v>
      </c>
      <c r="D79" t="str">
        <f>IF(C79="FLOOR_PRIMARY","yes",IF(G79&lt;&gt;0,"yes","no"))</f>
        <v>yes</v>
      </c>
      <c r="E79">
        <f>MAX(0,INT((B79-1)/Constants!$B$2))</f>
        <v>3</v>
      </c>
      <c r="F79">
        <f>INT(B79*E79/Constants!$B$2)</f>
        <v>9</v>
      </c>
      <c r="G79">
        <f>MOD(B79*E79,Constants!$B$2)</f>
        <v>9</v>
      </c>
      <c r="H79">
        <f>B79+F79+IF(C79="CEIL_NEIGHBOR",1,0)</f>
        <v>49</v>
      </c>
      <c r="I79">
        <f>B79+H79</f>
        <v>88</v>
      </c>
      <c r="J79" t="str">
        <f>B79&amp;"p+"&amp;H79&amp;"n+"&amp;B79&amp;"e"</f>
        <v>39p+49n+39e</v>
      </c>
      <c r="K79" t="str">
        <f>(2*B79+H79)&amp;"u+"&amp;(B79+2*H79)&amp;"d+"&amp;B79&amp;"e"</f>
        <v>127u+137d+39e</v>
      </c>
      <c r="L79">
        <f>B79*Constants!$B$11+(H79-B79)*Constants!$B$12</f>
        <v>361.56640625</v>
      </c>
      <c r="M79">
        <f>L79*Constants!$B$5</f>
        <v>2892.53125</v>
      </c>
      <c r="N79">
        <f>L79*7</f>
        <v>2530.96484375</v>
      </c>
      <c r="O79" t="str">
        <f>IF(B79&gt;Constants!$B$6-Constants!$B$5,"CONSTANT_FRONTIER_TAIL_CANDIDATE",IF(G79=0,"CONSTANT_STABLE_ANCHOR_LANE",IF(G79=Constants!$B$2/2,"CONSTANT_HALF_WRITE_LANE","CONSTANT_BOUND_LADDER_LANE")))</f>
        <v>CONSTANT_BOUND_LADDER_LANE</v>
      </c>
    </row>
    <row r="80">
      <c r="A80">
        <f>ROW()-1</f>
        <v>79</v>
      </c>
      <c r="B80">
        <f>INT((A80-1)/2)+1</f>
        <v>40</v>
      </c>
      <c r="C80" t="str">
        <f>IF(MOD(A80-1,2)=0,"FLOOR_PRIMARY","CEIL_NEIGHBOR")</f>
        <v>FLOOR_PRIMARY</v>
      </c>
      <c r="D80" t="str">
        <f>IF(C80="FLOOR_PRIMARY","yes",IF(G80&lt;&gt;0,"yes","no"))</f>
        <v>yes</v>
      </c>
      <c r="E80">
        <f>MAX(0,INT((B80-1)/Constants!$B$2))</f>
        <v>3</v>
      </c>
      <c r="F80">
        <f>INT(B80*E80/Constants!$B$2)</f>
        <v>10</v>
      </c>
      <c r="G80">
        <f>MOD(B80*E80,Constants!$B$2)</f>
        <v>0</v>
      </c>
      <c r="H80">
        <f>B80+F80+IF(C80="CEIL_NEIGHBOR",1,0)</f>
        <v>50</v>
      </c>
      <c r="I80">
        <f>B80+H80</f>
        <v>90</v>
      </c>
      <c r="J80" t="str">
        <f>B80&amp;"p+"&amp;H80&amp;"n+"&amp;B80&amp;"e"</f>
        <v>40p+50n+40e</v>
      </c>
      <c r="K80" t="str">
        <f>(2*B80+H80)&amp;"u+"&amp;(B80+2*H80)&amp;"d+"&amp;B80&amp;"e"</f>
        <v>130u+140d+40e</v>
      </c>
      <c r="L80">
        <f>B80*Constants!$B$11+(H80-B80)*Constants!$B$12</f>
        <v>370.8333333333333333333333333333333333333333333333333333333333333333333333333333333333333333333333333</v>
      </c>
      <c r="M80">
        <f>L80*Constants!$B$5</f>
        <v>2966.666666666666666666666666666666666666666666666666666666666666666666666666666666666666666666666667</v>
      </c>
      <c r="N80">
        <f>L80*7</f>
        <v>2595.833333333333333333333333333333333333333333333333333333333333333333333333333333333333333333333333</v>
      </c>
      <c r="O80" t="str">
        <f>IF(B80&gt;Constants!$B$6-Constants!$B$5,"CONSTANT_FRONTIER_TAIL_CANDIDATE",IF(G80=0,"CONSTANT_STABLE_ANCHOR_LANE",IF(G80=Constants!$B$2/2,"CONSTANT_HALF_WRITE_LANE","CONSTANT_BOUND_LADDER_LANE")))</f>
        <v>CONSTANT_STABLE_ANCHOR_LANE</v>
      </c>
    </row>
    <row r="81">
      <c r="A81">
        <f>ROW()-1</f>
        <v>80</v>
      </c>
      <c r="B81">
        <f>INT((A81-1)/2)+1</f>
        <v>40</v>
      </c>
      <c r="C81" t="str">
        <f>IF(MOD(A81-1,2)=0,"FLOOR_PRIMARY","CEIL_NEIGHBOR")</f>
        <v>CEIL_NEIGHBOR</v>
      </c>
      <c r="D81" t="str">
        <f>IF(C81="FLOOR_PRIMARY","yes",IF(G81&lt;&gt;0,"yes","no"))</f>
        <v>no</v>
      </c>
      <c r="E81">
        <f>MAX(0,INT((B81-1)/Constants!$B$2))</f>
        <v>3</v>
      </c>
      <c r="F81">
        <f>INT(B81*E81/Constants!$B$2)</f>
        <v>10</v>
      </c>
      <c r="G81">
        <f>MOD(B81*E81,Constants!$B$2)</f>
        <v>0</v>
      </c>
      <c r="H81">
        <f>B81+F81+IF(C81="CEIL_NEIGHBOR",1,0)</f>
        <v>51</v>
      </c>
      <c r="I81">
        <f>B81+H81</f>
        <v>91</v>
      </c>
      <c r="J81" t="str">
        <f>B81&amp;"p+"&amp;H81&amp;"n+"&amp;B81&amp;"e"</f>
        <v>40p+51n+40e</v>
      </c>
      <c r="K81" t="str">
        <f>(2*B81+H81)&amp;"u+"&amp;(B81+2*H81)&amp;"d+"&amp;B81&amp;"e"</f>
        <v>131u+142d+40e</v>
      </c>
      <c r="L81">
        <f>B81*Constants!$B$11+(H81-B81)*Constants!$B$12</f>
        <v>370.8489583333333333333333333333333333333333333333333333333333333333333333333333333333333333333333333</v>
      </c>
      <c r="M81">
        <f>L81*Constants!$B$5</f>
        <v>2966.791666666666666666666666666666666666666666666666666666666666666666666666666666666666666666666667</v>
      </c>
      <c r="N81">
        <f>L81*7</f>
        <v>2595.942708333333333333333333333333333333333333333333333333333333333333333333333333333333333333333333</v>
      </c>
      <c r="O81" t="str">
        <f>IF(B81&gt;Constants!$B$6-Constants!$B$5,"CONSTANT_FRONTIER_TAIL_CANDIDATE",IF(G81=0,"CONSTANT_STABLE_ANCHOR_LANE",IF(G81=Constants!$B$2/2,"CONSTANT_HALF_WRITE_LANE","CONSTANT_BOUND_LADDER_LANE")))</f>
        <v>CONSTANT_BOUND_LADDER_LANE</v>
      </c>
    </row>
    <row r="82">
      <c r="A82">
        <f>ROW()-1</f>
        <v>81</v>
      </c>
      <c r="B82">
        <f>INT((A82-1)/2)+1</f>
        <v>41</v>
      </c>
      <c r="C82" t="str">
        <f>IF(MOD(A82-1,2)=0,"FLOOR_PRIMARY","CEIL_NEIGHBOR")</f>
        <v>FLOOR_PRIMARY</v>
      </c>
      <c r="D82" t="str">
        <f>IF(C82="FLOOR_PRIMARY","yes",IF(G82&lt;&gt;0,"yes","no"))</f>
        <v>yes</v>
      </c>
      <c r="E82">
        <f>MAX(0,INT((B82-1)/Constants!$B$2))</f>
        <v>3</v>
      </c>
      <c r="F82">
        <f>INT(B82*E82/Constants!$B$2)</f>
        <v>10</v>
      </c>
      <c r="G82">
        <f>MOD(B82*E82,Constants!$B$2)</f>
        <v>3</v>
      </c>
      <c r="H82">
        <f>B82+F82+IF(C82="CEIL_NEIGHBOR",1,0)</f>
        <v>51</v>
      </c>
      <c r="I82">
        <f>B82+H82</f>
        <v>92</v>
      </c>
      <c r="J82" t="str">
        <f>B82&amp;"p+"&amp;H82&amp;"n+"&amp;B82&amp;"e"</f>
        <v>41p+51n+41e</v>
      </c>
      <c r="K82" t="str">
        <f>(2*B82+H82)&amp;"u+"&amp;(B82+2*H82)&amp;"d+"&amp;B82&amp;"e"</f>
        <v>133u+143d+41e</v>
      </c>
      <c r="L82">
        <f>B82*Constants!$B$11+(H82-B82)*Constants!$B$12</f>
        <v>380.1002604166666666666666666666666666666666666666666666666666666666666666666666666666666666666666667</v>
      </c>
      <c r="M82">
        <f>L82*Constants!$B$5</f>
        <v>3040.802083333333333333333333333333333333333333333333333333333333333333333333333333333333333333333333</v>
      </c>
      <c r="N82">
        <f>L82*7</f>
        <v>2660.701822916666666666666666666666666666666666666666666666666666666666666666666666666666666666666667</v>
      </c>
      <c r="O82" t="str">
        <f>IF(B82&gt;Constants!$B$6-Constants!$B$5,"CONSTANT_FRONTIER_TAIL_CANDIDATE",IF(G82=0,"CONSTANT_STABLE_ANCHOR_LANE",IF(G82=Constants!$B$2/2,"CONSTANT_HALF_WRITE_LANE","CONSTANT_BOUND_LADDER_LANE")))</f>
        <v>CONSTANT_BOUND_LADDER_LANE</v>
      </c>
    </row>
    <row r="83">
      <c r="A83">
        <f>ROW()-1</f>
        <v>82</v>
      </c>
      <c r="B83">
        <f>INT((A83-1)/2)+1</f>
        <v>41</v>
      </c>
      <c r="C83" t="str">
        <f>IF(MOD(A83-1,2)=0,"FLOOR_PRIMARY","CEIL_NEIGHBOR")</f>
        <v>CEIL_NEIGHBOR</v>
      </c>
      <c r="D83" t="str">
        <f>IF(C83="FLOOR_PRIMARY","yes",IF(G83&lt;&gt;0,"yes","no"))</f>
        <v>yes</v>
      </c>
      <c r="E83">
        <f>MAX(0,INT((B83-1)/Constants!$B$2))</f>
        <v>3</v>
      </c>
      <c r="F83">
        <f>INT(B83*E83/Constants!$B$2)</f>
        <v>10</v>
      </c>
      <c r="G83">
        <f>MOD(B83*E83,Constants!$B$2)</f>
        <v>3</v>
      </c>
      <c r="H83">
        <f>B83+F83+IF(C83="CEIL_NEIGHBOR",1,0)</f>
        <v>52</v>
      </c>
      <c r="I83">
        <f>B83+H83</f>
        <v>93</v>
      </c>
      <c r="J83" t="str">
        <f>B83&amp;"p+"&amp;H83&amp;"n+"&amp;B83&amp;"e"</f>
        <v>41p+52n+41e</v>
      </c>
      <c r="K83" t="str">
        <f>(2*B83+H83)&amp;"u+"&amp;(B83+2*H83)&amp;"d+"&amp;B83&amp;"e"</f>
        <v>134u+145d+41e</v>
      </c>
      <c r="L83">
        <f>B83*Constants!$B$11+(H83-B83)*Constants!$B$12</f>
        <v>380.1158854166666666666666666666666666666666666666666666666666666666666666666666666666666666666666667</v>
      </c>
      <c r="M83">
        <f>L83*Constants!$B$5</f>
        <v>3040.927083333333333333333333333333333333333333333333333333333333333333333333333333333333333333333333</v>
      </c>
      <c r="N83">
        <f>L83*7</f>
        <v>2660.811197916666666666666666666666666666666666666666666666666666666666666666666666666666666666666667</v>
      </c>
      <c r="O83" t="str">
        <f>IF(B83&gt;Constants!$B$6-Constants!$B$5,"CONSTANT_FRONTIER_TAIL_CANDIDATE",IF(G83=0,"CONSTANT_STABLE_ANCHOR_LANE",IF(G83=Constants!$B$2/2,"CONSTANT_HALF_WRITE_LANE","CONSTANT_BOUND_LADDER_LANE")))</f>
        <v>CONSTANT_BOUND_LADDER_LANE</v>
      </c>
    </row>
    <row r="84">
      <c r="A84">
        <f>ROW()-1</f>
        <v>83</v>
      </c>
      <c r="B84">
        <f>INT((A84-1)/2)+1</f>
        <v>42</v>
      </c>
      <c r="C84" t="str">
        <f>IF(MOD(A84-1,2)=0,"FLOOR_PRIMARY","CEIL_NEIGHBOR")</f>
        <v>FLOOR_PRIMARY</v>
      </c>
      <c r="D84" t="str">
        <f>IF(C84="FLOOR_PRIMARY","yes",IF(G84&lt;&gt;0,"yes","no"))</f>
        <v>yes</v>
      </c>
      <c r="E84">
        <f>MAX(0,INT((B84-1)/Constants!$B$2))</f>
        <v>3</v>
      </c>
      <c r="F84">
        <f>INT(B84*E84/Constants!$B$2)</f>
        <v>10</v>
      </c>
      <c r="G84">
        <f>MOD(B84*E84,Constants!$B$2)</f>
        <v>6</v>
      </c>
      <c r="H84">
        <f>B84+F84+IF(C84="CEIL_NEIGHBOR",1,0)</f>
        <v>52</v>
      </c>
      <c r="I84">
        <f>B84+H84</f>
        <v>94</v>
      </c>
      <c r="J84" t="str">
        <f>B84&amp;"p+"&amp;H84&amp;"n+"&amp;B84&amp;"e"</f>
        <v>42p+52n+42e</v>
      </c>
      <c r="K84" t="str">
        <f>(2*B84+H84)&amp;"u+"&amp;(B84+2*H84)&amp;"d+"&amp;B84&amp;"e"</f>
        <v>136u+146d+42e</v>
      </c>
      <c r="L84">
        <f>B84*Constants!$B$11+(H84-B84)*Constants!$B$12</f>
        <v>389.3671875</v>
      </c>
      <c r="M84">
        <f>L84*Constants!$B$5</f>
        <v>3114.9375</v>
      </c>
      <c r="N84">
        <f>L84*7</f>
        <v>2725.5703125</v>
      </c>
      <c r="O84" t="str">
        <f>IF(B84&gt;Constants!$B$6-Constants!$B$5,"CONSTANT_FRONTIER_TAIL_CANDIDATE",IF(G84=0,"CONSTANT_STABLE_ANCHOR_LANE",IF(G84=Constants!$B$2/2,"CONSTANT_HALF_WRITE_LANE","CONSTANT_BOUND_LADDER_LANE")))</f>
        <v>CONSTANT_HALF_WRITE_LANE</v>
      </c>
    </row>
    <row r="85">
      <c r="A85">
        <f>ROW()-1</f>
        <v>84</v>
      </c>
      <c r="B85">
        <f>INT((A85-1)/2)+1</f>
        <v>42</v>
      </c>
      <c r="C85" t="str">
        <f>IF(MOD(A85-1,2)=0,"FLOOR_PRIMARY","CEIL_NEIGHBOR")</f>
        <v>CEIL_NEIGHBOR</v>
      </c>
      <c r="D85" t="str">
        <f>IF(C85="FLOOR_PRIMARY","yes",IF(G85&lt;&gt;0,"yes","no"))</f>
        <v>yes</v>
      </c>
      <c r="E85">
        <f>MAX(0,INT((B85-1)/Constants!$B$2))</f>
        <v>3</v>
      </c>
      <c r="F85">
        <f>INT(B85*E85/Constants!$B$2)</f>
        <v>10</v>
      </c>
      <c r="G85">
        <f>MOD(B85*E85,Constants!$B$2)</f>
        <v>6</v>
      </c>
      <c r="H85">
        <f>B85+F85+IF(C85="CEIL_NEIGHBOR",1,0)</f>
        <v>53</v>
      </c>
      <c r="I85">
        <f>B85+H85</f>
        <v>95</v>
      </c>
      <c r="J85" t="str">
        <f>B85&amp;"p+"&amp;H85&amp;"n+"&amp;B85&amp;"e"</f>
        <v>42p+53n+42e</v>
      </c>
      <c r="K85" t="str">
        <f>(2*B85+H85)&amp;"u+"&amp;(B85+2*H85)&amp;"d+"&amp;B85&amp;"e"</f>
        <v>137u+148d+42e</v>
      </c>
      <c r="L85">
        <f>B85*Constants!$B$11+(H85-B85)*Constants!$B$12</f>
        <v>389.3828125</v>
      </c>
      <c r="M85">
        <f>L85*Constants!$B$5</f>
        <v>3115.0625</v>
      </c>
      <c r="N85">
        <f>L85*7</f>
        <v>2725.6796875</v>
      </c>
      <c r="O85" t="str">
        <f>IF(B85&gt;Constants!$B$6-Constants!$B$5,"CONSTANT_FRONTIER_TAIL_CANDIDATE",IF(G85=0,"CONSTANT_STABLE_ANCHOR_LANE",IF(G85=Constants!$B$2/2,"CONSTANT_HALF_WRITE_LANE","CONSTANT_BOUND_LADDER_LANE")))</f>
        <v>CONSTANT_HALF_WRITE_LANE</v>
      </c>
    </row>
    <row r="86">
      <c r="A86">
        <f>ROW()-1</f>
        <v>85</v>
      </c>
      <c r="B86">
        <f>INT((A86-1)/2)+1</f>
        <v>43</v>
      </c>
      <c r="C86" t="str">
        <f>IF(MOD(A86-1,2)=0,"FLOOR_PRIMARY","CEIL_NEIGHBOR")</f>
        <v>FLOOR_PRIMARY</v>
      </c>
      <c r="D86" t="str">
        <f>IF(C86="FLOOR_PRIMARY","yes",IF(G86&lt;&gt;0,"yes","no"))</f>
        <v>yes</v>
      </c>
      <c r="E86">
        <f>MAX(0,INT((B86-1)/Constants!$B$2))</f>
        <v>3</v>
      </c>
      <c r="F86">
        <f>INT(B86*E86/Constants!$B$2)</f>
        <v>10</v>
      </c>
      <c r="G86">
        <f>MOD(B86*E86,Constants!$B$2)</f>
        <v>9</v>
      </c>
      <c r="H86">
        <f>B86+F86+IF(C86="CEIL_NEIGHBOR",1,0)</f>
        <v>53</v>
      </c>
      <c r="I86">
        <f>B86+H86</f>
        <v>96</v>
      </c>
      <c r="J86" t="str">
        <f>B86&amp;"p+"&amp;H86&amp;"n+"&amp;B86&amp;"e"</f>
        <v>43p+53n+43e</v>
      </c>
      <c r="K86" t="str">
        <f>(2*B86+H86)&amp;"u+"&amp;(B86+2*H86)&amp;"d+"&amp;B86&amp;"e"</f>
        <v>139u+149d+43e</v>
      </c>
      <c r="L86">
        <f>B86*Constants!$B$11+(H86-B86)*Constants!$B$12</f>
        <v>398.6341145833333333333333333333333333333333333333333333333333333333333333333333333333333333333333333</v>
      </c>
      <c r="M86">
        <f>L86*Constants!$B$5</f>
        <v>3189.072916666666666666666666666666666666666666666666666666666666666666666666666666666666666666666667</v>
      </c>
      <c r="N86">
        <f>L86*7</f>
        <v>2790.438802083333333333333333333333333333333333333333333333333333333333333333333333333333333333333333</v>
      </c>
      <c r="O86" t="str">
        <f>IF(B86&gt;Constants!$B$6-Constants!$B$5,"CONSTANT_FRONTIER_TAIL_CANDIDATE",IF(G86=0,"CONSTANT_STABLE_ANCHOR_LANE",IF(G86=Constants!$B$2/2,"CONSTANT_HALF_WRITE_LANE","CONSTANT_BOUND_LADDER_LANE")))</f>
        <v>CONSTANT_BOUND_LADDER_LANE</v>
      </c>
    </row>
    <row r="87">
      <c r="A87">
        <f>ROW()-1</f>
        <v>86</v>
      </c>
      <c r="B87">
        <f>INT((A87-1)/2)+1</f>
        <v>43</v>
      </c>
      <c r="C87" t="str">
        <f>IF(MOD(A87-1,2)=0,"FLOOR_PRIMARY","CEIL_NEIGHBOR")</f>
        <v>CEIL_NEIGHBOR</v>
      </c>
      <c r="D87" t="str">
        <f>IF(C87="FLOOR_PRIMARY","yes",IF(G87&lt;&gt;0,"yes","no"))</f>
        <v>yes</v>
      </c>
      <c r="E87">
        <f>MAX(0,INT((B87-1)/Constants!$B$2))</f>
        <v>3</v>
      </c>
      <c r="F87">
        <f>INT(B87*E87/Constants!$B$2)</f>
        <v>10</v>
      </c>
      <c r="G87">
        <f>MOD(B87*E87,Constants!$B$2)</f>
        <v>9</v>
      </c>
      <c r="H87">
        <f>B87+F87+IF(C87="CEIL_NEIGHBOR",1,0)</f>
        <v>54</v>
      </c>
      <c r="I87">
        <f>B87+H87</f>
        <v>97</v>
      </c>
      <c r="J87" t="str">
        <f>B87&amp;"p+"&amp;H87&amp;"n+"&amp;B87&amp;"e"</f>
        <v>43p+54n+43e</v>
      </c>
      <c r="K87" t="str">
        <f>(2*B87+H87)&amp;"u+"&amp;(B87+2*H87)&amp;"d+"&amp;B87&amp;"e"</f>
        <v>140u+151d+43e</v>
      </c>
      <c r="L87">
        <f>B87*Constants!$B$11+(H87-B87)*Constants!$B$12</f>
        <v>398.6497395833333333333333333333333333333333333333333333333333333333333333333333333333333333333333333</v>
      </c>
      <c r="M87">
        <f>L87*Constants!$B$5</f>
        <v>3189.197916666666666666666666666666666666666666666666666666666666666666666666666666666666666666666667</v>
      </c>
      <c r="N87">
        <f>L87*7</f>
        <v>2790.548177083333333333333333333333333333333333333333333333333333333333333333333333333333333333333333</v>
      </c>
      <c r="O87" t="str">
        <f>IF(B87&gt;Constants!$B$6-Constants!$B$5,"CONSTANT_FRONTIER_TAIL_CANDIDATE",IF(G87=0,"CONSTANT_STABLE_ANCHOR_LANE",IF(G87=Constants!$B$2/2,"CONSTANT_HALF_WRITE_LANE","CONSTANT_BOUND_LADDER_LANE")))</f>
        <v>CONSTANT_BOUND_LADDER_LANE</v>
      </c>
    </row>
    <row r="88">
      <c r="A88">
        <f>ROW()-1</f>
        <v>87</v>
      </c>
      <c r="B88">
        <f>INT((A88-1)/2)+1</f>
        <v>44</v>
      </c>
      <c r="C88" t="str">
        <f>IF(MOD(A88-1,2)=0,"FLOOR_PRIMARY","CEIL_NEIGHBOR")</f>
        <v>FLOOR_PRIMARY</v>
      </c>
      <c r="D88" t="str">
        <f>IF(C88="FLOOR_PRIMARY","yes",IF(G88&lt;&gt;0,"yes","no"))</f>
        <v>yes</v>
      </c>
      <c r="E88">
        <f>MAX(0,INT((B88-1)/Constants!$B$2))</f>
        <v>3</v>
      </c>
      <c r="F88">
        <f>INT(B88*E88/Constants!$B$2)</f>
        <v>11</v>
      </c>
      <c r="G88">
        <f>MOD(B88*E88,Constants!$B$2)</f>
        <v>0</v>
      </c>
      <c r="H88">
        <f>B88+F88+IF(C88="CEIL_NEIGHBOR",1,0)</f>
        <v>55</v>
      </c>
      <c r="I88">
        <f>B88+H88</f>
        <v>99</v>
      </c>
      <c r="J88" t="str">
        <f>B88&amp;"p+"&amp;H88&amp;"n+"&amp;B88&amp;"e"</f>
        <v>44p+55n+44e</v>
      </c>
      <c r="K88" t="str">
        <f>(2*B88+H88)&amp;"u+"&amp;(B88+2*H88)&amp;"d+"&amp;B88&amp;"e"</f>
        <v>143u+154d+44e</v>
      </c>
      <c r="L88">
        <f>B88*Constants!$B$11+(H88-B88)*Constants!$B$12</f>
        <v>407.9166666666666666666666666666666666666666666666666666666666666666666666666666666666666666666666667</v>
      </c>
      <c r="M88">
        <f>L88*Constants!$B$5</f>
        <v>3263.333333333333333333333333333333333333333333333333333333333333333333333333333333333333333333333333</v>
      </c>
      <c r="N88">
        <f>L88*7</f>
        <v>2855.416666666666666666666666666666666666666666666666666666666666666666666666666666666666666666666667</v>
      </c>
      <c r="O88" t="str">
        <f>IF(B88&gt;Constants!$B$6-Constants!$B$5,"CONSTANT_FRONTIER_TAIL_CANDIDATE",IF(G88=0,"CONSTANT_STABLE_ANCHOR_LANE",IF(G88=Constants!$B$2/2,"CONSTANT_HALF_WRITE_LANE","CONSTANT_BOUND_LADDER_LANE")))</f>
        <v>CONSTANT_STABLE_ANCHOR_LANE</v>
      </c>
    </row>
    <row r="89">
      <c r="A89">
        <f>ROW()-1</f>
        <v>88</v>
      </c>
      <c r="B89">
        <f>INT((A89-1)/2)+1</f>
        <v>44</v>
      </c>
      <c r="C89" t="str">
        <f>IF(MOD(A89-1,2)=0,"FLOOR_PRIMARY","CEIL_NEIGHBOR")</f>
        <v>CEIL_NEIGHBOR</v>
      </c>
      <c r="D89" t="str">
        <f>IF(C89="FLOOR_PRIMARY","yes",IF(G89&lt;&gt;0,"yes","no"))</f>
        <v>no</v>
      </c>
      <c r="E89">
        <f>MAX(0,INT((B89-1)/Constants!$B$2))</f>
        <v>3</v>
      </c>
      <c r="F89">
        <f>INT(B89*E89/Constants!$B$2)</f>
        <v>11</v>
      </c>
      <c r="G89">
        <f>MOD(B89*E89,Constants!$B$2)</f>
        <v>0</v>
      </c>
      <c r="H89">
        <f>B89+F89+IF(C89="CEIL_NEIGHBOR",1,0)</f>
        <v>56</v>
      </c>
      <c r="I89">
        <f>B89+H89</f>
        <v>100</v>
      </c>
      <c r="J89" t="str">
        <f>B89&amp;"p+"&amp;H89&amp;"n+"&amp;B89&amp;"e"</f>
        <v>44p+56n+44e</v>
      </c>
      <c r="K89" t="str">
        <f>(2*B89+H89)&amp;"u+"&amp;(B89+2*H89)&amp;"d+"&amp;B89&amp;"e"</f>
        <v>144u+156d+44e</v>
      </c>
      <c r="L89">
        <f>B89*Constants!$B$11+(H89-B89)*Constants!$B$12</f>
        <v>407.9322916666666666666666666666666666666666666666666666666666666666666666666666666666666666666666667</v>
      </c>
      <c r="M89">
        <f>L89*Constants!$B$5</f>
        <v>3263.458333333333333333333333333333333333333333333333333333333333333333333333333333333333333333333333</v>
      </c>
      <c r="N89">
        <f>L89*7</f>
        <v>2855.526041666666666666666666666666666666666666666666666666666666666666666666666666666666666666666667</v>
      </c>
      <c r="O89" t="str">
        <f>IF(B89&gt;Constants!$B$6-Constants!$B$5,"CONSTANT_FRONTIER_TAIL_CANDIDATE",IF(G89=0,"CONSTANT_STABLE_ANCHOR_LANE",IF(G89=Constants!$B$2/2,"CONSTANT_HALF_WRITE_LANE","CONSTANT_BOUND_LADDER_LANE")))</f>
        <v>CONSTANT_BOUND_LADDER_LANE</v>
      </c>
    </row>
    <row r="90">
      <c r="A90">
        <f>ROW()-1</f>
        <v>89</v>
      </c>
      <c r="B90">
        <f>INT((A90-1)/2)+1</f>
        <v>45</v>
      </c>
      <c r="C90" t="str">
        <f>IF(MOD(A90-1,2)=0,"FLOOR_PRIMARY","CEIL_NEIGHBOR")</f>
        <v>FLOOR_PRIMARY</v>
      </c>
      <c r="D90" t="str">
        <f>IF(C90="FLOOR_PRIMARY","yes",IF(G90&lt;&gt;0,"yes","no"))</f>
        <v>yes</v>
      </c>
      <c r="E90">
        <f>MAX(0,INT((B90-1)/Constants!$B$2))</f>
        <v>3</v>
      </c>
      <c r="F90">
        <f>INT(B90*E90/Constants!$B$2)</f>
        <v>11</v>
      </c>
      <c r="G90">
        <f>MOD(B90*E90,Constants!$B$2)</f>
        <v>3</v>
      </c>
      <c r="H90">
        <f>B90+F90+IF(C90="CEIL_NEIGHBOR",1,0)</f>
        <v>56</v>
      </c>
      <c r="I90">
        <f>B90+H90</f>
        <v>101</v>
      </c>
      <c r="J90" t="str">
        <f>B90&amp;"p+"&amp;H90&amp;"n+"&amp;B90&amp;"e"</f>
        <v>45p+56n+45e</v>
      </c>
      <c r="K90" t="str">
        <f>(2*B90+H90)&amp;"u+"&amp;(B90+2*H90)&amp;"d+"&amp;B90&amp;"e"</f>
        <v>146u+157d+45e</v>
      </c>
      <c r="L90">
        <f>B90*Constants!$B$11+(H90-B90)*Constants!$B$12</f>
        <v>417.18359375</v>
      </c>
      <c r="M90">
        <f>L90*Constants!$B$5</f>
        <v>3337.46875</v>
      </c>
      <c r="N90">
        <f>L90*7</f>
        <v>2920.28515625</v>
      </c>
      <c r="O90" t="str">
        <f>IF(B90&gt;Constants!$B$6-Constants!$B$5,"CONSTANT_FRONTIER_TAIL_CANDIDATE",IF(G90=0,"CONSTANT_STABLE_ANCHOR_LANE",IF(G90=Constants!$B$2/2,"CONSTANT_HALF_WRITE_LANE","CONSTANT_BOUND_LADDER_LANE")))</f>
        <v>CONSTANT_BOUND_LADDER_LANE</v>
      </c>
    </row>
    <row r="91">
      <c r="A91">
        <f>ROW()-1</f>
        <v>90</v>
      </c>
      <c r="B91">
        <f>INT((A91-1)/2)+1</f>
        <v>45</v>
      </c>
      <c r="C91" t="str">
        <f>IF(MOD(A91-1,2)=0,"FLOOR_PRIMARY","CEIL_NEIGHBOR")</f>
        <v>CEIL_NEIGHBOR</v>
      </c>
      <c r="D91" t="str">
        <f>IF(C91="FLOOR_PRIMARY","yes",IF(G91&lt;&gt;0,"yes","no"))</f>
        <v>yes</v>
      </c>
      <c r="E91">
        <f>MAX(0,INT((B91-1)/Constants!$B$2))</f>
        <v>3</v>
      </c>
      <c r="F91">
        <f>INT(B91*E91/Constants!$B$2)</f>
        <v>11</v>
      </c>
      <c r="G91">
        <f>MOD(B91*E91,Constants!$B$2)</f>
        <v>3</v>
      </c>
      <c r="H91">
        <f>B91+F91+IF(C91="CEIL_NEIGHBOR",1,0)</f>
        <v>57</v>
      </c>
      <c r="I91">
        <f>B91+H91</f>
        <v>102</v>
      </c>
      <c r="J91" t="str">
        <f>B91&amp;"p+"&amp;H91&amp;"n+"&amp;B91&amp;"e"</f>
        <v>45p+57n+45e</v>
      </c>
      <c r="K91" t="str">
        <f>(2*B91+H91)&amp;"u+"&amp;(B91+2*H91)&amp;"d+"&amp;B91&amp;"e"</f>
        <v>147u+159d+45e</v>
      </c>
      <c r="L91">
        <f>B91*Constants!$B$11+(H91-B91)*Constants!$B$12</f>
        <v>417.19921875</v>
      </c>
      <c r="M91">
        <f>L91*Constants!$B$5</f>
        <v>3337.59375</v>
      </c>
      <c r="N91">
        <f>L91*7</f>
        <v>2920.39453125</v>
      </c>
      <c r="O91" t="str">
        <f>IF(B91&gt;Constants!$B$6-Constants!$B$5,"CONSTANT_FRONTIER_TAIL_CANDIDATE",IF(G91=0,"CONSTANT_STABLE_ANCHOR_LANE",IF(G91=Constants!$B$2/2,"CONSTANT_HALF_WRITE_LANE","CONSTANT_BOUND_LADDER_LANE")))</f>
        <v>CONSTANT_BOUND_LADDER_LANE</v>
      </c>
    </row>
    <row r="92">
      <c r="A92">
        <f>ROW()-1</f>
        <v>91</v>
      </c>
      <c r="B92">
        <f>INT((A92-1)/2)+1</f>
        <v>46</v>
      </c>
      <c r="C92" t="str">
        <f>IF(MOD(A92-1,2)=0,"FLOOR_PRIMARY","CEIL_NEIGHBOR")</f>
        <v>FLOOR_PRIMARY</v>
      </c>
      <c r="D92" t="str">
        <f>IF(C92="FLOOR_PRIMARY","yes",IF(G92&lt;&gt;0,"yes","no"))</f>
        <v>yes</v>
      </c>
      <c r="E92">
        <f>MAX(0,INT((B92-1)/Constants!$B$2))</f>
        <v>3</v>
      </c>
      <c r="F92">
        <f>INT(B92*E92/Constants!$B$2)</f>
        <v>11</v>
      </c>
      <c r="G92">
        <f>MOD(B92*E92,Constants!$B$2)</f>
        <v>6</v>
      </c>
      <c r="H92">
        <f>B92+F92+IF(C92="CEIL_NEIGHBOR",1,0)</f>
        <v>57</v>
      </c>
      <c r="I92">
        <f>B92+H92</f>
        <v>103</v>
      </c>
      <c r="J92" t="str">
        <f>B92&amp;"p+"&amp;H92&amp;"n+"&amp;B92&amp;"e"</f>
        <v>46p+57n+46e</v>
      </c>
      <c r="K92" t="str">
        <f>(2*B92+H92)&amp;"u+"&amp;(B92+2*H92)&amp;"d+"&amp;B92&amp;"e"</f>
        <v>149u+160d+46e</v>
      </c>
      <c r="L92">
        <f>B92*Constants!$B$11+(H92-B92)*Constants!$B$12</f>
        <v>426.4505208333333333333333333333333333333333333333333333333333333333333333333333333333333333333333333</v>
      </c>
      <c r="M92">
        <f>L92*Constants!$B$5</f>
        <v>3411.604166666666666666666666666666666666666666666666666666666666666666666666666666666666666666666667</v>
      </c>
      <c r="N92">
        <f>L92*7</f>
        <v>2985.153645833333333333333333333333333333333333333333333333333333333333333333333333333333333333333333</v>
      </c>
      <c r="O92" t="str">
        <f>IF(B92&gt;Constants!$B$6-Constants!$B$5,"CONSTANT_FRONTIER_TAIL_CANDIDATE",IF(G92=0,"CONSTANT_STABLE_ANCHOR_LANE",IF(G92=Constants!$B$2/2,"CONSTANT_HALF_WRITE_LANE","CONSTANT_BOUND_LADDER_LANE")))</f>
        <v>CONSTANT_HALF_WRITE_LANE</v>
      </c>
    </row>
    <row r="93">
      <c r="A93">
        <f>ROW()-1</f>
        <v>92</v>
      </c>
      <c r="B93">
        <f>INT((A93-1)/2)+1</f>
        <v>46</v>
      </c>
      <c r="C93" t="str">
        <f>IF(MOD(A93-1,2)=0,"FLOOR_PRIMARY","CEIL_NEIGHBOR")</f>
        <v>CEIL_NEIGHBOR</v>
      </c>
      <c r="D93" t="str">
        <f>IF(C93="FLOOR_PRIMARY","yes",IF(G93&lt;&gt;0,"yes","no"))</f>
        <v>yes</v>
      </c>
      <c r="E93">
        <f>MAX(0,INT((B93-1)/Constants!$B$2))</f>
        <v>3</v>
      </c>
      <c r="F93">
        <f>INT(B93*E93/Constants!$B$2)</f>
        <v>11</v>
      </c>
      <c r="G93">
        <f>MOD(B93*E93,Constants!$B$2)</f>
        <v>6</v>
      </c>
      <c r="H93">
        <f>B93+F93+IF(C93="CEIL_NEIGHBOR",1,0)</f>
        <v>58</v>
      </c>
      <c r="I93">
        <f>B93+H93</f>
        <v>104</v>
      </c>
      <c r="J93" t="str">
        <f>B93&amp;"p+"&amp;H93&amp;"n+"&amp;B93&amp;"e"</f>
        <v>46p+58n+46e</v>
      </c>
      <c r="K93" t="str">
        <f>(2*B93+H93)&amp;"u+"&amp;(B93+2*H93)&amp;"d+"&amp;B93&amp;"e"</f>
        <v>150u+162d+46e</v>
      </c>
      <c r="L93">
        <f>B93*Constants!$B$11+(H93-B93)*Constants!$B$12</f>
        <v>426.4661458333333333333333333333333333333333333333333333333333333333333333333333333333333333333333333</v>
      </c>
      <c r="M93">
        <f>L93*Constants!$B$5</f>
        <v>3411.729166666666666666666666666666666666666666666666666666666666666666666666666666666666666666666667</v>
      </c>
      <c r="N93">
        <f>L93*7</f>
        <v>2985.263020833333333333333333333333333333333333333333333333333333333333333333333333333333333333333333</v>
      </c>
      <c r="O93" t="str">
        <f>IF(B93&gt;Constants!$B$6-Constants!$B$5,"CONSTANT_FRONTIER_TAIL_CANDIDATE",IF(G93=0,"CONSTANT_STABLE_ANCHOR_LANE",IF(G93=Constants!$B$2/2,"CONSTANT_HALF_WRITE_LANE","CONSTANT_BOUND_LADDER_LANE")))</f>
        <v>CONSTANT_HALF_WRITE_LANE</v>
      </c>
    </row>
    <row r="94">
      <c r="A94">
        <f>ROW()-1</f>
        <v>93</v>
      </c>
      <c r="B94">
        <f>INT((A94-1)/2)+1</f>
        <v>47</v>
      </c>
      <c r="C94" t="str">
        <f>IF(MOD(A94-1,2)=0,"FLOOR_PRIMARY","CEIL_NEIGHBOR")</f>
        <v>FLOOR_PRIMARY</v>
      </c>
      <c r="D94" t="str">
        <f>IF(C94="FLOOR_PRIMARY","yes",IF(G94&lt;&gt;0,"yes","no"))</f>
        <v>yes</v>
      </c>
      <c r="E94">
        <f>MAX(0,INT((B94-1)/Constants!$B$2))</f>
        <v>3</v>
      </c>
      <c r="F94">
        <f>INT(B94*E94/Constants!$B$2)</f>
        <v>11</v>
      </c>
      <c r="G94">
        <f>MOD(B94*E94,Constants!$B$2)</f>
        <v>9</v>
      </c>
      <c r="H94">
        <f>B94+F94+IF(C94="CEIL_NEIGHBOR",1,0)</f>
        <v>58</v>
      </c>
      <c r="I94">
        <f>B94+H94</f>
        <v>105</v>
      </c>
      <c r="J94" t="str">
        <f>B94&amp;"p+"&amp;H94&amp;"n+"&amp;B94&amp;"e"</f>
        <v>47p+58n+47e</v>
      </c>
      <c r="K94" t="str">
        <f>(2*B94+H94)&amp;"u+"&amp;(B94+2*H94)&amp;"d+"&amp;B94&amp;"e"</f>
        <v>152u+163d+47e</v>
      </c>
      <c r="L94">
        <f>B94*Constants!$B$11+(H94-B94)*Constants!$B$12</f>
        <v>435.7174479166666666666666666666666666666666666666666666666666666666666666666666666666666666666666667</v>
      </c>
      <c r="M94">
        <f>L94*Constants!$B$5</f>
        <v>3485.739583333333333333333333333333333333333333333333333333333333333333333333333333333333333333333333</v>
      </c>
      <c r="N94">
        <f>L94*7</f>
        <v>3050.022135416666666666666666666666666666666666666666666666666666666666666666666666666666666666666667</v>
      </c>
      <c r="O94" t="str">
        <f>IF(B94&gt;Constants!$B$6-Constants!$B$5,"CONSTANT_FRONTIER_TAIL_CANDIDATE",IF(G94=0,"CONSTANT_STABLE_ANCHOR_LANE",IF(G94=Constants!$B$2/2,"CONSTANT_HALF_WRITE_LANE","CONSTANT_BOUND_LADDER_LANE")))</f>
        <v>CONSTANT_BOUND_LADDER_LANE</v>
      </c>
    </row>
    <row r="95">
      <c r="A95">
        <f>ROW()-1</f>
        <v>94</v>
      </c>
      <c r="B95">
        <f>INT((A95-1)/2)+1</f>
        <v>47</v>
      </c>
      <c r="C95" t="str">
        <f>IF(MOD(A95-1,2)=0,"FLOOR_PRIMARY","CEIL_NEIGHBOR")</f>
        <v>CEIL_NEIGHBOR</v>
      </c>
      <c r="D95" t="str">
        <f>IF(C95="FLOOR_PRIMARY","yes",IF(G95&lt;&gt;0,"yes","no"))</f>
        <v>yes</v>
      </c>
      <c r="E95">
        <f>MAX(0,INT((B95-1)/Constants!$B$2))</f>
        <v>3</v>
      </c>
      <c r="F95">
        <f>INT(B95*E95/Constants!$B$2)</f>
        <v>11</v>
      </c>
      <c r="G95">
        <f>MOD(B95*E95,Constants!$B$2)</f>
        <v>9</v>
      </c>
      <c r="H95">
        <f>B95+F95+IF(C95="CEIL_NEIGHBOR",1,0)</f>
        <v>59</v>
      </c>
      <c r="I95">
        <f>B95+H95</f>
        <v>106</v>
      </c>
      <c r="J95" t="str">
        <f>B95&amp;"p+"&amp;H95&amp;"n+"&amp;B95&amp;"e"</f>
        <v>47p+59n+47e</v>
      </c>
      <c r="K95" t="str">
        <f>(2*B95+H95)&amp;"u+"&amp;(B95+2*H95)&amp;"d+"&amp;B95&amp;"e"</f>
        <v>153u+165d+47e</v>
      </c>
      <c r="L95">
        <f>B95*Constants!$B$11+(H95-B95)*Constants!$B$12</f>
        <v>435.7330729166666666666666666666666666666666666666666666666666666666666666666666666666666666666666667</v>
      </c>
      <c r="M95">
        <f>L95*Constants!$B$5</f>
        <v>3485.864583333333333333333333333333333333333333333333333333333333333333333333333333333333333333333333</v>
      </c>
      <c r="N95">
        <f>L95*7</f>
        <v>3050.131510416666666666666666666666666666666666666666666666666666666666666666666666666666666666666667</v>
      </c>
      <c r="O95" t="str">
        <f>IF(B95&gt;Constants!$B$6-Constants!$B$5,"CONSTANT_FRONTIER_TAIL_CANDIDATE",IF(G95=0,"CONSTANT_STABLE_ANCHOR_LANE",IF(G95=Constants!$B$2/2,"CONSTANT_HALF_WRITE_LANE","CONSTANT_BOUND_LADDER_LANE")))</f>
        <v>CONSTANT_BOUND_LADDER_LANE</v>
      </c>
    </row>
    <row r="96">
      <c r="A96">
        <f>ROW()-1</f>
        <v>95</v>
      </c>
      <c r="B96">
        <f>INT((A96-1)/2)+1</f>
        <v>48</v>
      </c>
      <c r="C96" t="str">
        <f>IF(MOD(A96-1,2)=0,"FLOOR_PRIMARY","CEIL_NEIGHBOR")</f>
        <v>FLOOR_PRIMARY</v>
      </c>
      <c r="D96" t="str">
        <f>IF(C96="FLOOR_PRIMARY","yes",IF(G96&lt;&gt;0,"yes","no"))</f>
        <v>yes</v>
      </c>
      <c r="E96">
        <f>MAX(0,INT((B96-1)/Constants!$B$2))</f>
        <v>3</v>
      </c>
      <c r="F96">
        <f>INT(B96*E96/Constants!$B$2)</f>
        <v>12</v>
      </c>
      <c r="G96">
        <f>MOD(B96*E96,Constants!$B$2)</f>
        <v>0</v>
      </c>
      <c r="H96">
        <f>B96+F96+IF(C96="CEIL_NEIGHBOR",1,0)</f>
        <v>60</v>
      </c>
      <c r="I96">
        <f>B96+H96</f>
        <v>108</v>
      </c>
      <c r="J96" t="str">
        <f>B96&amp;"p+"&amp;H96&amp;"n+"&amp;B96&amp;"e"</f>
        <v>48p+60n+48e</v>
      </c>
      <c r="K96" t="str">
        <f>(2*B96+H96)&amp;"u+"&amp;(B96+2*H96)&amp;"d+"&amp;B96&amp;"e"</f>
        <v>156u+168d+48e</v>
      </c>
      <c r="L96">
        <f>B96*Constants!$B$11+(H96-B96)*Constants!$B$12</f>
        <v>445</v>
      </c>
      <c r="M96">
        <f>L96*Constants!$B$5</f>
        <v>3560</v>
      </c>
      <c r="N96">
        <f>L96*7</f>
        <v>3115</v>
      </c>
      <c r="O96" t="str">
        <f>IF(B96&gt;Constants!$B$6-Constants!$B$5,"CONSTANT_FRONTIER_TAIL_CANDIDATE",IF(G96=0,"CONSTANT_STABLE_ANCHOR_LANE",IF(G96=Constants!$B$2/2,"CONSTANT_HALF_WRITE_LANE","CONSTANT_BOUND_LADDER_LANE")))</f>
        <v>CONSTANT_STABLE_ANCHOR_LANE</v>
      </c>
    </row>
    <row r="97">
      <c r="A97">
        <f>ROW()-1</f>
        <v>96</v>
      </c>
      <c r="B97">
        <f>INT((A97-1)/2)+1</f>
        <v>48</v>
      </c>
      <c r="C97" t="str">
        <f>IF(MOD(A97-1,2)=0,"FLOOR_PRIMARY","CEIL_NEIGHBOR")</f>
        <v>CEIL_NEIGHBOR</v>
      </c>
      <c r="D97" t="str">
        <f>IF(C97="FLOOR_PRIMARY","yes",IF(G97&lt;&gt;0,"yes","no"))</f>
        <v>no</v>
      </c>
      <c r="E97">
        <f>MAX(0,INT((B97-1)/Constants!$B$2))</f>
        <v>3</v>
      </c>
      <c r="F97">
        <f>INT(B97*E97/Constants!$B$2)</f>
        <v>12</v>
      </c>
      <c r="G97">
        <f>MOD(B97*E97,Constants!$B$2)</f>
        <v>0</v>
      </c>
      <c r="H97">
        <f>B97+F97+IF(C97="CEIL_NEIGHBOR",1,0)</f>
        <v>61</v>
      </c>
      <c r="I97">
        <f>B97+H97</f>
        <v>109</v>
      </c>
      <c r="J97" t="str">
        <f>B97&amp;"p+"&amp;H97&amp;"n+"&amp;B97&amp;"e"</f>
        <v>48p+61n+48e</v>
      </c>
      <c r="K97" t="str">
        <f>(2*B97+H97)&amp;"u+"&amp;(B97+2*H97)&amp;"d+"&amp;B97&amp;"e"</f>
        <v>157u+170d+48e</v>
      </c>
      <c r="L97">
        <f>B97*Constants!$B$11+(H97-B97)*Constants!$B$12</f>
        <v>445.015625</v>
      </c>
      <c r="M97">
        <f>L97*Constants!$B$5</f>
        <v>3560.125</v>
      </c>
      <c r="N97">
        <f>L97*7</f>
        <v>3115.109375</v>
      </c>
      <c r="O97" t="str">
        <f>IF(B97&gt;Constants!$B$6-Constants!$B$5,"CONSTANT_FRONTIER_TAIL_CANDIDATE",IF(G97=0,"CONSTANT_STABLE_ANCHOR_LANE",IF(G97=Constants!$B$2/2,"CONSTANT_HALF_WRITE_LANE","CONSTANT_BOUND_LADDER_LANE")))</f>
        <v>CONSTANT_BOUND_LADDER_LANE</v>
      </c>
    </row>
    <row r="98">
      <c r="A98">
        <f>ROW()-1</f>
        <v>97</v>
      </c>
      <c r="B98">
        <f>INT((A98-1)/2)+1</f>
        <v>49</v>
      </c>
      <c r="C98" t="str">
        <f>IF(MOD(A98-1,2)=0,"FLOOR_PRIMARY","CEIL_NEIGHBOR")</f>
        <v>FLOOR_PRIMARY</v>
      </c>
      <c r="D98" t="str">
        <f>IF(C98="FLOOR_PRIMARY","yes",IF(G98&lt;&gt;0,"yes","no"))</f>
        <v>yes</v>
      </c>
      <c r="E98">
        <f>MAX(0,INT((B98-1)/Constants!$B$2))</f>
        <v>4</v>
      </c>
      <c r="F98">
        <f>INT(B98*E98/Constants!$B$2)</f>
        <v>16</v>
      </c>
      <c r="G98">
        <f>MOD(B98*E98,Constants!$B$2)</f>
        <v>4</v>
      </c>
      <c r="H98">
        <f>B98+F98+IF(C98="CEIL_NEIGHBOR",1,0)</f>
        <v>65</v>
      </c>
      <c r="I98">
        <f>B98+H98</f>
        <v>114</v>
      </c>
      <c r="J98" t="str">
        <f>B98&amp;"p+"&amp;H98&amp;"n+"&amp;B98&amp;"e"</f>
        <v>49p+65n+49e</v>
      </c>
      <c r="K98" t="str">
        <f>(2*B98+H98)&amp;"u+"&amp;(B98+2*H98)&amp;"d+"&amp;B98&amp;"e"</f>
        <v>163u+179d+49e</v>
      </c>
      <c r="L98">
        <f>B98*Constants!$B$11+(H98-B98)*Constants!$B$12</f>
        <v>454.3294270833333333333333333333333333333333333333333333333333333333333333333333333333333333333333333</v>
      </c>
      <c r="M98">
        <f>L98*Constants!$B$5</f>
        <v>3634.635416666666666666666666666666666666666666666666666666666666666666666666666666666666666666666667</v>
      </c>
      <c r="N98">
        <f>L98*7</f>
        <v>3180.305989583333333333333333333333333333333333333333333333333333333333333333333333333333333333333333</v>
      </c>
      <c r="O98" t="str">
        <f>IF(B98&gt;Constants!$B$6-Constants!$B$5,"CONSTANT_FRONTIER_TAIL_CANDIDATE",IF(G98=0,"CONSTANT_STABLE_ANCHOR_LANE",IF(G98=Constants!$B$2/2,"CONSTANT_HALF_WRITE_LANE","CONSTANT_BOUND_LADDER_LANE")))</f>
        <v>CONSTANT_BOUND_LADDER_LANE</v>
      </c>
    </row>
    <row r="99">
      <c r="A99">
        <f>ROW()-1</f>
        <v>98</v>
      </c>
      <c r="B99">
        <f>INT((A99-1)/2)+1</f>
        <v>49</v>
      </c>
      <c r="C99" t="str">
        <f>IF(MOD(A99-1,2)=0,"FLOOR_PRIMARY","CEIL_NEIGHBOR")</f>
        <v>CEIL_NEIGHBOR</v>
      </c>
      <c r="D99" t="str">
        <f>IF(C99="FLOOR_PRIMARY","yes",IF(G99&lt;&gt;0,"yes","no"))</f>
        <v>yes</v>
      </c>
      <c r="E99">
        <f>MAX(0,INT((B99-1)/Constants!$B$2))</f>
        <v>4</v>
      </c>
      <c r="F99">
        <f>INT(B99*E99/Constants!$B$2)</f>
        <v>16</v>
      </c>
      <c r="G99">
        <f>MOD(B99*E99,Constants!$B$2)</f>
        <v>4</v>
      </c>
      <c r="H99">
        <f>B99+F99+IF(C99="CEIL_NEIGHBOR",1,0)</f>
        <v>66</v>
      </c>
      <c r="I99">
        <f>B99+H99</f>
        <v>115</v>
      </c>
      <c r="J99" t="str">
        <f>B99&amp;"p+"&amp;H99&amp;"n+"&amp;B99&amp;"e"</f>
        <v>49p+66n+49e</v>
      </c>
      <c r="K99" t="str">
        <f>(2*B99+H99)&amp;"u+"&amp;(B99+2*H99)&amp;"d+"&amp;B99&amp;"e"</f>
        <v>164u+181d+49e</v>
      </c>
      <c r="L99">
        <f>B99*Constants!$B$11+(H99-B99)*Constants!$B$12</f>
        <v>454.3450520833333333333333333333333333333333333333333333333333333333333333333333333333333333333333333</v>
      </c>
      <c r="M99">
        <f>L99*Constants!$B$5</f>
        <v>3634.760416666666666666666666666666666666666666666666666666666666666666666666666666666666666666666667</v>
      </c>
      <c r="N99">
        <f>L99*7</f>
        <v>3180.415364583333333333333333333333333333333333333333333333333333333333333333333333333333333333333333</v>
      </c>
      <c r="O99" t="str">
        <f>IF(B99&gt;Constants!$B$6-Constants!$B$5,"CONSTANT_FRONTIER_TAIL_CANDIDATE",IF(G99=0,"CONSTANT_STABLE_ANCHOR_LANE",IF(G99=Constants!$B$2/2,"CONSTANT_HALF_WRITE_LANE","CONSTANT_BOUND_LADDER_LANE")))</f>
        <v>CONSTANT_BOUND_LADDER_LANE</v>
      </c>
    </row>
    <row r="100">
      <c r="A100">
        <f>ROW()-1</f>
        <v>99</v>
      </c>
      <c r="B100">
        <f>INT((A100-1)/2)+1</f>
        <v>50</v>
      </c>
      <c r="C100" t="str">
        <f>IF(MOD(A100-1,2)=0,"FLOOR_PRIMARY","CEIL_NEIGHBOR")</f>
        <v>FLOOR_PRIMARY</v>
      </c>
      <c r="D100" t="str">
        <f>IF(C100="FLOOR_PRIMARY","yes",IF(G100&lt;&gt;0,"yes","no"))</f>
        <v>yes</v>
      </c>
      <c r="E100">
        <f>MAX(0,INT((B100-1)/Constants!$B$2))</f>
        <v>4</v>
      </c>
      <c r="F100">
        <f>INT(B100*E100/Constants!$B$2)</f>
        <v>16</v>
      </c>
      <c r="G100">
        <f>MOD(B100*E100,Constants!$B$2)</f>
        <v>8</v>
      </c>
      <c r="H100">
        <f>B100+F100+IF(C100="CEIL_NEIGHBOR",1,0)</f>
        <v>66</v>
      </c>
      <c r="I100">
        <f>B100+H100</f>
        <v>116</v>
      </c>
      <c r="J100" t="str">
        <f>B100&amp;"p+"&amp;H100&amp;"n+"&amp;B100&amp;"e"</f>
        <v>50p+66n+50e</v>
      </c>
      <c r="K100" t="str">
        <f>(2*B100+H100)&amp;"u+"&amp;(B100+2*H100)&amp;"d+"&amp;B100&amp;"e"</f>
        <v>166u+182d+50e</v>
      </c>
      <c r="L100">
        <f>B100*Constants!$B$11+(H100-B100)*Constants!$B$12</f>
        <v>463.5963541666666666666666666666666666666666666666666666666666666666666666666666666666666666666666667</v>
      </c>
      <c r="M100">
        <f>L100*Constants!$B$5</f>
        <v>3708.770833333333333333333333333333333333333333333333333333333333333333333333333333333333333333333333</v>
      </c>
      <c r="N100">
        <f>L100*7</f>
        <v>3245.174479166666666666666666666666666666666666666666666666666666666666666666666666666666666666666667</v>
      </c>
      <c r="O100" t="str">
        <f>IF(B100&gt;Constants!$B$6-Constants!$B$5,"CONSTANT_FRONTIER_TAIL_CANDIDATE",IF(G100=0,"CONSTANT_STABLE_ANCHOR_LANE",IF(G100=Constants!$B$2/2,"CONSTANT_HALF_WRITE_LANE","CONSTANT_BOUND_LADDER_LANE")))</f>
        <v>CONSTANT_BOUND_LADDER_LANE</v>
      </c>
    </row>
    <row r="101">
      <c r="A101">
        <f>ROW()-1</f>
        <v>100</v>
      </c>
      <c r="B101">
        <f>INT((A101-1)/2)+1</f>
        <v>50</v>
      </c>
      <c r="C101" t="str">
        <f>IF(MOD(A101-1,2)=0,"FLOOR_PRIMARY","CEIL_NEIGHBOR")</f>
        <v>CEIL_NEIGHBOR</v>
      </c>
      <c r="D101" t="str">
        <f>IF(C101="FLOOR_PRIMARY","yes",IF(G101&lt;&gt;0,"yes","no"))</f>
        <v>yes</v>
      </c>
      <c r="E101">
        <f>MAX(0,INT((B101-1)/Constants!$B$2))</f>
        <v>4</v>
      </c>
      <c r="F101">
        <f>INT(B101*E101/Constants!$B$2)</f>
        <v>16</v>
      </c>
      <c r="G101">
        <f>MOD(B101*E101,Constants!$B$2)</f>
        <v>8</v>
      </c>
      <c r="H101">
        <f>B101+F101+IF(C101="CEIL_NEIGHBOR",1,0)</f>
        <v>67</v>
      </c>
      <c r="I101">
        <f>B101+H101</f>
        <v>117</v>
      </c>
      <c r="J101" t="str">
        <f>B101&amp;"p+"&amp;H101&amp;"n+"&amp;B101&amp;"e"</f>
        <v>50p+67n+50e</v>
      </c>
      <c r="K101" t="str">
        <f>(2*B101+H101)&amp;"u+"&amp;(B101+2*H101)&amp;"d+"&amp;B101&amp;"e"</f>
        <v>167u+184d+50e</v>
      </c>
      <c r="L101">
        <f>B101*Constants!$B$11+(H101-B101)*Constants!$B$12</f>
        <v>463.6119791666666666666666666666666666666666666666666666666666666666666666666666666666666666666666667</v>
      </c>
      <c r="M101">
        <f>L101*Constants!$B$5</f>
        <v>3708.895833333333333333333333333333333333333333333333333333333333333333333333333333333333333333333333</v>
      </c>
      <c r="N101">
        <f>L101*7</f>
        <v>3245.283854166666666666666666666666666666666666666666666666666666666666666666666666666666666666666667</v>
      </c>
      <c r="O101" t="str">
        <f>IF(B101&gt;Constants!$B$6-Constants!$B$5,"CONSTANT_FRONTIER_TAIL_CANDIDATE",IF(G101=0,"CONSTANT_STABLE_ANCHOR_LANE",IF(G101=Constants!$B$2/2,"CONSTANT_HALF_WRITE_LANE","CONSTANT_BOUND_LADDER_LANE")))</f>
        <v>CONSTANT_BOUND_LADDER_LANE</v>
      </c>
    </row>
    <row r="102">
      <c r="A102">
        <f>ROW()-1</f>
        <v>101</v>
      </c>
      <c r="B102">
        <f>INT((A102-1)/2)+1</f>
        <v>51</v>
      </c>
      <c r="C102" t="str">
        <f>IF(MOD(A102-1,2)=0,"FLOOR_PRIMARY","CEIL_NEIGHBOR")</f>
        <v>FLOOR_PRIMARY</v>
      </c>
      <c r="D102" t="str">
        <f>IF(C102="FLOOR_PRIMARY","yes",IF(G102&lt;&gt;0,"yes","no"))</f>
        <v>yes</v>
      </c>
      <c r="E102">
        <f>MAX(0,INT((B102-1)/Constants!$B$2))</f>
        <v>4</v>
      </c>
      <c r="F102">
        <f>INT(B102*E102/Constants!$B$2)</f>
        <v>17</v>
      </c>
      <c r="G102">
        <f>MOD(B102*E102,Constants!$B$2)</f>
        <v>0</v>
      </c>
      <c r="H102">
        <f>B102+F102+IF(C102="CEIL_NEIGHBOR",1,0)</f>
        <v>68</v>
      </c>
      <c r="I102">
        <f>B102+H102</f>
        <v>119</v>
      </c>
      <c r="J102" t="str">
        <f>B102&amp;"p+"&amp;H102&amp;"n+"&amp;B102&amp;"e"</f>
        <v>51p+68n+51e</v>
      </c>
      <c r="K102" t="str">
        <f>(2*B102+H102)&amp;"u+"&amp;(B102+2*H102)&amp;"d+"&amp;B102&amp;"e"</f>
        <v>170u+187d+51e</v>
      </c>
      <c r="L102">
        <f>B102*Constants!$B$11+(H102-B102)*Constants!$B$12</f>
        <v>472.87890625</v>
      </c>
      <c r="M102">
        <f>L102*Constants!$B$5</f>
        <v>3783.03125</v>
      </c>
      <c r="N102">
        <f>L102*7</f>
        <v>3310.15234375</v>
      </c>
      <c r="O102" t="str">
        <f>IF(B102&gt;Constants!$B$6-Constants!$B$5,"CONSTANT_FRONTIER_TAIL_CANDIDATE",IF(G102=0,"CONSTANT_STABLE_ANCHOR_LANE",IF(G102=Constants!$B$2/2,"CONSTANT_HALF_WRITE_LANE","CONSTANT_BOUND_LADDER_LANE")))</f>
        <v>CONSTANT_STABLE_ANCHOR_LANE</v>
      </c>
    </row>
    <row r="103">
      <c r="A103">
        <f>ROW()-1</f>
        <v>102</v>
      </c>
      <c r="B103">
        <f>INT((A103-1)/2)+1</f>
        <v>51</v>
      </c>
      <c r="C103" t="str">
        <f>IF(MOD(A103-1,2)=0,"FLOOR_PRIMARY","CEIL_NEIGHBOR")</f>
        <v>CEIL_NEIGHBOR</v>
      </c>
      <c r="D103" t="str">
        <f>IF(C103="FLOOR_PRIMARY","yes",IF(G103&lt;&gt;0,"yes","no"))</f>
        <v>no</v>
      </c>
      <c r="E103">
        <f>MAX(0,INT((B103-1)/Constants!$B$2))</f>
        <v>4</v>
      </c>
      <c r="F103">
        <f>INT(B103*E103/Constants!$B$2)</f>
        <v>17</v>
      </c>
      <c r="G103">
        <f>MOD(B103*E103,Constants!$B$2)</f>
        <v>0</v>
      </c>
      <c r="H103">
        <f>B103+F103+IF(C103="CEIL_NEIGHBOR",1,0)</f>
        <v>69</v>
      </c>
      <c r="I103">
        <f>B103+H103</f>
        <v>120</v>
      </c>
      <c r="J103" t="str">
        <f>B103&amp;"p+"&amp;H103&amp;"n+"&amp;B103&amp;"e"</f>
        <v>51p+69n+51e</v>
      </c>
      <c r="K103" t="str">
        <f>(2*B103+H103)&amp;"u+"&amp;(B103+2*H103)&amp;"d+"&amp;B103&amp;"e"</f>
        <v>171u+189d+51e</v>
      </c>
      <c r="L103">
        <f>B103*Constants!$B$11+(H103-B103)*Constants!$B$12</f>
        <v>472.89453125</v>
      </c>
      <c r="M103">
        <f>L103*Constants!$B$5</f>
        <v>3783.15625</v>
      </c>
      <c r="N103">
        <f>L103*7</f>
        <v>3310.26171875</v>
      </c>
      <c r="O103" t="str">
        <f>IF(B103&gt;Constants!$B$6-Constants!$B$5,"CONSTANT_FRONTIER_TAIL_CANDIDATE",IF(G103=0,"CONSTANT_STABLE_ANCHOR_LANE",IF(G103=Constants!$B$2/2,"CONSTANT_HALF_WRITE_LANE","CONSTANT_BOUND_LADDER_LANE")))</f>
        <v>CONSTANT_BOUND_LADDER_LANE</v>
      </c>
    </row>
    <row r="104">
      <c r="A104">
        <f>ROW()-1</f>
        <v>103</v>
      </c>
      <c r="B104">
        <f>INT((A104-1)/2)+1</f>
        <v>52</v>
      </c>
      <c r="C104" t="str">
        <f>IF(MOD(A104-1,2)=0,"FLOOR_PRIMARY","CEIL_NEIGHBOR")</f>
        <v>FLOOR_PRIMARY</v>
      </c>
      <c r="D104" t="str">
        <f>IF(C104="FLOOR_PRIMARY","yes",IF(G104&lt;&gt;0,"yes","no"))</f>
        <v>yes</v>
      </c>
      <c r="E104">
        <f>MAX(0,INT((B104-1)/Constants!$B$2))</f>
        <v>4</v>
      </c>
      <c r="F104">
        <f>INT(B104*E104/Constants!$B$2)</f>
        <v>17</v>
      </c>
      <c r="G104">
        <f>MOD(B104*E104,Constants!$B$2)</f>
        <v>4</v>
      </c>
      <c r="H104">
        <f>B104+F104+IF(C104="CEIL_NEIGHBOR",1,0)</f>
        <v>69</v>
      </c>
      <c r="I104">
        <f>B104+H104</f>
        <v>121</v>
      </c>
      <c r="J104" t="str">
        <f>B104&amp;"p+"&amp;H104&amp;"n+"&amp;B104&amp;"e"</f>
        <v>52p+69n+52e</v>
      </c>
      <c r="K104" t="str">
        <f>(2*B104+H104)&amp;"u+"&amp;(B104+2*H104)&amp;"d+"&amp;B104&amp;"e"</f>
        <v>173u+190d+52e</v>
      </c>
      <c r="L104">
        <f>B104*Constants!$B$11+(H104-B104)*Constants!$B$12</f>
        <v>482.1458333333333333333333333333333333333333333333333333333333333333333333333333333333333333333333333</v>
      </c>
      <c r="M104">
        <f>L104*Constants!$B$5</f>
        <v>3857.166666666666666666666666666666666666666666666666666666666666666666666666666666666666666666666667</v>
      </c>
      <c r="N104">
        <f>L104*7</f>
        <v>3375.020833333333333333333333333333333333333333333333333333333333333333333333333333333333333333333333</v>
      </c>
      <c r="O104" t="str">
        <f>IF(B104&gt;Constants!$B$6-Constants!$B$5,"CONSTANT_FRONTIER_TAIL_CANDIDATE",IF(G104=0,"CONSTANT_STABLE_ANCHOR_LANE",IF(G104=Constants!$B$2/2,"CONSTANT_HALF_WRITE_LANE","CONSTANT_BOUND_LADDER_LANE")))</f>
        <v>CONSTANT_BOUND_LADDER_LANE</v>
      </c>
    </row>
    <row r="105">
      <c r="A105">
        <f>ROW()-1</f>
        <v>104</v>
      </c>
      <c r="B105">
        <f>INT((A105-1)/2)+1</f>
        <v>52</v>
      </c>
      <c r="C105" t="str">
        <f>IF(MOD(A105-1,2)=0,"FLOOR_PRIMARY","CEIL_NEIGHBOR")</f>
        <v>CEIL_NEIGHBOR</v>
      </c>
      <c r="D105" t="str">
        <f>IF(C105="FLOOR_PRIMARY","yes",IF(G105&lt;&gt;0,"yes","no"))</f>
        <v>yes</v>
      </c>
      <c r="E105">
        <f>MAX(0,INT((B105-1)/Constants!$B$2))</f>
        <v>4</v>
      </c>
      <c r="F105">
        <f>INT(B105*E105/Constants!$B$2)</f>
        <v>17</v>
      </c>
      <c r="G105">
        <f>MOD(B105*E105,Constants!$B$2)</f>
        <v>4</v>
      </c>
      <c r="H105">
        <f>B105+F105+IF(C105="CEIL_NEIGHBOR",1,0)</f>
        <v>70</v>
      </c>
      <c r="I105">
        <f>B105+H105</f>
        <v>122</v>
      </c>
      <c r="J105" t="str">
        <f>B105&amp;"p+"&amp;H105&amp;"n+"&amp;B105&amp;"e"</f>
        <v>52p+70n+52e</v>
      </c>
      <c r="K105" t="str">
        <f>(2*B105+H105)&amp;"u+"&amp;(B105+2*H105)&amp;"d+"&amp;B105&amp;"e"</f>
        <v>174u+192d+52e</v>
      </c>
      <c r="L105">
        <f>B105*Constants!$B$11+(H105-B105)*Constants!$B$12</f>
        <v>482.1614583333333333333333333333333333333333333333333333333333333333333333333333333333333333333333333</v>
      </c>
      <c r="M105">
        <f>L105*Constants!$B$5</f>
        <v>3857.291666666666666666666666666666666666666666666666666666666666666666666666666666666666666666666667</v>
      </c>
      <c r="N105">
        <f>L105*7</f>
        <v>3375.130208333333333333333333333333333333333333333333333333333333333333333333333333333333333333333333</v>
      </c>
      <c r="O105" t="str">
        <f>IF(B105&gt;Constants!$B$6-Constants!$B$5,"CONSTANT_FRONTIER_TAIL_CANDIDATE",IF(G105=0,"CONSTANT_STABLE_ANCHOR_LANE",IF(G105=Constants!$B$2/2,"CONSTANT_HALF_WRITE_LANE","CONSTANT_BOUND_LADDER_LANE")))</f>
        <v>CONSTANT_BOUND_LADDER_LANE</v>
      </c>
    </row>
    <row r="106">
      <c r="A106">
        <f>ROW()-1</f>
        <v>105</v>
      </c>
      <c r="B106">
        <f>INT((A106-1)/2)+1</f>
        <v>53</v>
      </c>
      <c r="C106" t="str">
        <f>IF(MOD(A106-1,2)=0,"FLOOR_PRIMARY","CEIL_NEIGHBOR")</f>
        <v>FLOOR_PRIMARY</v>
      </c>
      <c r="D106" t="str">
        <f>IF(C106="FLOOR_PRIMARY","yes",IF(G106&lt;&gt;0,"yes","no"))</f>
        <v>yes</v>
      </c>
      <c r="E106">
        <f>MAX(0,INT((B106-1)/Constants!$B$2))</f>
        <v>4</v>
      </c>
      <c r="F106">
        <f>INT(B106*E106/Constants!$B$2)</f>
        <v>17</v>
      </c>
      <c r="G106">
        <f>MOD(B106*E106,Constants!$B$2)</f>
        <v>8</v>
      </c>
      <c r="H106">
        <f>B106+F106+IF(C106="CEIL_NEIGHBOR",1,0)</f>
        <v>70</v>
      </c>
      <c r="I106">
        <f>B106+H106</f>
        <v>123</v>
      </c>
      <c r="J106" t="str">
        <f>B106&amp;"p+"&amp;H106&amp;"n+"&amp;B106&amp;"e"</f>
        <v>53p+70n+53e</v>
      </c>
      <c r="K106" t="str">
        <f>(2*B106+H106)&amp;"u+"&amp;(B106+2*H106)&amp;"d+"&amp;B106&amp;"e"</f>
        <v>176u+193d+53e</v>
      </c>
      <c r="L106">
        <f>B106*Constants!$B$11+(H106-B106)*Constants!$B$12</f>
        <v>491.4127604166666666666666666666666666666666666666666666666666666666666666666666666666666666666666667</v>
      </c>
      <c r="M106">
        <f>L106*Constants!$B$5</f>
        <v>3931.302083333333333333333333333333333333333333333333333333333333333333333333333333333333333333333333</v>
      </c>
      <c r="N106">
        <f>L106*7</f>
        <v>3439.889322916666666666666666666666666666666666666666666666666666666666666666666666666666666666666667</v>
      </c>
      <c r="O106" t="str">
        <f>IF(B106&gt;Constants!$B$6-Constants!$B$5,"CONSTANT_FRONTIER_TAIL_CANDIDATE",IF(G106=0,"CONSTANT_STABLE_ANCHOR_LANE",IF(G106=Constants!$B$2/2,"CONSTANT_HALF_WRITE_LANE","CONSTANT_BOUND_LADDER_LANE")))</f>
        <v>CONSTANT_BOUND_LADDER_LANE</v>
      </c>
    </row>
    <row r="107">
      <c r="A107">
        <f>ROW()-1</f>
        <v>106</v>
      </c>
      <c r="B107">
        <f>INT((A107-1)/2)+1</f>
        <v>53</v>
      </c>
      <c r="C107" t="str">
        <f>IF(MOD(A107-1,2)=0,"FLOOR_PRIMARY","CEIL_NEIGHBOR")</f>
        <v>CEIL_NEIGHBOR</v>
      </c>
      <c r="D107" t="str">
        <f>IF(C107="FLOOR_PRIMARY","yes",IF(G107&lt;&gt;0,"yes","no"))</f>
        <v>yes</v>
      </c>
      <c r="E107">
        <f>MAX(0,INT((B107-1)/Constants!$B$2))</f>
        <v>4</v>
      </c>
      <c r="F107">
        <f>INT(B107*E107/Constants!$B$2)</f>
        <v>17</v>
      </c>
      <c r="G107">
        <f>MOD(B107*E107,Constants!$B$2)</f>
        <v>8</v>
      </c>
      <c r="H107">
        <f>B107+F107+IF(C107="CEIL_NEIGHBOR",1,0)</f>
        <v>71</v>
      </c>
      <c r="I107">
        <f>B107+H107</f>
        <v>124</v>
      </c>
      <c r="J107" t="str">
        <f>B107&amp;"p+"&amp;H107&amp;"n+"&amp;B107&amp;"e"</f>
        <v>53p+71n+53e</v>
      </c>
      <c r="K107" t="str">
        <f>(2*B107+H107)&amp;"u+"&amp;(B107+2*H107)&amp;"d+"&amp;B107&amp;"e"</f>
        <v>177u+195d+53e</v>
      </c>
      <c r="L107">
        <f>B107*Constants!$B$11+(H107-B107)*Constants!$B$12</f>
        <v>491.4283854166666666666666666666666666666666666666666666666666666666666666666666666666666666666666667</v>
      </c>
      <c r="M107">
        <f>L107*Constants!$B$5</f>
        <v>3931.427083333333333333333333333333333333333333333333333333333333333333333333333333333333333333333333</v>
      </c>
      <c r="N107">
        <f>L107*7</f>
        <v>3439.998697916666666666666666666666666666666666666666666666666666666666666666666666666666666666666667</v>
      </c>
      <c r="O107" t="str">
        <f>IF(B107&gt;Constants!$B$6-Constants!$B$5,"CONSTANT_FRONTIER_TAIL_CANDIDATE",IF(G107=0,"CONSTANT_STABLE_ANCHOR_LANE",IF(G107=Constants!$B$2/2,"CONSTANT_HALF_WRITE_LANE","CONSTANT_BOUND_LADDER_LANE")))</f>
        <v>CONSTANT_BOUND_LADDER_LANE</v>
      </c>
    </row>
    <row r="108">
      <c r="A108">
        <f>ROW()-1</f>
        <v>107</v>
      </c>
      <c r="B108">
        <f>INT((A108-1)/2)+1</f>
        <v>54</v>
      </c>
      <c r="C108" t="str">
        <f>IF(MOD(A108-1,2)=0,"FLOOR_PRIMARY","CEIL_NEIGHBOR")</f>
        <v>FLOOR_PRIMARY</v>
      </c>
      <c r="D108" t="str">
        <f>IF(C108="FLOOR_PRIMARY","yes",IF(G108&lt;&gt;0,"yes","no"))</f>
        <v>yes</v>
      </c>
      <c r="E108">
        <f>MAX(0,INT((B108-1)/Constants!$B$2))</f>
        <v>4</v>
      </c>
      <c r="F108">
        <f>INT(B108*E108/Constants!$B$2)</f>
        <v>18</v>
      </c>
      <c r="G108">
        <f>MOD(B108*E108,Constants!$B$2)</f>
        <v>0</v>
      </c>
      <c r="H108">
        <f>B108+F108+IF(C108="CEIL_NEIGHBOR",1,0)</f>
        <v>72</v>
      </c>
      <c r="I108">
        <f>B108+H108</f>
        <v>126</v>
      </c>
      <c r="J108" t="str">
        <f>B108&amp;"p+"&amp;H108&amp;"n+"&amp;B108&amp;"e"</f>
        <v>54p+72n+54e</v>
      </c>
      <c r="K108" t="str">
        <f>(2*B108+H108)&amp;"u+"&amp;(B108+2*H108)&amp;"d+"&amp;B108&amp;"e"</f>
        <v>180u+198d+54e</v>
      </c>
      <c r="L108">
        <f>B108*Constants!$B$11+(H108-B108)*Constants!$B$12</f>
        <v>500.6953125</v>
      </c>
      <c r="M108">
        <f>L108*Constants!$B$5</f>
        <v>4005.5625</v>
      </c>
      <c r="N108">
        <f>L108*7</f>
        <v>3504.8671875</v>
      </c>
      <c r="O108" t="str">
        <f>IF(B108&gt;Constants!$B$6-Constants!$B$5,"CONSTANT_FRONTIER_TAIL_CANDIDATE",IF(G108=0,"CONSTANT_STABLE_ANCHOR_LANE",IF(G108=Constants!$B$2/2,"CONSTANT_HALF_WRITE_LANE","CONSTANT_BOUND_LADDER_LANE")))</f>
        <v>CONSTANT_STABLE_ANCHOR_LANE</v>
      </c>
    </row>
    <row r="109">
      <c r="A109">
        <f>ROW()-1</f>
        <v>108</v>
      </c>
      <c r="B109">
        <f>INT((A109-1)/2)+1</f>
        <v>54</v>
      </c>
      <c r="C109" t="str">
        <f>IF(MOD(A109-1,2)=0,"FLOOR_PRIMARY","CEIL_NEIGHBOR")</f>
        <v>CEIL_NEIGHBOR</v>
      </c>
      <c r="D109" t="str">
        <f>IF(C109="FLOOR_PRIMARY","yes",IF(G109&lt;&gt;0,"yes","no"))</f>
        <v>no</v>
      </c>
      <c r="E109">
        <f>MAX(0,INT((B109-1)/Constants!$B$2))</f>
        <v>4</v>
      </c>
      <c r="F109">
        <f>INT(B109*E109/Constants!$B$2)</f>
        <v>18</v>
      </c>
      <c r="G109">
        <f>MOD(B109*E109,Constants!$B$2)</f>
        <v>0</v>
      </c>
      <c r="H109">
        <f>B109+F109+IF(C109="CEIL_NEIGHBOR",1,0)</f>
        <v>73</v>
      </c>
      <c r="I109">
        <f>B109+H109</f>
        <v>127</v>
      </c>
      <c r="J109" t="str">
        <f>B109&amp;"p+"&amp;H109&amp;"n+"&amp;B109&amp;"e"</f>
        <v>54p+73n+54e</v>
      </c>
      <c r="K109" t="str">
        <f>(2*B109+H109)&amp;"u+"&amp;(B109+2*H109)&amp;"d+"&amp;B109&amp;"e"</f>
        <v>181u+200d+54e</v>
      </c>
      <c r="L109">
        <f>B109*Constants!$B$11+(H109-B109)*Constants!$B$12</f>
        <v>500.7109375</v>
      </c>
      <c r="M109">
        <f>L109*Constants!$B$5</f>
        <v>4005.6875</v>
      </c>
      <c r="N109">
        <f>L109*7</f>
        <v>3504.9765625</v>
      </c>
      <c r="O109" t="str">
        <f>IF(B109&gt;Constants!$B$6-Constants!$B$5,"CONSTANT_FRONTIER_TAIL_CANDIDATE",IF(G109=0,"CONSTANT_STABLE_ANCHOR_LANE",IF(G109=Constants!$B$2/2,"CONSTANT_HALF_WRITE_LANE","CONSTANT_BOUND_LADDER_LANE")))</f>
        <v>CONSTANT_BOUND_LADDER_LANE</v>
      </c>
    </row>
    <row r="110">
      <c r="A110">
        <f>ROW()-1</f>
        <v>109</v>
      </c>
      <c r="B110">
        <f>INT((A110-1)/2)+1</f>
        <v>55</v>
      </c>
      <c r="C110" t="str">
        <f>IF(MOD(A110-1,2)=0,"FLOOR_PRIMARY","CEIL_NEIGHBOR")</f>
        <v>FLOOR_PRIMARY</v>
      </c>
      <c r="D110" t="str">
        <f>IF(C110="FLOOR_PRIMARY","yes",IF(G110&lt;&gt;0,"yes","no"))</f>
        <v>yes</v>
      </c>
      <c r="E110">
        <f>MAX(0,INT((B110-1)/Constants!$B$2))</f>
        <v>4</v>
      </c>
      <c r="F110">
        <f>INT(B110*E110/Constants!$B$2)</f>
        <v>18</v>
      </c>
      <c r="G110">
        <f>MOD(B110*E110,Constants!$B$2)</f>
        <v>4</v>
      </c>
      <c r="H110">
        <f>B110+F110+IF(C110="CEIL_NEIGHBOR",1,0)</f>
        <v>73</v>
      </c>
      <c r="I110">
        <f>B110+H110</f>
        <v>128</v>
      </c>
      <c r="J110" t="str">
        <f>B110&amp;"p+"&amp;H110&amp;"n+"&amp;B110&amp;"e"</f>
        <v>55p+73n+55e</v>
      </c>
      <c r="K110" t="str">
        <f>(2*B110+H110)&amp;"u+"&amp;(B110+2*H110)&amp;"d+"&amp;B110&amp;"e"</f>
        <v>183u+201d+55e</v>
      </c>
      <c r="L110">
        <f>B110*Constants!$B$11+(H110-B110)*Constants!$B$12</f>
        <v>509.9622395833333333333333333333333333333333333333333333333333333333333333333333333333333333333333333</v>
      </c>
      <c r="M110">
        <f>L110*Constants!$B$5</f>
        <v>4079.697916666666666666666666666666666666666666666666666666666666666666666666666666666666666666666667</v>
      </c>
      <c r="N110">
        <f>L110*7</f>
        <v>3569.735677083333333333333333333333333333333333333333333333333333333333333333333333333333333333333333</v>
      </c>
      <c r="O110" t="str">
        <f>IF(B110&gt;Constants!$B$6-Constants!$B$5,"CONSTANT_FRONTIER_TAIL_CANDIDATE",IF(G110=0,"CONSTANT_STABLE_ANCHOR_LANE",IF(G110=Constants!$B$2/2,"CONSTANT_HALF_WRITE_LANE","CONSTANT_BOUND_LADDER_LANE")))</f>
        <v>CONSTANT_BOUND_LADDER_LANE</v>
      </c>
    </row>
    <row r="111">
      <c r="A111">
        <f>ROW()-1</f>
        <v>110</v>
      </c>
      <c r="B111">
        <f>INT((A111-1)/2)+1</f>
        <v>55</v>
      </c>
      <c r="C111" t="str">
        <f>IF(MOD(A111-1,2)=0,"FLOOR_PRIMARY","CEIL_NEIGHBOR")</f>
        <v>CEIL_NEIGHBOR</v>
      </c>
      <c r="D111" t="str">
        <f>IF(C111="FLOOR_PRIMARY","yes",IF(G111&lt;&gt;0,"yes","no"))</f>
        <v>yes</v>
      </c>
      <c r="E111">
        <f>MAX(0,INT((B111-1)/Constants!$B$2))</f>
        <v>4</v>
      </c>
      <c r="F111">
        <f>INT(B111*E111/Constants!$B$2)</f>
        <v>18</v>
      </c>
      <c r="G111">
        <f>MOD(B111*E111,Constants!$B$2)</f>
        <v>4</v>
      </c>
      <c r="H111">
        <f>B111+F111+IF(C111="CEIL_NEIGHBOR",1,0)</f>
        <v>74</v>
      </c>
      <c r="I111">
        <f>B111+H111</f>
        <v>129</v>
      </c>
      <c r="J111" t="str">
        <f>B111&amp;"p+"&amp;H111&amp;"n+"&amp;B111&amp;"e"</f>
        <v>55p+74n+55e</v>
      </c>
      <c r="K111" t="str">
        <f>(2*B111+H111)&amp;"u+"&amp;(B111+2*H111)&amp;"d+"&amp;B111&amp;"e"</f>
        <v>184u+203d+55e</v>
      </c>
      <c r="L111">
        <f>B111*Constants!$B$11+(H111-B111)*Constants!$B$12</f>
        <v>509.9778645833333333333333333333333333333333333333333333333333333333333333333333333333333333333333333</v>
      </c>
      <c r="M111">
        <f>L111*Constants!$B$5</f>
        <v>4079.822916666666666666666666666666666666666666666666666666666666666666666666666666666666666666666667</v>
      </c>
      <c r="N111">
        <f>L111*7</f>
        <v>3569.845052083333333333333333333333333333333333333333333333333333333333333333333333333333333333333333</v>
      </c>
      <c r="O111" t="str">
        <f>IF(B111&gt;Constants!$B$6-Constants!$B$5,"CONSTANT_FRONTIER_TAIL_CANDIDATE",IF(G111=0,"CONSTANT_STABLE_ANCHOR_LANE",IF(G111=Constants!$B$2/2,"CONSTANT_HALF_WRITE_LANE","CONSTANT_BOUND_LADDER_LANE")))</f>
        <v>CONSTANT_BOUND_LADDER_LANE</v>
      </c>
    </row>
    <row r="112">
      <c r="A112">
        <f>ROW()-1</f>
        <v>111</v>
      </c>
      <c r="B112">
        <f>INT((A112-1)/2)+1</f>
        <v>56</v>
      </c>
      <c r="C112" t="str">
        <f>IF(MOD(A112-1,2)=0,"FLOOR_PRIMARY","CEIL_NEIGHBOR")</f>
        <v>FLOOR_PRIMARY</v>
      </c>
      <c r="D112" t="str">
        <f>IF(C112="FLOOR_PRIMARY","yes",IF(G112&lt;&gt;0,"yes","no"))</f>
        <v>yes</v>
      </c>
      <c r="E112">
        <f>MAX(0,INT((B112-1)/Constants!$B$2))</f>
        <v>4</v>
      </c>
      <c r="F112">
        <f>INT(B112*E112/Constants!$B$2)</f>
        <v>18</v>
      </c>
      <c r="G112">
        <f>MOD(B112*E112,Constants!$B$2)</f>
        <v>8</v>
      </c>
      <c r="H112">
        <f>B112+F112+IF(C112="CEIL_NEIGHBOR",1,0)</f>
        <v>74</v>
      </c>
      <c r="I112">
        <f>B112+H112</f>
        <v>130</v>
      </c>
      <c r="J112" t="str">
        <f>B112&amp;"p+"&amp;H112&amp;"n+"&amp;B112&amp;"e"</f>
        <v>56p+74n+56e</v>
      </c>
      <c r="K112" t="str">
        <f>(2*B112+H112)&amp;"u+"&amp;(B112+2*H112)&amp;"d+"&amp;B112&amp;"e"</f>
        <v>186u+204d+56e</v>
      </c>
      <c r="L112">
        <f>B112*Constants!$B$11+(H112-B112)*Constants!$B$12</f>
        <v>519.2291666666666666666666666666666666666666666666666666666666666666666666666666666666666666666666667</v>
      </c>
      <c r="M112">
        <f>L112*Constants!$B$5</f>
        <v>4153.833333333333333333333333333333333333333333333333333333333333333333333333333333333333333333333333</v>
      </c>
      <c r="N112">
        <f>L112*7</f>
        <v>3634.604166666666666666666666666666666666666666666666666666666666666666666666666666666666666666666667</v>
      </c>
      <c r="O112" t="str">
        <f>IF(B112&gt;Constants!$B$6-Constants!$B$5,"CONSTANT_FRONTIER_TAIL_CANDIDATE",IF(G112=0,"CONSTANT_STABLE_ANCHOR_LANE",IF(G112=Constants!$B$2/2,"CONSTANT_HALF_WRITE_LANE","CONSTANT_BOUND_LADDER_LANE")))</f>
        <v>CONSTANT_BOUND_LADDER_LANE</v>
      </c>
    </row>
    <row r="113">
      <c r="A113">
        <f>ROW()-1</f>
        <v>112</v>
      </c>
      <c r="B113">
        <f>INT((A113-1)/2)+1</f>
        <v>56</v>
      </c>
      <c r="C113" t="str">
        <f>IF(MOD(A113-1,2)=0,"FLOOR_PRIMARY","CEIL_NEIGHBOR")</f>
        <v>CEIL_NEIGHBOR</v>
      </c>
      <c r="D113" t="str">
        <f>IF(C113="FLOOR_PRIMARY","yes",IF(G113&lt;&gt;0,"yes","no"))</f>
        <v>yes</v>
      </c>
      <c r="E113">
        <f>MAX(0,INT((B113-1)/Constants!$B$2))</f>
        <v>4</v>
      </c>
      <c r="F113">
        <f>INT(B113*E113/Constants!$B$2)</f>
        <v>18</v>
      </c>
      <c r="G113">
        <f>MOD(B113*E113,Constants!$B$2)</f>
        <v>8</v>
      </c>
      <c r="H113">
        <f>B113+F113+IF(C113="CEIL_NEIGHBOR",1,0)</f>
        <v>75</v>
      </c>
      <c r="I113">
        <f>B113+H113</f>
        <v>131</v>
      </c>
      <c r="J113" t="str">
        <f>B113&amp;"p+"&amp;H113&amp;"n+"&amp;B113&amp;"e"</f>
        <v>56p+75n+56e</v>
      </c>
      <c r="K113" t="str">
        <f>(2*B113+H113)&amp;"u+"&amp;(B113+2*H113)&amp;"d+"&amp;B113&amp;"e"</f>
        <v>187u+206d+56e</v>
      </c>
      <c r="L113">
        <f>B113*Constants!$B$11+(H113-B113)*Constants!$B$12</f>
        <v>519.2447916666666666666666666666666666666666666666666666666666666666666666666666666666666666666666667</v>
      </c>
      <c r="M113">
        <f>L113*Constants!$B$5</f>
        <v>4153.958333333333333333333333333333333333333333333333333333333333333333333333333333333333333333333333</v>
      </c>
      <c r="N113">
        <f>L113*7</f>
        <v>3634.713541666666666666666666666666666666666666666666666666666666666666666666666666666666666666666667</v>
      </c>
      <c r="O113" t="str">
        <f>IF(B113&gt;Constants!$B$6-Constants!$B$5,"CONSTANT_FRONTIER_TAIL_CANDIDATE",IF(G113=0,"CONSTANT_STABLE_ANCHOR_LANE",IF(G113=Constants!$B$2/2,"CONSTANT_HALF_WRITE_LANE","CONSTANT_BOUND_LADDER_LANE")))</f>
        <v>CONSTANT_BOUND_LADDER_LANE</v>
      </c>
    </row>
    <row r="114">
      <c r="A114">
        <f>ROW()-1</f>
        <v>113</v>
      </c>
      <c r="B114">
        <f>INT((A114-1)/2)+1</f>
        <v>57</v>
      </c>
      <c r="C114" t="str">
        <f>IF(MOD(A114-1,2)=0,"FLOOR_PRIMARY","CEIL_NEIGHBOR")</f>
        <v>FLOOR_PRIMARY</v>
      </c>
      <c r="D114" t="str">
        <f>IF(C114="FLOOR_PRIMARY","yes",IF(G114&lt;&gt;0,"yes","no"))</f>
        <v>yes</v>
      </c>
      <c r="E114">
        <f>MAX(0,INT((B114-1)/Constants!$B$2))</f>
        <v>4</v>
      </c>
      <c r="F114">
        <f>INT(B114*E114/Constants!$B$2)</f>
        <v>19</v>
      </c>
      <c r="G114">
        <f>MOD(B114*E114,Constants!$B$2)</f>
        <v>0</v>
      </c>
      <c r="H114">
        <f>B114+F114+IF(C114="CEIL_NEIGHBOR",1,0)</f>
        <v>76</v>
      </c>
      <c r="I114">
        <f>B114+H114</f>
        <v>133</v>
      </c>
      <c r="J114" t="str">
        <f>B114&amp;"p+"&amp;H114&amp;"n+"&amp;B114&amp;"e"</f>
        <v>57p+76n+57e</v>
      </c>
      <c r="K114" t="str">
        <f>(2*B114+H114)&amp;"u+"&amp;(B114+2*H114)&amp;"d+"&amp;B114&amp;"e"</f>
        <v>190u+209d+57e</v>
      </c>
      <c r="L114">
        <f>B114*Constants!$B$11+(H114-B114)*Constants!$B$12</f>
        <v>528.51171875</v>
      </c>
      <c r="M114">
        <f>L114*Constants!$B$5</f>
        <v>4228.09375</v>
      </c>
      <c r="N114">
        <f>L114*7</f>
        <v>3699.58203125</v>
      </c>
      <c r="O114" t="str">
        <f>IF(B114&gt;Constants!$B$6-Constants!$B$5,"CONSTANT_FRONTIER_TAIL_CANDIDATE",IF(G114=0,"CONSTANT_STABLE_ANCHOR_LANE",IF(G114=Constants!$B$2/2,"CONSTANT_HALF_WRITE_LANE","CONSTANT_BOUND_LADDER_LANE")))</f>
        <v>CONSTANT_STABLE_ANCHOR_LANE</v>
      </c>
    </row>
    <row r="115">
      <c r="A115">
        <f>ROW()-1</f>
        <v>114</v>
      </c>
      <c r="B115">
        <f>INT((A115-1)/2)+1</f>
        <v>57</v>
      </c>
      <c r="C115" t="str">
        <f>IF(MOD(A115-1,2)=0,"FLOOR_PRIMARY","CEIL_NEIGHBOR")</f>
        <v>CEIL_NEIGHBOR</v>
      </c>
      <c r="D115" t="str">
        <f>IF(C115="FLOOR_PRIMARY","yes",IF(G115&lt;&gt;0,"yes","no"))</f>
        <v>no</v>
      </c>
      <c r="E115">
        <f>MAX(0,INT((B115-1)/Constants!$B$2))</f>
        <v>4</v>
      </c>
      <c r="F115">
        <f>INT(B115*E115/Constants!$B$2)</f>
        <v>19</v>
      </c>
      <c r="G115">
        <f>MOD(B115*E115,Constants!$B$2)</f>
        <v>0</v>
      </c>
      <c r="H115">
        <f>B115+F115+IF(C115="CEIL_NEIGHBOR",1,0)</f>
        <v>77</v>
      </c>
      <c r="I115">
        <f>B115+H115</f>
        <v>134</v>
      </c>
      <c r="J115" t="str">
        <f>B115&amp;"p+"&amp;H115&amp;"n+"&amp;B115&amp;"e"</f>
        <v>57p+77n+57e</v>
      </c>
      <c r="K115" t="str">
        <f>(2*B115+H115)&amp;"u+"&amp;(B115+2*H115)&amp;"d+"&amp;B115&amp;"e"</f>
        <v>191u+211d+57e</v>
      </c>
      <c r="L115">
        <f>B115*Constants!$B$11+(H115-B115)*Constants!$B$12</f>
        <v>528.52734375</v>
      </c>
      <c r="M115">
        <f>L115*Constants!$B$5</f>
        <v>4228.21875</v>
      </c>
      <c r="N115">
        <f>L115*7</f>
        <v>3699.69140625</v>
      </c>
      <c r="O115" t="str">
        <f>IF(B115&gt;Constants!$B$6-Constants!$B$5,"CONSTANT_FRONTIER_TAIL_CANDIDATE",IF(G115=0,"CONSTANT_STABLE_ANCHOR_LANE",IF(G115=Constants!$B$2/2,"CONSTANT_HALF_WRITE_LANE","CONSTANT_BOUND_LADDER_LANE")))</f>
        <v>CONSTANT_BOUND_LADDER_LANE</v>
      </c>
    </row>
    <row r="116">
      <c r="A116">
        <f>ROW()-1</f>
        <v>115</v>
      </c>
      <c r="B116">
        <f>INT((A116-1)/2)+1</f>
        <v>58</v>
      </c>
      <c r="C116" t="str">
        <f>IF(MOD(A116-1,2)=0,"FLOOR_PRIMARY","CEIL_NEIGHBOR")</f>
        <v>FLOOR_PRIMARY</v>
      </c>
      <c r="D116" t="str">
        <f>IF(C116="FLOOR_PRIMARY","yes",IF(G116&lt;&gt;0,"yes","no"))</f>
        <v>yes</v>
      </c>
      <c r="E116">
        <f>MAX(0,INT((B116-1)/Constants!$B$2))</f>
        <v>4</v>
      </c>
      <c r="F116">
        <f>INT(B116*E116/Constants!$B$2)</f>
        <v>19</v>
      </c>
      <c r="G116">
        <f>MOD(B116*E116,Constants!$B$2)</f>
        <v>4</v>
      </c>
      <c r="H116">
        <f>B116+F116+IF(C116="CEIL_NEIGHBOR",1,0)</f>
        <v>77</v>
      </c>
      <c r="I116">
        <f>B116+H116</f>
        <v>135</v>
      </c>
      <c r="J116" t="str">
        <f>B116&amp;"p+"&amp;H116&amp;"n+"&amp;B116&amp;"e"</f>
        <v>58p+77n+58e</v>
      </c>
      <c r="K116" t="str">
        <f>(2*B116+H116)&amp;"u+"&amp;(B116+2*H116)&amp;"d+"&amp;B116&amp;"e"</f>
        <v>193u+212d+58e</v>
      </c>
      <c r="L116">
        <f>B116*Constants!$B$11+(H116-B116)*Constants!$B$12</f>
        <v>537.7786458333333333333333333333333333333333333333333333333333333333333333333333333333333333333333333</v>
      </c>
      <c r="M116">
        <f>L116*Constants!$B$5</f>
        <v>4302.229166666666666666666666666666666666666666666666666666666666666666666666666666666666666666666667</v>
      </c>
      <c r="N116">
        <f>L116*7</f>
        <v>3764.450520833333333333333333333333333333333333333333333333333333333333333333333333333333333333333333</v>
      </c>
      <c r="O116" t="str">
        <f>IF(B116&gt;Constants!$B$6-Constants!$B$5,"CONSTANT_FRONTIER_TAIL_CANDIDATE",IF(G116=0,"CONSTANT_STABLE_ANCHOR_LANE",IF(G116=Constants!$B$2/2,"CONSTANT_HALF_WRITE_LANE","CONSTANT_BOUND_LADDER_LANE")))</f>
        <v>CONSTANT_BOUND_LADDER_LANE</v>
      </c>
    </row>
    <row r="117">
      <c r="A117">
        <f>ROW()-1</f>
        <v>116</v>
      </c>
      <c r="B117">
        <f>INT((A117-1)/2)+1</f>
        <v>58</v>
      </c>
      <c r="C117" t="str">
        <f>IF(MOD(A117-1,2)=0,"FLOOR_PRIMARY","CEIL_NEIGHBOR")</f>
        <v>CEIL_NEIGHBOR</v>
      </c>
      <c r="D117" t="str">
        <f>IF(C117="FLOOR_PRIMARY","yes",IF(G117&lt;&gt;0,"yes","no"))</f>
        <v>yes</v>
      </c>
      <c r="E117">
        <f>MAX(0,INT((B117-1)/Constants!$B$2))</f>
        <v>4</v>
      </c>
      <c r="F117">
        <f>INT(B117*E117/Constants!$B$2)</f>
        <v>19</v>
      </c>
      <c r="G117">
        <f>MOD(B117*E117,Constants!$B$2)</f>
        <v>4</v>
      </c>
      <c r="H117">
        <f>B117+F117+IF(C117="CEIL_NEIGHBOR",1,0)</f>
        <v>78</v>
      </c>
      <c r="I117">
        <f>B117+H117</f>
        <v>136</v>
      </c>
      <c r="J117" t="str">
        <f>B117&amp;"p+"&amp;H117&amp;"n+"&amp;B117&amp;"e"</f>
        <v>58p+78n+58e</v>
      </c>
      <c r="K117" t="str">
        <f>(2*B117+H117)&amp;"u+"&amp;(B117+2*H117)&amp;"d+"&amp;B117&amp;"e"</f>
        <v>194u+214d+58e</v>
      </c>
      <c r="L117">
        <f>B117*Constants!$B$11+(H117-B117)*Constants!$B$12</f>
        <v>537.7942708333333333333333333333333333333333333333333333333333333333333333333333333333333333333333333</v>
      </c>
      <c r="M117">
        <f>L117*Constants!$B$5</f>
        <v>4302.354166666666666666666666666666666666666666666666666666666666666666666666666666666666666666666667</v>
      </c>
      <c r="N117">
        <f>L117*7</f>
        <v>3764.559895833333333333333333333333333333333333333333333333333333333333333333333333333333333333333333</v>
      </c>
      <c r="O117" t="str">
        <f>IF(B117&gt;Constants!$B$6-Constants!$B$5,"CONSTANT_FRONTIER_TAIL_CANDIDATE",IF(G117=0,"CONSTANT_STABLE_ANCHOR_LANE",IF(G117=Constants!$B$2/2,"CONSTANT_HALF_WRITE_LANE","CONSTANT_BOUND_LADDER_LANE")))</f>
        <v>CONSTANT_BOUND_LADDER_LANE</v>
      </c>
    </row>
    <row r="118">
      <c r="A118">
        <f>ROW()-1</f>
        <v>117</v>
      </c>
      <c r="B118">
        <f>INT((A118-1)/2)+1</f>
        <v>59</v>
      </c>
      <c r="C118" t="str">
        <f>IF(MOD(A118-1,2)=0,"FLOOR_PRIMARY","CEIL_NEIGHBOR")</f>
        <v>FLOOR_PRIMARY</v>
      </c>
      <c r="D118" t="str">
        <f>IF(C118="FLOOR_PRIMARY","yes",IF(G118&lt;&gt;0,"yes","no"))</f>
        <v>yes</v>
      </c>
      <c r="E118">
        <f>MAX(0,INT((B118-1)/Constants!$B$2))</f>
        <v>4</v>
      </c>
      <c r="F118">
        <f>INT(B118*E118/Constants!$B$2)</f>
        <v>19</v>
      </c>
      <c r="G118">
        <f>MOD(B118*E118,Constants!$B$2)</f>
        <v>8</v>
      </c>
      <c r="H118">
        <f>B118+F118+IF(C118="CEIL_NEIGHBOR",1,0)</f>
        <v>78</v>
      </c>
      <c r="I118">
        <f>B118+H118</f>
        <v>137</v>
      </c>
      <c r="J118" t="str">
        <f>B118&amp;"p+"&amp;H118&amp;"n+"&amp;B118&amp;"e"</f>
        <v>59p+78n+59e</v>
      </c>
      <c r="K118" t="str">
        <f>(2*B118+H118)&amp;"u+"&amp;(B118+2*H118)&amp;"d+"&amp;B118&amp;"e"</f>
        <v>196u+215d+59e</v>
      </c>
      <c r="L118">
        <f>B118*Constants!$B$11+(H118-B118)*Constants!$B$12</f>
        <v>547.0455729166666666666666666666666666666666666666666666666666666666666666666666666666666666666666667</v>
      </c>
      <c r="M118">
        <f>L118*Constants!$B$5</f>
        <v>4376.364583333333333333333333333333333333333333333333333333333333333333333333333333333333333333333333</v>
      </c>
      <c r="N118">
        <f>L118*7</f>
        <v>3829.319010416666666666666666666666666666666666666666666666666666666666666666666666666666666666666667</v>
      </c>
      <c r="O118" t="str">
        <f>IF(B118&gt;Constants!$B$6-Constants!$B$5,"CONSTANT_FRONTIER_TAIL_CANDIDATE",IF(G118=0,"CONSTANT_STABLE_ANCHOR_LANE",IF(G118=Constants!$B$2/2,"CONSTANT_HALF_WRITE_LANE","CONSTANT_BOUND_LADDER_LANE")))</f>
        <v>CONSTANT_BOUND_LADDER_LANE</v>
      </c>
    </row>
    <row r="119">
      <c r="A119">
        <f>ROW()-1</f>
        <v>118</v>
      </c>
      <c r="B119">
        <f>INT((A119-1)/2)+1</f>
        <v>59</v>
      </c>
      <c r="C119" t="str">
        <f>IF(MOD(A119-1,2)=0,"FLOOR_PRIMARY","CEIL_NEIGHBOR")</f>
        <v>CEIL_NEIGHBOR</v>
      </c>
      <c r="D119" t="str">
        <f>IF(C119="FLOOR_PRIMARY","yes",IF(G119&lt;&gt;0,"yes","no"))</f>
        <v>yes</v>
      </c>
      <c r="E119">
        <f>MAX(0,INT((B119-1)/Constants!$B$2))</f>
        <v>4</v>
      </c>
      <c r="F119">
        <f>INT(B119*E119/Constants!$B$2)</f>
        <v>19</v>
      </c>
      <c r="G119">
        <f>MOD(B119*E119,Constants!$B$2)</f>
        <v>8</v>
      </c>
      <c r="H119">
        <f>B119+F119+IF(C119="CEIL_NEIGHBOR",1,0)</f>
        <v>79</v>
      </c>
      <c r="I119">
        <f>B119+H119</f>
        <v>138</v>
      </c>
      <c r="J119" t="str">
        <f>B119&amp;"p+"&amp;H119&amp;"n+"&amp;B119&amp;"e"</f>
        <v>59p+79n+59e</v>
      </c>
      <c r="K119" t="str">
        <f>(2*B119+H119)&amp;"u+"&amp;(B119+2*H119)&amp;"d+"&amp;B119&amp;"e"</f>
        <v>197u+217d+59e</v>
      </c>
      <c r="L119">
        <f>B119*Constants!$B$11+(H119-B119)*Constants!$B$12</f>
        <v>547.0611979166666666666666666666666666666666666666666666666666666666666666666666666666666666666666667</v>
      </c>
      <c r="M119">
        <f>L119*Constants!$B$5</f>
        <v>4376.489583333333333333333333333333333333333333333333333333333333333333333333333333333333333333333333</v>
      </c>
      <c r="N119">
        <f>L119*7</f>
        <v>3829.428385416666666666666666666666666666666666666666666666666666666666666666666666666666666666666667</v>
      </c>
      <c r="O119" t="str">
        <f>IF(B119&gt;Constants!$B$6-Constants!$B$5,"CONSTANT_FRONTIER_TAIL_CANDIDATE",IF(G119=0,"CONSTANT_STABLE_ANCHOR_LANE",IF(G119=Constants!$B$2/2,"CONSTANT_HALF_WRITE_LANE","CONSTANT_BOUND_LADDER_LANE")))</f>
        <v>CONSTANT_BOUND_LADDER_LANE</v>
      </c>
    </row>
    <row r="120">
      <c r="A120">
        <f>ROW()-1</f>
        <v>119</v>
      </c>
      <c r="B120">
        <f>INT((A120-1)/2)+1</f>
        <v>60</v>
      </c>
      <c r="C120" t="str">
        <f>IF(MOD(A120-1,2)=0,"FLOOR_PRIMARY","CEIL_NEIGHBOR")</f>
        <v>FLOOR_PRIMARY</v>
      </c>
      <c r="D120" t="str">
        <f>IF(C120="FLOOR_PRIMARY","yes",IF(G120&lt;&gt;0,"yes","no"))</f>
        <v>yes</v>
      </c>
      <c r="E120">
        <f>MAX(0,INT((B120-1)/Constants!$B$2))</f>
        <v>4</v>
      </c>
      <c r="F120">
        <f>INT(B120*E120/Constants!$B$2)</f>
        <v>20</v>
      </c>
      <c r="G120">
        <f>MOD(B120*E120,Constants!$B$2)</f>
        <v>0</v>
      </c>
      <c r="H120">
        <f>B120+F120+IF(C120="CEIL_NEIGHBOR",1,0)</f>
        <v>80</v>
      </c>
      <c r="I120">
        <f>B120+H120</f>
        <v>140</v>
      </c>
      <c r="J120" t="str">
        <f>B120&amp;"p+"&amp;H120&amp;"n+"&amp;B120&amp;"e"</f>
        <v>60p+80n+60e</v>
      </c>
      <c r="K120" t="str">
        <f>(2*B120+H120)&amp;"u+"&amp;(B120+2*H120)&amp;"d+"&amp;B120&amp;"e"</f>
        <v>200u+220d+60e</v>
      </c>
      <c r="L120">
        <f>B120*Constants!$B$11+(H120-B120)*Constants!$B$12</f>
        <v>556.328125</v>
      </c>
      <c r="M120">
        <f>L120*Constants!$B$5</f>
        <v>4450.625</v>
      </c>
      <c r="N120">
        <f>L120*7</f>
        <v>3894.296875</v>
      </c>
      <c r="O120" t="str">
        <f>IF(B120&gt;Constants!$B$6-Constants!$B$5,"CONSTANT_FRONTIER_TAIL_CANDIDATE",IF(G120=0,"CONSTANT_STABLE_ANCHOR_LANE",IF(G120=Constants!$B$2/2,"CONSTANT_HALF_WRITE_LANE","CONSTANT_BOUND_LADDER_LANE")))</f>
        <v>CONSTANT_STABLE_ANCHOR_LANE</v>
      </c>
    </row>
    <row r="121">
      <c r="A121">
        <f>ROW()-1</f>
        <v>120</v>
      </c>
      <c r="B121">
        <f>INT((A121-1)/2)+1</f>
        <v>60</v>
      </c>
      <c r="C121" t="str">
        <f>IF(MOD(A121-1,2)=0,"FLOOR_PRIMARY","CEIL_NEIGHBOR")</f>
        <v>CEIL_NEIGHBOR</v>
      </c>
      <c r="D121" t="str">
        <f>IF(C121="FLOOR_PRIMARY","yes",IF(G121&lt;&gt;0,"yes","no"))</f>
        <v>no</v>
      </c>
      <c r="E121">
        <f>MAX(0,INT((B121-1)/Constants!$B$2))</f>
        <v>4</v>
      </c>
      <c r="F121">
        <f>INT(B121*E121/Constants!$B$2)</f>
        <v>20</v>
      </c>
      <c r="G121">
        <f>MOD(B121*E121,Constants!$B$2)</f>
        <v>0</v>
      </c>
      <c r="H121">
        <f>B121+F121+IF(C121="CEIL_NEIGHBOR",1,0)</f>
        <v>81</v>
      </c>
      <c r="I121">
        <f>B121+H121</f>
        <v>141</v>
      </c>
      <c r="J121" t="str">
        <f>B121&amp;"p+"&amp;H121&amp;"n+"&amp;B121&amp;"e"</f>
        <v>60p+81n+60e</v>
      </c>
      <c r="K121" t="str">
        <f>(2*B121+H121)&amp;"u+"&amp;(B121+2*H121)&amp;"d+"&amp;B121&amp;"e"</f>
        <v>201u+222d+60e</v>
      </c>
      <c r="L121">
        <f>B121*Constants!$B$11+(H121-B121)*Constants!$B$12</f>
        <v>556.34375</v>
      </c>
      <c r="M121">
        <f>L121*Constants!$B$5</f>
        <v>4450.75</v>
      </c>
      <c r="N121">
        <f>L121*7</f>
        <v>3894.40625</v>
      </c>
      <c r="O121" t="str">
        <f>IF(B121&gt;Constants!$B$6-Constants!$B$5,"CONSTANT_FRONTIER_TAIL_CANDIDATE",IF(G121=0,"CONSTANT_STABLE_ANCHOR_LANE",IF(G121=Constants!$B$2/2,"CONSTANT_HALF_WRITE_LANE","CONSTANT_BOUND_LADDER_LANE")))</f>
        <v>CONSTANT_BOUND_LADDER_LANE</v>
      </c>
    </row>
    <row r="122">
      <c r="A122">
        <f>ROW()-1</f>
        <v>121</v>
      </c>
      <c r="B122">
        <f>INT((A122-1)/2)+1</f>
        <v>61</v>
      </c>
      <c r="C122" t="str">
        <f>IF(MOD(A122-1,2)=0,"FLOOR_PRIMARY","CEIL_NEIGHBOR")</f>
        <v>FLOOR_PRIMARY</v>
      </c>
      <c r="D122" t="str">
        <f>IF(C122="FLOOR_PRIMARY","yes",IF(G122&lt;&gt;0,"yes","no"))</f>
        <v>yes</v>
      </c>
      <c r="E122">
        <f>MAX(0,INT((B122-1)/Constants!$B$2))</f>
        <v>5</v>
      </c>
      <c r="F122">
        <f>INT(B122*E122/Constants!$B$2)</f>
        <v>25</v>
      </c>
      <c r="G122">
        <f>MOD(B122*E122,Constants!$B$2)</f>
        <v>5</v>
      </c>
      <c r="H122">
        <f>B122+F122+IF(C122="CEIL_NEIGHBOR",1,0)</f>
        <v>86</v>
      </c>
      <c r="I122">
        <f>B122+H122</f>
        <v>147</v>
      </c>
      <c r="J122" t="str">
        <f>B122&amp;"p+"&amp;H122&amp;"n+"&amp;B122&amp;"e"</f>
        <v>61p+86n+61e</v>
      </c>
      <c r="K122" t="str">
        <f>(2*B122+H122)&amp;"u+"&amp;(B122+2*H122)&amp;"d+"&amp;B122&amp;"e"</f>
        <v>208u+233d+61e</v>
      </c>
      <c r="L122">
        <f>B122*Constants!$B$11+(H122-B122)*Constants!$B$12</f>
        <v>565.6731770833333333333333333333333333333333333333333333333333333333333333333333333333333333333333333</v>
      </c>
      <c r="M122">
        <f>L122*Constants!$B$5</f>
        <v>4525.385416666666666666666666666666666666666666666666666666666666666666666666666666666666666666666667</v>
      </c>
      <c r="N122">
        <f>L122*7</f>
        <v>3959.712239583333333333333333333333333333333333333333333333333333333333333333333333333333333333333333</v>
      </c>
      <c r="O122" t="str">
        <f>IF(B122&gt;Constants!$B$6-Constants!$B$5,"CONSTANT_FRONTIER_TAIL_CANDIDATE",IF(G122=0,"CONSTANT_STABLE_ANCHOR_LANE",IF(G122=Constants!$B$2/2,"CONSTANT_HALF_WRITE_LANE","CONSTANT_BOUND_LADDER_LANE")))</f>
        <v>CONSTANT_BOUND_LADDER_LANE</v>
      </c>
    </row>
    <row r="123">
      <c r="A123">
        <f>ROW()-1</f>
        <v>122</v>
      </c>
      <c r="B123">
        <f>INT((A123-1)/2)+1</f>
        <v>61</v>
      </c>
      <c r="C123" t="str">
        <f>IF(MOD(A123-1,2)=0,"FLOOR_PRIMARY","CEIL_NEIGHBOR")</f>
        <v>CEIL_NEIGHBOR</v>
      </c>
      <c r="D123" t="str">
        <f>IF(C123="FLOOR_PRIMARY","yes",IF(G123&lt;&gt;0,"yes","no"))</f>
        <v>yes</v>
      </c>
      <c r="E123">
        <f>MAX(0,INT((B123-1)/Constants!$B$2))</f>
        <v>5</v>
      </c>
      <c r="F123">
        <f>INT(B123*E123/Constants!$B$2)</f>
        <v>25</v>
      </c>
      <c r="G123">
        <f>MOD(B123*E123,Constants!$B$2)</f>
        <v>5</v>
      </c>
      <c r="H123">
        <f>B123+F123+IF(C123="CEIL_NEIGHBOR",1,0)</f>
        <v>87</v>
      </c>
      <c r="I123">
        <f>B123+H123</f>
        <v>148</v>
      </c>
      <c r="J123" t="str">
        <f>B123&amp;"p+"&amp;H123&amp;"n+"&amp;B123&amp;"e"</f>
        <v>61p+87n+61e</v>
      </c>
      <c r="K123" t="str">
        <f>(2*B123+H123)&amp;"u+"&amp;(B123+2*H123)&amp;"d+"&amp;B123&amp;"e"</f>
        <v>209u+235d+61e</v>
      </c>
      <c r="L123">
        <f>B123*Constants!$B$11+(H123-B123)*Constants!$B$12</f>
        <v>565.6888020833333333333333333333333333333333333333333333333333333333333333333333333333333333333333333</v>
      </c>
      <c r="M123">
        <f>L123*Constants!$B$5</f>
        <v>4525.510416666666666666666666666666666666666666666666666666666666666666666666666666666666666666666667</v>
      </c>
      <c r="N123">
        <f>L123*7</f>
        <v>3959.821614583333333333333333333333333333333333333333333333333333333333333333333333333333333333333333</v>
      </c>
      <c r="O123" t="str">
        <f>IF(B123&gt;Constants!$B$6-Constants!$B$5,"CONSTANT_FRONTIER_TAIL_CANDIDATE",IF(G123=0,"CONSTANT_STABLE_ANCHOR_LANE",IF(G123=Constants!$B$2/2,"CONSTANT_HALF_WRITE_LANE","CONSTANT_BOUND_LADDER_LANE")))</f>
        <v>CONSTANT_BOUND_LADDER_LANE</v>
      </c>
    </row>
    <row r="124">
      <c r="A124">
        <f>ROW()-1</f>
        <v>123</v>
      </c>
      <c r="B124">
        <f>INT((A124-1)/2)+1</f>
        <v>62</v>
      </c>
      <c r="C124" t="str">
        <f>IF(MOD(A124-1,2)=0,"FLOOR_PRIMARY","CEIL_NEIGHBOR")</f>
        <v>FLOOR_PRIMARY</v>
      </c>
      <c r="D124" t="str">
        <f>IF(C124="FLOOR_PRIMARY","yes",IF(G124&lt;&gt;0,"yes","no"))</f>
        <v>yes</v>
      </c>
      <c r="E124">
        <f>MAX(0,INT((B124-1)/Constants!$B$2))</f>
        <v>5</v>
      </c>
      <c r="F124">
        <f>INT(B124*E124/Constants!$B$2)</f>
        <v>25</v>
      </c>
      <c r="G124">
        <f>MOD(B124*E124,Constants!$B$2)</f>
        <v>10</v>
      </c>
      <c r="H124">
        <f>B124+F124+IF(C124="CEIL_NEIGHBOR",1,0)</f>
        <v>87</v>
      </c>
      <c r="I124">
        <f>B124+H124</f>
        <v>149</v>
      </c>
      <c r="J124" t="str">
        <f>B124&amp;"p+"&amp;H124&amp;"n+"&amp;B124&amp;"e"</f>
        <v>62p+87n+62e</v>
      </c>
      <c r="K124" t="str">
        <f>(2*B124+H124)&amp;"u+"&amp;(B124+2*H124)&amp;"d+"&amp;B124&amp;"e"</f>
        <v>211u+236d+62e</v>
      </c>
      <c r="L124">
        <f>B124*Constants!$B$11+(H124-B124)*Constants!$B$12</f>
        <v>574.9401041666666666666666666666666666666666666666666666666666666666666666666666666666666666666666667</v>
      </c>
      <c r="M124">
        <f>L124*Constants!$B$5</f>
        <v>4599.520833333333333333333333333333333333333333333333333333333333333333333333333333333333333333333333</v>
      </c>
      <c r="N124">
        <f>L124*7</f>
        <v>4024.580729166666666666666666666666666666666666666666666666666666666666666666666666666666666666666667</v>
      </c>
      <c r="O124" t="str">
        <f>IF(B124&gt;Constants!$B$6-Constants!$B$5,"CONSTANT_FRONTIER_TAIL_CANDIDATE",IF(G124=0,"CONSTANT_STABLE_ANCHOR_LANE",IF(G124=Constants!$B$2/2,"CONSTANT_HALF_WRITE_LANE","CONSTANT_BOUND_LADDER_LANE")))</f>
        <v>CONSTANT_BOUND_LADDER_LANE</v>
      </c>
    </row>
    <row r="125">
      <c r="A125">
        <f>ROW()-1</f>
        <v>124</v>
      </c>
      <c r="B125">
        <f>INT((A125-1)/2)+1</f>
        <v>62</v>
      </c>
      <c r="C125" t="str">
        <f>IF(MOD(A125-1,2)=0,"FLOOR_PRIMARY","CEIL_NEIGHBOR")</f>
        <v>CEIL_NEIGHBOR</v>
      </c>
      <c r="D125" t="str">
        <f>IF(C125="FLOOR_PRIMARY","yes",IF(G125&lt;&gt;0,"yes","no"))</f>
        <v>yes</v>
      </c>
      <c r="E125">
        <f>MAX(0,INT((B125-1)/Constants!$B$2))</f>
        <v>5</v>
      </c>
      <c r="F125">
        <f>INT(B125*E125/Constants!$B$2)</f>
        <v>25</v>
      </c>
      <c r="G125">
        <f>MOD(B125*E125,Constants!$B$2)</f>
        <v>10</v>
      </c>
      <c r="H125">
        <f>B125+F125+IF(C125="CEIL_NEIGHBOR",1,0)</f>
        <v>88</v>
      </c>
      <c r="I125">
        <f>B125+H125</f>
        <v>150</v>
      </c>
      <c r="J125" t="str">
        <f>B125&amp;"p+"&amp;H125&amp;"n+"&amp;B125&amp;"e"</f>
        <v>62p+88n+62e</v>
      </c>
      <c r="K125" t="str">
        <f>(2*B125+H125)&amp;"u+"&amp;(B125+2*H125)&amp;"d+"&amp;B125&amp;"e"</f>
        <v>212u+238d+62e</v>
      </c>
      <c r="L125">
        <f>B125*Constants!$B$11+(H125-B125)*Constants!$B$12</f>
        <v>574.9557291666666666666666666666666666666666666666666666666666666666666666666666666666666666666666667</v>
      </c>
      <c r="M125">
        <f>L125*Constants!$B$5</f>
        <v>4599.645833333333333333333333333333333333333333333333333333333333333333333333333333333333333333333333</v>
      </c>
      <c r="N125">
        <f>L125*7</f>
        <v>4024.690104166666666666666666666666666666666666666666666666666666666666666666666666666666666666666667</v>
      </c>
      <c r="O125" t="str">
        <f>IF(B125&gt;Constants!$B$6-Constants!$B$5,"CONSTANT_FRONTIER_TAIL_CANDIDATE",IF(G125=0,"CONSTANT_STABLE_ANCHOR_LANE",IF(G125=Constants!$B$2/2,"CONSTANT_HALF_WRITE_LANE","CONSTANT_BOUND_LADDER_LANE")))</f>
        <v>CONSTANT_BOUND_LADDER_LANE</v>
      </c>
    </row>
    <row r="126">
      <c r="A126">
        <f>ROW()-1</f>
        <v>125</v>
      </c>
      <c r="B126">
        <f>INT((A126-1)/2)+1</f>
        <v>63</v>
      </c>
      <c r="C126" t="str">
        <f>IF(MOD(A126-1,2)=0,"FLOOR_PRIMARY","CEIL_NEIGHBOR")</f>
        <v>FLOOR_PRIMARY</v>
      </c>
      <c r="D126" t="str">
        <f>IF(C126="FLOOR_PRIMARY","yes",IF(G126&lt;&gt;0,"yes","no"))</f>
        <v>yes</v>
      </c>
      <c r="E126">
        <f>MAX(0,INT((B126-1)/Constants!$B$2))</f>
        <v>5</v>
      </c>
      <c r="F126">
        <f>INT(B126*E126/Constants!$B$2)</f>
        <v>26</v>
      </c>
      <c r="G126">
        <f>MOD(B126*E126,Constants!$B$2)</f>
        <v>3</v>
      </c>
      <c r="H126">
        <f>B126+F126+IF(C126="CEIL_NEIGHBOR",1,0)</f>
        <v>89</v>
      </c>
      <c r="I126">
        <f>B126+H126</f>
        <v>152</v>
      </c>
      <c r="J126" t="str">
        <f>B126&amp;"p+"&amp;H126&amp;"n+"&amp;B126&amp;"e"</f>
        <v>63p+89n+63e</v>
      </c>
      <c r="K126" t="str">
        <f>(2*B126+H126)&amp;"u+"&amp;(B126+2*H126)&amp;"d+"&amp;B126&amp;"e"</f>
        <v>215u+241d+63e</v>
      </c>
      <c r="L126">
        <f>B126*Constants!$B$11+(H126-B126)*Constants!$B$12</f>
        <v>584.22265625</v>
      </c>
      <c r="M126">
        <f>L126*Constants!$B$5</f>
        <v>4673.78125</v>
      </c>
      <c r="N126">
        <f>L126*7</f>
        <v>4089.55859375</v>
      </c>
      <c r="O126" t="str">
        <f>IF(B126&gt;Constants!$B$6-Constants!$B$5,"CONSTANT_FRONTIER_TAIL_CANDIDATE",IF(G126=0,"CONSTANT_STABLE_ANCHOR_LANE",IF(G126=Constants!$B$2/2,"CONSTANT_HALF_WRITE_LANE","CONSTANT_BOUND_LADDER_LANE")))</f>
        <v>CONSTANT_BOUND_LADDER_LANE</v>
      </c>
    </row>
    <row r="127">
      <c r="A127">
        <f>ROW()-1</f>
        <v>126</v>
      </c>
      <c r="B127">
        <f>INT((A127-1)/2)+1</f>
        <v>63</v>
      </c>
      <c r="C127" t="str">
        <f>IF(MOD(A127-1,2)=0,"FLOOR_PRIMARY","CEIL_NEIGHBOR")</f>
        <v>CEIL_NEIGHBOR</v>
      </c>
      <c r="D127" t="str">
        <f>IF(C127="FLOOR_PRIMARY","yes",IF(G127&lt;&gt;0,"yes","no"))</f>
        <v>yes</v>
      </c>
      <c r="E127">
        <f>MAX(0,INT((B127-1)/Constants!$B$2))</f>
        <v>5</v>
      </c>
      <c r="F127">
        <f>INT(B127*E127/Constants!$B$2)</f>
        <v>26</v>
      </c>
      <c r="G127">
        <f>MOD(B127*E127,Constants!$B$2)</f>
        <v>3</v>
      </c>
      <c r="H127">
        <f>B127+F127+IF(C127="CEIL_NEIGHBOR",1,0)</f>
        <v>90</v>
      </c>
      <c r="I127">
        <f>B127+H127</f>
        <v>153</v>
      </c>
      <c r="J127" t="str">
        <f>B127&amp;"p+"&amp;H127&amp;"n+"&amp;B127&amp;"e"</f>
        <v>63p+90n+63e</v>
      </c>
      <c r="K127" t="str">
        <f>(2*B127+H127)&amp;"u+"&amp;(B127+2*H127)&amp;"d+"&amp;B127&amp;"e"</f>
        <v>216u+243d+63e</v>
      </c>
      <c r="L127">
        <f>B127*Constants!$B$11+(H127-B127)*Constants!$B$12</f>
        <v>584.23828125</v>
      </c>
      <c r="M127">
        <f>L127*Constants!$B$5</f>
        <v>4673.90625</v>
      </c>
      <c r="N127">
        <f>L127*7</f>
        <v>4089.66796875</v>
      </c>
      <c r="O127" t="str">
        <f>IF(B127&gt;Constants!$B$6-Constants!$B$5,"CONSTANT_FRONTIER_TAIL_CANDIDATE",IF(G127=0,"CONSTANT_STABLE_ANCHOR_LANE",IF(G127=Constants!$B$2/2,"CONSTANT_HALF_WRITE_LANE","CONSTANT_BOUND_LADDER_LANE")))</f>
        <v>CONSTANT_BOUND_LADDER_LANE</v>
      </c>
    </row>
    <row r="128">
      <c r="A128">
        <f>ROW()-1</f>
        <v>127</v>
      </c>
      <c r="B128">
        <f>INT((A128-1)/2)+1</f>
        <v>64</v>
      </c>
      <c r="C128" t="str">
        <f>IF(MOD(A128-1,2)=0,"FLOOR_PRIMARY","CEIL_NEIGHBOR")</f>
        <v>FLOOR_PRIMARY</v>
      </c>
      <c r="D128" t="str">
        <f>IF(C128="FLOOR_PRIMARY","yes",IF(G128&lt;&gt;0,"yes","no"))</f>
        <v>yes</v>
      </c>
      <c r="E128">
        <f>MAX(0,INT((B128-1)/Constants!$B$2))</f>
        <v>5</v>
      </c>
      <c r="F128">
        <f>INT(B128*E128/Constants!$B$2)</f>
        <v>26</v>
      </c>
      <c r="G128">
        <f>MOD(B128*E128,Constants!$B$2)</f>
        <v>8</v>
      </c>
      <c r="H128">
        <f>B128+F128+IF(C128="CEIL_NEIGHBOR",1,0)</f>
        <v>90</v>
      </c>
      <c r="I128">
        <f>B128+H128</f>
        <v>154</v>
      </c>
      <c r="J128" t="str">
        <f>B128&amp;"p+"&amp;H128&amp;"n+"&amp;B128&amp;"e"</f>
        <v>64p+90n+64e</v>
      </c>
      <c r="K128" t="str">
        <f>(2*B128+H128)&amp;"u+"&amp;(B128+2*H128)&amp;"d+"&amp;B128&amp;"e"</f>
        <v>218u+244d+64e</v>
      </c>
      <c r="L128">
        <f>B128*Constants!$B$11+(H128-B128)*Constants!$B$12</f>
        <v>593.4895833333333333333333333333333333333333333333333333333333333333333333333333333333333333333333333</v>
      </c>
      <c r="M128">
        <f>L128*Constants!$B$5</f>
        <v>4747.916666666666666666666666666666666666666666666666666666666666666666666666666666666666666666666667</v>
      </c>
      <c r="N128">
        <f>L128*7</f>
        <v>4154.427083333333333333333333333333333333333333333333333333333333333333333333333333333333333333333333</v>
      </c>
      <c r="O128" t="str">
        <f>IF(B128&gt;Constants!$B$6-Constants!$B$5,"CONSTANT_FRONTIER_TAIL_CANDIDATE",IF(G128=0,"CONSTANT_STABLE_ANCHOR_LANE",IF(G128=Constants!$B$2/2,"CONSTANT_HALF_WRITE_LANE","CONSTANT_BOUND_LADDER_LANE")))</f>
        <v>CONSTANT_BOUND_LADDER_LANE</v>
      </c>
    </row>
    <row r="129">
      <c r="A129">
        <f>ROW()-1</f>
        <v>128</v>
      </c>
      <c r="B129">
        <f>INT((A129-1)/2)+1</f>
        <v>64</v>
      </c>
      <c r="C129" t="str">
        <f>IF(MOD(A129-1,2)=0,"FLOOR_PRIMARY","CEIL_NEIGHBOR")</f>
        <v>CEIL_NEIGHBOR</v>
      </c>
      <c r="D129" t="str">
        <f>IF(C129="FLOOR_PRIMARY","yes",IF(G129&lt;&gt;0,"yes","no"))</f>
        <v>yes</v>
      </c>
      <c r="E129">
        <f>MAX(0,INT((B129-1)/Constants!$B$2))</f>
        <v>5</v>
      </c>
      <c r="F129">
        <f>INT(B129*E129/Constants!$B$2)</f>
        <v>26</v>
      </c>
      <c r="G129">
        <f>MOD(B129*E129,Constants!$B$2)</f>
        <v>8</v>
      </c>
      <c r="H129">
        <f>B129+F129+IF(C129="CEIL_NEIGHBOR",1,0)</f>
        <v>91</v>
      </c>
      <c r="I129">
        <f>B129+H129</f>
        <v>155</v>
      </c>
      <c r="J129" t="str">
        <f>B129&amp;"p+"&amp;H129&amp;"n+"&amp;B129&amp;"e"</f>
        <v>64p+91n+64e</v>
      </c>
      <c r="K129" t="str">
        <f>(2*B129+H129)&amp;"u+"&amp;(B129+2*H129)&amp;"d+"&amp;B129&amp;"e"</f>
        <v>219u+246d+64e</v>
      </c>
      <c r="L129">
        <f>B129*Constants!$B$11+(H129-B129)*Constants!$B$12</f>
        <v>593.5052083333333333333333333333333333333333333333333333333333333333333333333333333333333333333333333</v>
      </c>
      <c r="M129">
        <f>L129*Constants!$B$5</f>
        <v>4748.041666666666666666666666666666666666666666666666666666666666666666666666666666666666666666666667</v>
      </c>
      <c r="N129">
        <f>L129*7</f>
        <v>4154.536458333333333333333333333333333333333333333333333333333333333333333333333333333333333333333333</v>
      </c>
      <c r="O129" t="str">
        <f>IF(B129&gt;Constants!$B$6-Constants!$B$5,"CONSTANT_FRONTIER_TAIL_CANDIDATE",IF(G129=0,"CONSTANT_STABLE_ANCHOR_LANE",IF(G129=Constants!$B$2/2,"CONSTANT_HALF_WRITE_LANE","CONSTANT_BOUND_LADDER_LANE")))</f>
        <v>CONSTANT_BOUND_LADDER_LANE</v>
      </c>
    </row>
    <row r="130">
      <c r="A130">
        <f>ROW()-1</f>
        <v>129</v>
      </c>
      <c r="B130">
        <f>INT((A130-1)/2)+1</f>
        <v>65</v>
      </c>
      <c r="C130" t="str">
        <f>IF(MOD(A130-1,2)=0,"FLOOR_PRIMARY","CEIL_NEIGHBOR")</f>
        <v>FLOOR_PRIMARY</v>
      </c>
      <c r="D130" t="str">
        <f>IF(C130="FLOOR_PRIMARY","yes",IF(G130&lt;&gt;0,"yes","no"))</f>
        <v>yes</v>
      </c>
      <c r="E130">
        <f>MAX(0,INT((B130-1)/Constants!$B$2))</f>
        <v>5</v>
      </c>
      <c r="F130">
        <f>INT(B130*E130/Constants!$B$2)</f>
        <v>27</v>
      </c>
      <c r="G130">
        <f>MOD(B130*E130,Constants!$B$2)</f>
        <v>1</v>
      </c>
      <c r="H130">
        <f>B130+F130+IF(C130="CEIL_NEIGHBOR",1,0)</f>
        <v>92</v>
      </c>
      <c r="I130">
        <f>B130+H130</f>
        <v>157</v>
      </c>
      <c r="J130" t="str">
        <f>B130&amp;"p+"&amp;H130&amp;"n+"&amp;B130&amp;"e"</f>
        <v>65p+92n+65e</v>
      </c>
      <c r="K130" t="str">
        <f>(2*B130+H130)&amp;"u+"&amp;(B130+2*H130)&amp;"d+"&amp;B130&amp;"e"</f>
        <v>222u+249d+65e</v>
      </c>
      <c r="L130">
        <f>B130*Constants!$B$11+(H130-B130)*Constants!$B$12</f>
        <v>602.7721354166666666666666666666666666666666666666666666666666666666666666666666666666666666666666667</v>
      </c>
      <c r="M130">
        <f>L130*Constants!$B$5</f>
        <v>4822.177083333333333333333333333333333333333333333333333333333333333333333333333333333333333333333333</v>
      </c>
      <c r="N130">
        <f>L130*7</f>
        <v>4219.404947916666666666666666666666666666666666666666666666666666666666666666666666666666666666666667</v>
      </c>
      <c r="O130" t="str">
        <f>IF(B130&gt;Constants!$B$6-Constants!$B$5,"CONSTANT_FRONTIER_TAIL_CANDIDATE",IF(G130=0,"CONSTANT_STABLE_ANCHOR_LANE",IF(G130=Constants!$B$2/2,"CONSTANT_HALF_WRITE_LANE","CONSTANT_BOUND_LADDER_LANE")))</f>
        <v>CONSTANT_BOUND_LADDER_LANE</v>
      </c>
    </row>
    <row r="131">
      <c r="A131">
        <f>ROW()-1</f>
        <v>130</v>
      </c>
      <c r="B131">
        <f>INT((A131-1)/2)+1</f>
        <v>65</v>
      </c>
      <c r="C131" t="str">
        <f>IF(MOD(A131-1,2)=0,"FLOOR_PRIMARY","CEIL_NEIGHBOR")</f>
        <v>CEIL_NEIGHBOR</v>
      </c>
      <c r="D131" t="str">
        <f>IF(C131="FLOOR_PRIMARY","yes",IF(G131&lt;&gt;0,"yes","no"))</f>
        <v>yes</v>
      </c>
      <c r="E131">
        <f>MAX(0,INT((B131-1)/Constants!$B$2))</f>
        <v>5</v>
      </c>
      <c r="F131">
        <f>INT(B131*E131/Constants!$B$2)</f>
        <v>27</v>
      </c>
      <c r="G131">
        <f>MOD(B131*E131,Constants!$B$2)</f>
        <v>1</v>
      </c>
      <c r="H131">
        <f>B131+F131+IF(C131="CEIL_NEIGHBOR",1,0)</f>
        <v>93</v>
      </c>
      <c r="I131">
        <f>B131+H131</f>
        <v>158</v>
      </c>
      <c r="J131" t="str">
        <f>B131&amp;"p+"&amp;H131&amp;"n+"&amp;B131&amp;"e"</f>
        <v>65p+93n+65e</v>
      </c>
      <c r="K131" t="str">
        <f>(2*B131+H131)&amp;"u+"&amp;(B131+2*H131)&amp;"d+"&amp;B131&amp;"e"</f>
        <v>223u+251d+65e</v>
      </c>
      <c r="L131">
        <f>B131*Constants!$B$11+(H131-B131)*Constants!$B$12</f>
        <v>602.7877604166666666666666666666666666666666666666666666666666666666666666666666666666666666666666667</v>
      </c>
      <c r="M131">
        <f>L131*Constants!$B$5</f>
        <v>4822.302083333333333333333333333333333333333333333333333333333333333333333333333333333333333333333333</v>
      </c>
      <c r="N131">
        <f>L131*7</f>
        <v>4219.514322916666666666666666666666666666666666666666666666666666666666666666666666666666666666666667</v>
      </c>
      <c r="O131" t="str">
        <f>IF(B131&gt;Constants!$B$6-Constants!$B$5,"CONSTANT_FRONTIER_TAIL_CANDIDATE",IF(G131=0,"CONSTANT_STABLE_ANCHOR_LANE",IF(G131=Constants!$B$2/2,"CONSTANT_HALF_WRITE_LANE","CONSTANT_BOUND_LADDER_LANE")))</f>
        <v>CONSTANT_BOUND_LADDER_LANE</v>
      </c>
    </row>
    <row r="132">
      <c r="A132">
        <f>ROW()-1</f>
        <v>131</v>
      </c>
      <c r="B132">
        <f>INT((A132-1)/2)+1</f>
        <v>66</v>
      </c>
      <c r="C132" t="str">
        <f>IF(MOD(A132-1,2)=0,"FLOOR_PRIMARY","CEIL_NEIGHBOR")</f>
        <v>FLOOR_PRIMARY</v>
      </c>
      <c r="D132" t="str">
        <f>IF(C132="FLOOR_PRIMARY","yes",IF(G132&lt;&gt;0,"yes","no"))</f>
        <v>yes</v>
      </c>
      <c r="E132">
        <f>MAX(0,INT((B132-1)/Constants!$B$2))</f>
        <v>5</v>
      </c>
      <c r="F132">
        <f>INT(B132*E132/Constants!$B$2)</f>
        <v>27</v>
      </c>
      <c r="G132">
        <f>MOD(B132*E132,Constants!$B$2)</f>
        <v>6</v>
      </c>
      <c r="H132">
        <f>B132+F132+IF(C132="CEIL_NEIGHBOR",1,0)</f>
        <v>93</v>
      </c>
      <c r="I132">
        <f>B132+H132</f>
        <v>159</v>
      </c>
      <c r="J132" t="str">
        <f>B132&amp;"p+"&amp;H132&amp;"n+"&amp;B132&amp;"e"</f>
        <v>66p+93n+66e</v>
      </c>
      <c r="K132" t="str">
        <f>(2*B132+H132)&amp;"u+"&amp;(B132+2*H132)&amp;"d+"&amp;B132&amp;"e"</f>
        <v>225u+252d+66e</v>
      </c>
      <c r="L132">
        <f>B132*Constants!$B$11+(H132-B132)*Constants!$B$12</f>
        <v>612.0390625</v>
      </c>
      <c r="M132">
        <f>L132*Constants!$B$5</f>
        <v>4896.3125</v>
      </c>
      <c r="N132">
        <f>L132*7</f>
        <v>4284.2734375</v>
      </c>
      <c r="O132" t="str">
        <f>IF(B132&gt;Constants!$B$6-Constants!$B$5,"CONSTANT_FRONTIER_TAIL_CANDIDATE",IF(G132=0,"CONSTANT_STABLE_ANCHOR_LANE",IF(G132=Constants!$B$2/2,"CONSTANT_HALF_WRITE_LANE","CONSTANT_BOUND_LADDER_LANE")))</f>
        <v>CONSTANT_HALF_WRITE_LANE</v>
      </c>
    </row>
    <row r="133">
      <c r="A133">
        <f>ROW()-1</f>
        <v>132</v>
      </c>
      <c r="B133">
        <f>INT((A133-1)/2)+1</f>
        <v>66</v>
      </c>
      <c r="C133" t="str">
        <f>IF(MOD(A133-1,2)=0,"FLOOR_PRIMARY","CEIL_NEIGHBOR")</f>
        <v>CEIL_NEIGHBOR</v>
      </c>
      <c r="D133" t="str">
        <f>IF(C133="FLOOR_PRIMARY","yes",IF(G133&lt;&gt;0,"yes","no"))</f>
        <v>yes</v>
      </c>
      <c r="E133">
        <f>MAX(0,INT((B133-1)/Constants!$B$2))</f>
        <v>5</v>
      </c>
      <c r="F133">
        <f>INT(B133*E133/Constants!$B$2)</f>
        <v>27</v>
      </c>
      <c r="G133">
        <f>MOD(B133*E133,Constants!$B$2)</f>
        <v>6</v>
      </c>
      <c r="H133">
        <f>B133+F133+IF(C133="CEIL_NEIGHBOR",1,0)</f>
        <v>94</v>
      </c>
      <c r="I133">
        <f>B133+H133</f>
        <v>160</v>
      </c>
      <c r="J133" t="str">
        <f>B133&amp;"p+"&amp;H133&amp;"n+"&amp;B133&amp;"e"</f>
        <v>66p+94n+66e</v>
      </c>
      <c r="K133" t="str">
        <f>(2*B133+H133)&amp;"u+"&amp;(B133+2*H133)&amp;"d+"&amp;B133&amp;"e"</f>
        <v>226u+254d+66e</v>
      </c>
      <c r="L133">
        <f>B133*Constants!$B$11+(H133-B133)*Constants!$B$12</f>
        <v>612.0546875</v>
      </c>
      <c r="M133">
        <f>L133*Constants!$B$5</f>
        <v>4896.4375</v>
      </c>
      <c r="N133">
        <f>L133*7</f>
        <v>4284.3828125</v>
      </c>
      <c r="O133" t="str">
        <f>IF(B133&gt;Constants!$B$6-Constants!$B$5,"CONSTANT_FRONTIER_TAIL_CANDIDATE",IF(G133=0,"CONSTANT_STABLE_ANCHOR_LANE",IF(G133=Constants!$B$2/2,"CONSTANT_HALF_WRITE_LANE","CONSTANT_BOUND_LADDER_LANE")))</f>
        <v>CONSTANT_HALF_WRITE_LANE</v>
      </c>
    </row>
    <row r="134">
      <c r="A134">
        <f>ROW()-1</f>
        <v>133</v>
      </c>
      <c r="B134">
        <f>INT((A134-1)/2)+1</f>
        <v>67</v>
      </c>
      <c r="C134" t="str">
        <f>IF(MOD(A134-1,2)=0,"FLOOR_PRIMARY","CEIL_NEIGHBOR")</f>
        <v>FLOOR_PRIMARY</v>
      </c>
      <c r="D134" t="str">
        <f>IF(C134="FLOOR_PRIMARY","yes",IF(G134&lt;&gt;0,"yes","no"))</f>
        <v>yes</v>
      </c>
      <c r="E134">
        <f>MAX(0,INT((B134-1)/Constants!$B$2))</f>
        <v>5</v>
      </c>
      <c r="F134">
        <f>INT(B134*E134/Constants!$B$2)</f>
        <v>27</v>
      </c>
      <c r="G134">
        <f>MOD(B134*E134,Constants!$B$2)</f>
        <v>11</v>
      </c>
      <c r="H134">
        <f>B134+F134+IF(C134="CEIL_NEIGHBOR",1,0)</f>
        <v>94</v>
      </c>
      <c r="I134">
        <f>B134+H134</f>
        <v>161</v>
      </c>
      <c r="J134" t="str">
        <f>B134&amp;"p+"&amp;H134&amp;"n+"&amp;B134&amp;"e"</f>
        <v>67p+94n+67e</v>
      </c>
      <c r="K134" t="str">
        <f>(2*B134+H134)&amp;"u+"&amp;(B134+2*H134)&amp;"d+"&amp;B134&amp;"e"</f>
        <v>228u+255d+67e</v>
      </c>
      <c r="L134">
        <f>B134*Constants!$B$11+(H134-B134)*Constants!$B$12</f>
        <v>621.3059895833333333333333333333333333333333333333333333333333333333333333333333333333333333333333333</v>
      </c>
      <c r="M134">
        <f>L134*Constants!$B$5</f>
        <v>4970.447916666666666666666666666666666666666666666666666666666666666666666666666666666666666666666667</v>
      </c>
      <c r="N134">
        <f>L134*7</f>
        <v>4349.141927083333333333333333333333333333333333333333333333333333333333333333333333333333333333333333</v>
      </c>
      <c r="O134" t="str">
        <f>IF(B134&gt;Constants!$B$6-Constants!$B$5,"CONSTANT_FRONTIER_TAIL_CANDIDATE",IF(G134=0,"CONSTANT_STABLE_ANCHOR_LANE",IF(G134=Constants!$B$2/2,"CONSTANT_HALF_WRITE_LANE","CONSTANT_BOUND_LADDER_LANE")))</f>
        <v>CONSTANT_BOUND_LADDER_LANE</v>
      </c>
    </row>
    <row r="135">
      <c r="A135">
        <f>ROW()-1</f>
        <v>134</v>
      </c>
      <c r="B135">
        <f>INT((A135-1)/2)+1</f>
        <v>67</v>
      </c>
      <c r="C135" t="str">
        <f>IF(MOD(A135-1,2)=0,"FLOOR_PRIMARY","CEIL_NEIGHBOR")</f>
        <v>CEIL_NEIGHBOR</v>
      </c>
      <c r="D135" t="str">
        <f>IF(C135="FLOOR_PRIMARY","yes",IF(G135&lt;&gt;0,"yes","no"))</f>
        <v>yes</v>
      </c>
      <c r="E135">
        <f>MAX(0,INT((B135-1)/Constants!$B$2))</f>
        <v>5</v>
      </c>
      <c r="F135">
        <f>INT(B135*E135/Constants!$B$2)</f>
        <v>27</v>
      </c>
      <c r="G135">
        <f>MOD(B135*E135,Constants!$B$2)</f>
        <v>11</v>
      </c>
      <c r="H135">
        <f>B135+F135+IF(C135="CEIL_NEIGHBOR",1,0)</f>
        <v>95</v>
      </c>
      <c r="I135">
        <f>B135+H135</f>
        <v>162</v>
      </c>
      <c r="J135" t="str">
        <f>B135&amp;"p+"&amp;H135&amp;"n+"&amp;B135&amp;"e"</f>
        <v>67p+95n+67e</v>
      </c>
      <c r="K135" t="str">
        <f>(2*B135+H135)&amp;"u+"&amp;(B135+2*H135)&amp;"d+"&amp;B135&amp;"e"</f>
        <v>229u+257d+67e</v>
      </c>
      <c r="L135">
        <f>B135*Constants!$B$11+(H135-B135)*Constants!$B$12</f>
        <v>621.3216145833333333333333333333333333333333333333333333333333333333333333333333333333333333333333333</v>
      </c>
      <c r="M135">
        <f>L135*Constants!$B$5</f>
        <v>4970.572916666666666666666666666666666666666666666666666666666666666666666666666666666666666666666667</v>
      </c>
      <c r="N135">
        <f>L135*7</f>
        <v>4349.251302083333333333333333333333333333333333333333333333333333333333333333333333333333333333333333</v>
      </c>
      <c r="O135" t="str">
        <f>IF(B135&gt;Constants!$B$6-Constants!$B$5,"CONSTANT_FRONTIER_TAIL_CANDIDATE",IF(G135=0,"CONSTANT_STABLE_ANCHOR_LANE",IF(G135=Constants!$B$2/2,"CONSTANT_HALF_WRITE_LANE","CONSTANT_BOUND_LADDER_LANE")))</f>
        <v>CONSTANT_BOUND_LADDER_LANE</v>
      </c>
    </row>
    <row r="136">
      <c r="A136">
        <f>ROW()-1</f>
        <v>135</v>
      </c>
      <c r="B136">
        <f>INT((A136-1)/2)+1</f>
        <v>68</v>
      </c>
      <c r="C136" t="str">
        <f>IF(MOD(A136-1,2)=0,"FLOOR_PRIMARY","CEIL_NEIGHBOR")</f>
        <v>FLOOR_PRIMARY</v>
      </c>
      <c r="D136" t="str">
        <f>IF(C136="FLOOR_PRIMARY","yes",IF(G136&lt;&gt;0,"yes","no"))</f>
        <v>yes</v>
      </c>
      <c r="E136">
        <f>MAX(0,INT((B136-1)/Constants!$B$2))</f>
        <v>5</v>
      </c>
      <c r="F136">
        <f>INT(B136*E136/Constants!$B$2)</f>
        <v>28</v>
      </c>
      <c r="G136">
        <f>MOD(B136*E136,Constants!$B$2)</f>
        <v>4</v>
      </c>
      <c r="H136">
        <f>B136+F136+IF(C136="CEIL_NEIGHBOR",1,0)</f>
        <v>96</v>
      </c>
      <c r="I136">
        <f>B136+H136</f>
        <v>164</v>
      </c>
      <c r="J136" t="str">
        <f>B136&amp;"p+"&amp;H136&amp;"n+"&amp;B136&amp;"e"</f>
        <v>68p+96n+68e</v>
      </c>
      <c r="K136" t="str">
        <f>(2*B136+H136)&amp;"u+"&amp;(B136+2*H136)&amp;"d+"&amp;B136&amp;"e"</f>
        <v>232u+260d+68e</v>
      </c>
      <c r="L136">
        <f>B136*Constants!$B$11+(H136-B136)*Constants!$B$12</f>
        <v>630.5885416666666666666666666666666666666666666666666666666666666666666666666666666666666666666666667</v>
      </c>
      <c r="M136">
        <f>L136*Constants!$B$5</f>
        <v>5044.708333333333333333333333333333333333333333333333333333333333333333333333333333333333333333333333</v>
      </c>
      <c r="N136">
        <f>L136*7</f>
        <v>4414.119791666666666666666666666666666666666666666666666666666666666666666666666666666666666666666667</v>
      </c>
      <c r="O136" t="str">
        <f>IF(B136&gt;Constants!$B$6-Constants!$B$5,"CONSTANT_FRONTIER_TAIL_CANDIDATE",IF(G136=0,"CONSTANT_STABLE_ANCHOR_LANE",IF(G136=Constants!$B$2/2,"CONSTANT_HALF_WRITE_LANE","CONSTANT_BOUND_LADDER_LANE")))</f>
        <v>CONSTANT_BOUND_LADDER_LANE</v>
      </c>
    </row>
    <row r="137">
      <c r="A137">
        <f>ROW()-1</f>
        <v>136</v>
      </c>
      <c r="B137">
        <f>INT((A137-1)/2)+1</f>
        <v>68</v>
      </c>
      <c r="C137" t="str">
        <f>IF(MOD(A137-1,2)=0,"FLOOR_PRIMARY","CEIL_NEIGHBOR")</f>
        <v>CEIL_NEIGHBOR</v>
      </c>
      <c r="D137" t="str">
        <f>IF(C137="FLOOR_PRIMARY","yes",IF(G137&lt;&gt;0,"yes","no"))</f>
        <v>yes</v>
      </c>
      <c r="E137">
        <f>MAX(0,INT((B137-1)/Constants!$B$2))</f>
        <v>5</v>
      </c>
      <c r="F137">
        <f>INT(B137*E137/Constants!$B$2)</f>
        <v>28</v>
      </c>
      <c r="G137">
        <f>MOD(B137*E137,Constants!$B$2)</f>
        <v>4</v>
      </c>
      <c r="H137">
        <f>B137+F137+IF(C137="CEIL_NEIGHBOR",1,0)</f>
        <v>97</v>
      </c>
      <c r="I137">
        <f>B137+H137</f>
        <v>165</v>
      </c>
      <c r="J137" t="str">
        <f>B137&amp;"p+"&amp;H137&amp;"n+"&amp;B137&amp;"e"</f>
        <v>68p+97n+68e</v>
      </c>
      <c r="K137" t="str">
        <f>(2*B137+H137)&amp;"u+"&amp;(B137+2*H137)&amp;"d+"&amp;B137&amp;"e"</f>
        <v>233u+262d+68e</v>
      </c>
      <c r="L137">
        <f>B137*Constants!$B$11+(H137-B137)*Constants!$B$12</f>
        <v>630.6041666666666666666666666666666666666666666666666666666666666666666666666666666666666666666666667</v>
      </c>
      <c r="M137">
        <f>L137*Constants!$B$5</f>
        <v>5044.833333333333333333333333333333333333333333333333333333333333333333333333333333333333333333333333</v>
      </c>
      <c r="N137">
        <f>L137*7</f>
        <v>4414.229166666666666666666666666666666666666666666666666666666666666666666666666666666666666666666667</v>
      </c>
      <c r="O137" t="str">
        <f>IF(B137&gt;Constants!$B$6-Constants!$B$5,"CONSTANT_FRONTIER_TAIL_CANDIDATE",IF(G137=0,"CONSTANT_STABLE_ANCHOR_LANE",IF(G137=Constants!$B$2/2,"CONSTANT_HALF_WRITE_LANE","CONSTANT_BOUND_LADDER_LANE")))</f>
        <v>CONSTANT_BOUND_LADDER_LANE</v>
      </c>
    </row>
    <row r="138">
      <c r="A138">
        <f>ROW()-1</f>
        <v>137</v>
      </c>
      <c r="B138">
        <f>INT((A138-1)/2)+1</f>
        <v>69</v>
      </c>
      <c r="C138" t="str">
        <f>IF(MOD(A138-1,2)=0,"FLOOR_PRIMARY","CEIL_NEIGHBOR")</f>
        <v>FLOOR_PRIMARY</v>
      </c>
      <c r="D138" t="str">
        <f>IF(C138="FLOOR_PRIMARY","yes",IF(G138&lt;&gt;0,"yes","no"))</f>
        <v>yes</v>
      </c>
      <c r="E138">
        <f>MAX(0,INT((B138-1)/Constants!$B$2))</f>
        <v>5</v>
      </c>
      <c r="F138">
        <f>INT(B138*E138/Constants!$B$2)</f>
        <v>28</v>
      </c>
      <c r="G138">
        <f>MOD(B138*E138,Constants!$B$2)</f>
        <v>9</v>
      </c>
      <c r="H138">
        <f>B138+F138+IF(C138="CEIL_NEIGHBOR",1,0)</f>
        <v>97</v>
      </c>
      <c r="I138">
        <f>B138+H138</f>
        <v>166</v>
      </c>
      <c r="J138" t="str">
        <f>B138&amp;"p+"&amp;H138&amp;"n+"&amp;B138&amp;"e"</f>
        <v>69p+97n+69e</v>
      </c>
      <c r="K138" t="str">
        <f>(2*B138+H138)&amp;"u+"&amp;(B138+2*H138)&amp;"d+"&amp;B138&amp;"e"</f>
        <v>235u+263d+69e</v>
      </c>
      <c r="L138">
        <f>B138*Constants!$B$11+(H138-B138)*Constants!$B$12</f>
        <v>639.85546875</v>
      </c>
      <c r="M138">
        <f>L138*Constants!$B$5</f>
        <v>5118.84375</v>
      </c>
      <c r="N138">
        <f>L138*7</f>
        <v>4478.98828125</v>
      </c>
      <c r="O138" t="str">
        <f>IF(B138&gt;Constants!$B$6-Constants!$B$5,"CONSTANT_FRONTIER_TAIL_CANDIDATE",IF(G138=0,"CONSTANT_STABLE_ANCHOR_LANE",IF(G138=Constants!$B$2/2,"CONSTANT_HALF_WRITE_LANE","CONSTANT_BOUND_LADDER_LANE")))</f>
        <v>CONSTANT_BOUND_LADDER_LANE</v>
      </c>
    </row>
    <row r="139">
      <c r="A139">
        <f>ROW()-1</f>
        <v>138</v>
      </c>
      <c r="B139">
        <f>INT((A139-1)/2)+1</f>
        <v>69</v>
      </c>
      <c r="C139" t="str">
        <f>IF(MOD(A139-1,2)=0,"FLOOR_PRIMARY","CEIL_NEIGHBOR")</f>
        <v>CEIL_NEIGHBOR</v>
      </c>
      <c r="D139" t="str">
        <f>IF(C139="FLOOR_PRIMARY","yes",IF(G139&lt;&gt;0,"yes","no"))</f>
        <v>yes</v>
      </c>
      <c r="E139">
        <f>MAX(0,INT((B139-1)/Constants!$B$2))</f>
        <v>5</v>
      </c>
      <c r="F139">
        <f>INT(B139*E139/Constants!$B$2)</f>
        <v>28</v>
      </c>
      <c r="G139">
        <f>MOD(B139*E139,Constants!$B$2)</f>
        <v>9</v>
      </c>
      <c r="H139">
        <f>B139+F139+IF(C139="CEIL_NEIGHBOR",1,0)</f>
        <v>98</v>
      </c>
      <c r="I139">
        <f>B139+H139</f>
        <v>167</v>
      </c>
      <c r="J139" t="str">
        <f>B139&amp;"p+"&amp;H139&amp;"n+"&amp;B139&amp;"e"</f>
        <v>69p+98n+69e</v>
      </c>
      <c r="K139" t="str">
        <f>(2*B139+H139)&amp;"u+"&amp;(B139+2*H139)&amp;"d+"&amp;B139&amp;"e"</f>
        <v>236u+265d+69e</v>
      </c>
      <c r="L139">
        <f>B139*Constants!$B$11+(H139-B139)*Constants!$B$12</f>
        <v>639.87109375</v>
      </c>
      <c r="M139">
        <f>L139*Constants!$B$5</f>
        <v>5118.96875</v>
      </c>
      <c r="N139">
        <f>L139*7</f>
        <v>4479.09765625</v>
      </c>
      <c r="O139" t="str">
        <f>IF(B139&gt;Constants!$B$6-Constants!$B$5,"CONSTANT_FRONTIER_TAIL_CANDIDATE",IF(G139=0,"CONSTANT_STABLE_ANCHOR_LANE",IF(G139=Constants!$B$2/2,"CONSTANT_HALF_WRITE_LANE","CONSTANT_BOUND_LADDER_LANE")))</f>
        <v>CONSTANT_BOUND_LADDER_LANE</v>
      </c>
    </row>
    <row r="140">
      <c r="A140">
        <f>ROW()-1</f>
        <v>139</v>
      </c>
      <c r="B140">
        <f>INT((A140-1)/2)+1</f>
        <v>70</v>
      </c>
      <c r="C140" t="str">
        <f>IF(MOD(A140-1,2)=0,"FLOOR_PRIMARY","CEIL_NEIGHBOR")</f>
        <v>FLOOR_PRIMARY</v>
      </c>
      <c r="D140" t="str">
        <f>IF(C140="FLOOR_PRIMARY","yes",IF(G140&lt;&gt;0,"yes","no"))</f>
        <v>yes</v>
      </c>
      <c r="E140">
        <f>MAX(0,INT((B140-1)/Constants!$B$2))</f>
        <v>5</v>
      </c>
      <c r="F140">
        <f>INT(B140*E140/Constants!$B$2)</f>
        <v>29</v>
      </c>
      <c r="G140">
        <f>MOD(B140*E140,Constants!$B$2)</f>
        <v>2</v>
      </c>
      <c r="H140">
        <f>B140+F140+IF(C140="CEIL_NEIGHBOR",1,0)</f>
        <v>99</v>
      </c>
      <c r="I140">
        <f>B140+H140</f>
        <v>169</v>
      </c>
      <c r="J140" t="str">
        <f>B140&amp;"p+"&amp;H140&amp;"n+"&amp;B140&amp;"e"</f>
        <v>70p+99n+70e</v>
      </c>
      <c r="K140" t="str">
        <f>(2*B140+H140)&amp;"u+"&amp;(B140+2*H140)&amp;"d+"&amp;B140&amp;"e"</f>
        <v>239u+268d+70e</v>
      </c>
      <c r="L140">
        <f>B140*Constants!$B$11+(H140-B140)*Constants!$B$12</f>
        <v>649.1380208333333333333333333333333333333333333333333333333333333333333333333333333333333333333333333</v>
      </c>
      <c r="M140">
        <f>L140*Constants!$B$5</f>
        <v>5193.104166666666666666666666666666666666666666666666666666666666666666666666666666666666666666666667</v>
      </c>
      <c r="N140">
        <f>L140*7</f>
        <v>4543.966145833333333333333333333333333333333333333333333333333333333333333333333333333333333333333333</v>
      </c>
      <c r="O140" t="str">
        <f>IF(B140&gt;Constants!$B$6-Constants!$B$5,"CONSTANT_FRONTIER_TAIL_CANDIDATE",IF(G140=0,"CONSTANT_STABLE_ANCHOR_LANE",IF(G140=Constants!$B$2/2,"CONSTANT_HALF_WRITE_LANE","CONSTANT_BOUND_LADDER_LANE")))</f>
        <v>CONSTANT_BOUND_LADDER_LANE</v>
      </c>
    </row>
    <row r="141">
      <c r="A141">
        <f>ROW()-1</f>
        <v>140</v>
      </c>
      <c r="B141">
        <f>INT((A141-1)/2)+1</f>
        <v>70</v>
      </c>
      <c r="C141" t="str">
        <f>IF(MOD(A141-1,2)=0,"FLOOR_PRIMARY","CEIL_NEIGHBOR")</f>
        <v>CEIL_NEIGHBOR</v>
      </c>
      <c r="D141" t="str">
        <f>IF(C141="FLOOR_PRIMARY","yes",IF(G141&lt;&gt;0,"yes","no"))</f>
        <v>yes</v>
      </c>
      <c r="E141">
        <f>MAX(0,INT((B141-1)/Constants!$B$2))</f>
        <v>5</v>
      </c>
      <c r="F141">
        <f>INT(B141*E141/Constants!$B$2)</f>
        <v>29</v>
      </c>
      <c r="G141">
        <f>MOD(B141*E141,Constants!$B$2)</f>
        <v>2</v>
      </c>
      <c r="H141">
        <f>B141+F141+IF(C141="CEIL_NEIGHBOR",1,0)</f>
        <v>100</v>
      </c>
      <c r="I141">
        <f>B141+H141</f>
        <v>170</v>
      </c>
      <c r="J141" t="str">
        <f>B141&amp;"p+"&amp;H141&amp;"n+"&amp;B141&amp;"e"</f>
        <v>70p+100n+70e</v>
      </c>
      <c r="K141" t="str">
        <f>(2*B141+H141)&amp;"u+"&amp;(B141+2*H141)&amp;"d+"&amp;B141&amp;"e"</f>
        <v>240u+270d+70e</v>
      </c>
      <c r="L141">
        <f>B141*Constants!$B$11+(H141-B141)*Constants!$B$12</f>
        <v>649.1536458333333333333333333333333333333333333333333333333333333333333333333333333333333333333333333</v>
      </c>
      <c r="M141">
        <f>L141*Constants!$B$5</f>
        <v>5193.229166666666666666666666666666666666666666666666666666666666666666666666666666666666666666666667</v>
      </c>
      <c r="N141">
        <f>L141*7</f>
        <v>4544.075520833333333333333333333333333333333333333333333333333333333333333333333333333333333333333333</v>
      </c>
      <c r="O141" t="str">
        <f>IF(B141&gt;Constants!$B$6-Constants!$B$5,"CONSTANT_FRONTIER_TAIL_CANDIDATE",IF(G141=0,"CONSTANT_STABLE_ANCHOR_LANE",IF(G141=Constants!$B$2/2,"CONSTANT_HALF_WRITE_LANE","CONSTANT_BOUND_LADDER_LANE")))</f>
        <v>CONSTANT_BOUND_LADDER_LANE</v>
      </c>
    </row>
    <row r="142">
      <c r="A142">
        <f>ROW()-1</f>
        <v>141</v>
      </c>
      <c r="B142">
        <f>INT((A142-1)/2)+1</f>
        <v>71</v>
      </c>
      <c r="C142" t="str">
        <f>IF(MOD(A142-1,2)=0,"FLOOR_PRIMARY","CEIL_NEIGHBOR")</f>
        <v>FLOOR_PRIMARY</v>
      </c>
      <c r="D142" t="str">
        <f>IF(C142="FLOOR_PRIMARY","yes",IF(G142&lt;&gt;0,"yes","no"))</f>
        <v>yes</v>
      </c>
      <c r="E142">
        <f>MAX(0,INT((B142-1)/Constants!$B$2))</f>
        <v>5</v>
      </c>
      <c r="F142">
        <f>INT(B142*E142/Constants!$B$2)</f>
        <v>29</v>
      </c>
      <c r="G142">
        <f>MOD(B142*E142,Constants!$B$2)</f>
        <v>7</v>
      </c>
      <c r="H142">
        <f>B142+F142+IF(C142="CEIL_NEIGHBOR",1,0)</f>
        <v>100</v>
      </c>
      <c r="I142">
        <f>B142+H142</f>
        <v>171</v>
      </c>
      <c r="J142" t="str">
        <f>B142&amp;"p+"&amp;H142&amp;"n+"&amp;B142&amp;"e"</f>
        <v>71p+100n+71e</v>
      </c>
      <c r="K142" t="str">
        <f>(2*B142+H142)&amp;"u+"&amp;(B142+2*H142)&amp;"d+"&amp;B142&amp;"e"</f>
        <v>242u+271d+71e</v>
      </c>
      <c r="L142">
        <f>B142*Constants!$B$11+(H142-B142)*Constants!$B$12</f>
        <v>658.4049479166666666666666666666666666666666666666666666666666666666666666666666666666666666666666667</v>
      </c>
      <c r="M142">
        <f>L142*Constants!$B$5</f>
        <v>5267.239583333333333333333333333333333333333333333333333333333333333333333333333333333333333333333333</v>
      </c>
      <c r="N142">
        <f>L142*7</f>
        <v>4608.834635416666666666666666666666666666666666666666666666666666666666666666666666666666666666666667</v>
      </c>
      <c r="O142" t="str">
        <f>IF(B142&gt;Constants!$B$6-Constants!$B$5,"CONSTANT_FRONTIER_TAIL_CANDIDATE",IF(G142=0,"CONSTANT_STABLE_ANCHOR_LANE",IF(G142=Constants!$B$2/2,"CONSTANT_HALF_WRITE_LANE","CONSTANT_BOUND_LADDER_LANE")))</f>
        <v>CONSTANT_BOUND_LADDER_LANE</v>
      </c>
    </row>
    <row r="143">
      <c r="A143">
        <f>ROW()-1</f>
        <v>142</v>
      </c>
      <c r="B143">
        <f>INT((A143-1)/2)+1</f>
        <v>71</v>
      </c>
      <c r="C143" t="str">
        <f>IF(MOD(A143-1,2)=0,"FLOOR_PRIMARY","CEIL_NEIGHBOR")</f>
        <v>CEIL_NEIGHBOR</v>
      </c>
      <c r="D143" t="str">
        <f>IF(C143="FLOOR_PRIMARY","yes",IF(G143&lt;&gt;0,"yes","no"))</f>
        <v>yes</v>
      </c>
      <c r="E143">
        <f>MAX(0,INT((B143-1)/Constants!$B$2))</f>
        <v>5</v>
      </c>
      <c r="F143">
        <f>INT(B143*E143/Constants!$B$2)</f>
        <v>29</v>
      </c>
      <c r="G143">
        <f>MOD(B143*E143,Constants!$B$2)</f>
        <v>7</v>
      </c>
      <c r="H143">
        <f>B143+F143+IF(C143="CEIL_NEIGHBOR",1,0)</f>
        <v>101</v>
      </c>
      <c r="I143">
        <f>B143+H143</f>
        <v>172</v>
      </c>
      <c r="J143" t="str">
        <f>B143&amp;"p+"&amp;H143&amp;"n+"&amp;B143&amp;"e"</f>
        <v>71p+101n+71e</v>
      </c>
      <c r="K143" t="str">
        <f>(2*B143+H143)&amp;"u+"&amp;(B143+2*H143)&amp;"d+"&amp;B143&amp;"e"</f>
        <v>243u+273d+71e</v>
      </c>
      <c r="L143">
        <f>B143*Constants!$B$11+(H143-B143)*Constants!$B$12</f>
        <v>658.4205729166666666666666666666666666666666666666666666666666666666666666666666666666666666666666667</v>
      </c>
      <c r="M143">
        <f>L143*Constants!$B$5</f>
        <v>5267.364583333333333333333333333333333333333333333333333333333333333333333333333333333333333333333333</v>
      </c>
      <c r="N143">
        <f>L143*7</f>
        <v>4608.944010416666666666666666666666666666666666666666666666666666666666666666666666666666666666666667</v>
      </c>
      <c r="O143" t="str">
        <f>IF(B143&gt;Constants!$B$6-Constants!$B$5,"CONSTANT_FRONTIER_TAIL_CANDIDATE",IF(G143=0,"CONSTANT_STABLE_ANCHOR_LANE",IF(G143=Constants!$B$2/2,"CONSTANT_HALF_WRITE_LANE","CONSTANT_BOUND_LADDER_LANE")))</f>
        <v>CONSTANT_BOUND_LADDER_LANE</v>
      </c>
    </row>
    <row r="144">
      <c r="A144">
        <f>ROW()-1</f>
        <v>143</v>
      </c>
      <c r="B144">
        <f>INT((A144-1)/2)+1</f>
        <v>72</v>
      </c>
      <c r="C144" t="str">
        <f>IF(MOD(A144-1,2)=0,"FLOOR_PRIMARY","CEIL_NEIGHBOR")</f>
        <v>FLOOR_PRIMARY</v>
      </c>
      <c r="D144" t="str">
        <f>IF(C144="FLOOR_PRIMARY","yes",IF(G144&lt;&gt;0,"yes","no"))</f>
        <v>yes</v>
      </c>
      <c r="E144">
        <f>MAX(0,INT((B144-1)/Constants!$B$2))</f>
        <v>5</v>
      </c>
      <c r="F144">
        <f>INT(B144*E144/Constants!$B$2)</f>
        <v>30</v>
      </c>
      <c r="G144">
        <f>MOD(B144*E144,Constants!$B$2)</f>
        <v>0</v>
      </c>
      <c r="H144">
        <f>B144+F144+IF(C144="CEIL_NEIGHBOR",1,0)</f>
        <v>102</v>
      </c>
      <c r="I144">
        <f>B144+H144</f>
        <v>174</v>
      </c>
      <c r="J144" t="str">
        <f>B144&amp;"p+"&amp;H144&amp;"n+"&amp;B144&amp;"e"</f>
        <v>72p+102n+72e</v>
      </c>
      <c r="K144" t="str">
        <f>(2*B144+H144)&amp;"u+"&amp;(B144+2*H144)&amp;"d+"&amp;B144&amp;"e"</f>
        <v>246u+276d+72e</v>
      </c>
      <c r="L144">
        <f>B144*Constants!$B$11+(H144-B144)*Constants!$B$12</f>
        <v>667.6875</v>
      </c>
      <c r="M144">
        <f>L144*Constants!$B$5</f>
        <v>5341.5</v>
      </c>
      <c r="N144">
        <f>L144*7</f>
        <v>4673.8125</v>
      </c>
      <c r="O144" t="str">
        <f>IF(B144&gt;Constants!$B$6-Constants!$B$5,"CONSTANT_FRONTIER_TAIL_CANDIDATE",IF(G144=0,"CONSTANT_STABLE_ANCHOR_LANE",IF(G144=Constants!$B$2/2,"CONSTANT_HALF_WRITE_LANE","CONSTANT_BOUND_LADDER_LANE")))</f>
        <v>CONSTANT_STABLE_ANCHOR_LANE</v>
      </c>
    </row>
    <row r="145">
      <c r="A145">
        <f>ROW()-1</f>
        <v>144</v>
      </c>
      <c r="B145">
        <f>INT((A145-1)/2)+1</f>
        <v>72</v>
      </c>
      <c r="C145" t="str">
        <f>IF(MOD(A145-1,2)=0,"FLOOR_PRIMARY","CEIL_NEIGHBOR")</f>
        <v>CEIL_NEIGHBOR</v>
      </c>
      <c r="D145" t="str">
        <f>IF(C145="FLOOR_PRIMARY","yes",IF(G145&lt;&gt;0,"yes","no"))</f>
        <v>no</v>
      </c>
      <c r="E145">
        <f>MAX(0,INT((B145-1)/Constants!$B$2))</f>
        <v>5</v>
      </c>
      <c r="F145">
        <f>INT(B145*E145/Constants!$B$2)</f>
        <v>30</v>
      </c>
      <c r="G145">
        <f>MOD(B145*E145,Constants!$B$2)</f>
        <v>0</v>
      </c>
      <c r="H145">
        <f>B145+F145+IF(C145="CEIL_NEIGHBOR",1,0)</f>
        <v>103</v>
      </c>
      <c r="I145">
        <f>B145+H145</f>
        <v>175</v>
      </c>
      <c r="J145" t="str">
        <f>B145&amp;"p+"&amp;H145&amp;"n+"&amp;B145&amp;"e"</f>
        <v>72p+103n+72e</v>
      </c>
      <c r="K145" t="str">
        <f>(2*B145+H145)&amp;"u+"&amp;(B145+2*H145)&amp;"d+"&amp;B145&amp;"e"</f>
        <v>247u+278d+72e</v>
      </c>
      <c r="L145">
        <f>B145*Constants!$B$11+(H145-B145)*Constants!$B$12</f>
        <v>667.703125</v>
      </c>
      <c r="M145">
        <f>L145*Constants!$B$5</f>
        <v>5341.625</v>
      </c>
      <c r="N145">
        <f>L145*7</f>
        <v>4673.921875</v>
      </c>
      <c r="O145" t="str">
        <f>IF(B145&gt;Constants!$B$6-Constants!$B$5,"CONSTANT_FRONTIER_TAIL_CANDIDATE",IF(G145=0,"CONSTANT_STABLE_ANCHOR_LANE",IF(G145=Constants!$B$2/2,"CONSTANT_HALF_WRITE_LANE","CONSTANT_BOUND_LADDER_LANE")))</f>
        <v>CONSTANT_BOUND_LADDER_LANE</v>
      </c>
    </row>
    <row r="146">
      <c r="A146">
        <f>ROW()-1</f>
        <v>145</v>
      </c>
      <c r="B146">
        <f>INT((A146-1)/2)+1</f>
        <v>73</v>
      </c>
      <c r="C146" t="str">
        <f>IF(MOD(A146-1,2)=0,"FLOOR_PRIMARY","CEIL_NEIGHBOR")</f>
        <v>FLOOR_PRIMARY</v>
      </c>
      <c r="D146" t="str">
        <f>IF(C146="FLOOR_PRIMARY","yes",IF(G146&lt;&gt;0,"yes","no"))</f>
        <v>yes</v>
      </c>
      <c r="E146">
        <f>MAX(0,INT((B146-1)/Constants!$B$2))</f>
        <v>6</v>
      </c>
      <c r="F146">
        <f>INT(B146*E146/Constants!$B$2)</f>
        <v>36</v>
      </c>
      <c r="G146">
        <f>MOD(B146*E146,Constants!$B$2)</f>
        <v>6</v>
      </c>
      <c r="H146">
        <f>B146+F146+IF(C146="CEIL_NEIGHBOR",1,0)</f>
        <v>109</v>
      </c>
      <c r="I146">
        <f>B146+H146</f>
        <v>182</v>
      </c>
      <c r="J146" t="str">
        <f>B146&amp;"p+"&amp;H146&amp;"n+"&amp;B146&amp;"e"</f>
        <v>73p+109n+73e</v>
      </c>
      <c r="K146" t="str">
        <f>(2*B146+H146)&amp;"u+"&amp;(B146+2*H146)&amp;"d+"&amp;B146&amp;"e"</f>
        <v>255u+291d+73e</v>
      </c>
      <c r="L146">
        <f>B146*Constants!$B$11+(H146-B146)*Constants!$B$12</f>
        <v>677.0481770833333333333333333333333333333333333333333333333333333333333333333333333333333333333333333</v>
      </c>
      <c r="M146">
        <f>L146*Constants!$B$5</f>
        <v>5416.385416666666666666666666666666666666666666666666666666666666666666666666666666666666666666666667</v>
      </c>
      <c r="N146">
        <f>L146*7</f>
        <v>4739.337239583333333333333333333333333333333333333333333333333333333333333333333333333333333333333333</v>
      </c>
      <c r="O146" t="str">
        <f>IF(B146&gt;Constants!$B$6-Constants!$B$5,"CONSTANT_FRONTIER_TAIL_CANDIDATE",IF(G146=0,"CONSTANT_STABLE_ANCHOR_LANE",IF(G146=Constants!$B$2/2,"CONSTANT_HALF_WRITE_LANE","CONSTANT_BOUND_LADDER_LANE")))</f>
        <v>CONSTANT_HALF_WRITE_LANE</v>
      </c>
    </row>
    <row r="147">
      <c r="A147">
        <f>ROW()-1</f>
        <v>146</v>
      </c>
      <c r="B147">
        <f>INT((A147-1)/2)+1</f>
        <v>73</v>
      </c>
      <c r="C147" t="str">
        <f>IF(MOD(A147-1,2)=0,"FLOOR_PRIMARY","CEIL_NEIGHBOR")</f>
        <v>CEIL_NEIGHBOR</v>
      </c>
      <c r="D147" t="str">
        <f>IF(C147="FLOOR_PRIMARY","yes",IF(G147&lt;&gt;0,"yes","no"))</f>
        <v>yes</v>
      </c>
      <c r="E147">
        <f>MAX(0,INT((B147-1)/Constants!$B$2))</f>
        <v>6</v>
      </c>
      <c r="F147">
        <f>INT(B147*E147/Constants!$B$2)</f>
        <v>36</v>
      </c>
      <c r="G147">
        <f>MOD(B147*E147,Constants!$B$2)</f>
        <v>6</v>
      </c>
      <c r="H147">
        <f>B147+F147+IF(C147="CEIL_NEIGHBOR",1,0)</f>
        <v>110</v>
      </c>
      <c r="I147">
        <f>B147+H147</f>
        <v>183</v>
      </c>
      <c r="J147" t="str">
        <f>B147&amp;"p+"&amp;H147&amp;"n+"&amp;B147&amp;"e"</f>
        <v>73p+110n+73e</v>
      </c>
      <c r="K147" t="str">
        <f>(2*B147+H147)&amp;"u+"&amp;(B147+2*H147)&amp;"d+"&amp;B147&amp;"e"</f>
        <v>256u+293d+73e</v>
      </c>
      <c r="L147">
        <f>B147*Constants!$B$11+(H147-B147)*Constants!$B$12</f>
        <v>677.0638020833333333333333333333333333333333333333333333333333333333333333333333333333333333333333333</v>
      </c>
      <c r="M147">
        <f>L147*Constants!$B$5</f>
        <v>5416.510416666666666666666666666666666666666666666666666666666666666666666666666666666666666666666667</v>
      </c>
      <c r="N147">
        <f>L147*7</f>
        <v>4739.446614583333333333333333333333333333333333333333333333333333333333333333333333333333333333333333</v>
      </c>
      <c r="O147" t="str">
        <f>IF(B147&gt;Constants!$B$6-Constants!$B$5,"CONSTANT_FRONTIER_TAIL_CANDIDATE",IF(G147=0,"CONSTANT_STABLE_ANCHOR_LANE",IF(G147=Constants!$B$2/2,"CONSTANT_HALF_WRITE_LANE","CONSTANT_BOUND_LADDER_LANE")))</f>
        <v>CONSTANT_HALF_WRITE_LANE</v>
      </c>
    </row>
    <row r="148">
      <c r="A148">
        <f>ROW()-1</f>
        <v>147</v>
      </c>
      <c r="B148">
        <f>INT((A148-1)/2)+1</f>
        <v>74</v>
      </c>
      <c r="C148" t="str">
        <f>IF(MOD(A148-1,2)=0,"FLOOR_PRIMARY","CEIL_NEIGHBOR")</f>
        <v>FLOOR_PRIMARY</v>
      </c>
      <c r="D148" t="str">
        <f>IF(C148="FLOOR_PRIMARY","yes",IF(G148&lt;&gt;0,"yes","no"))</f>
        <v>yes</v>
      </c>
      <c r="E148">
        <f>MAX(0,INT((B148-1)/Constants!$B$2))</f>
        <v>6</v>
      </c>
      <c r="F148">
        <f>INT(B148*E148/Constants!$B$2)</f>
        <v>37</v>
      </c>
      <c r="G148">
        <f>MOD(B148*E148,Constants!$B$2)</f>
        <v>0</v>
      </c>
      <c r="H148">
        <f>B148+F148+IF(C148="CEIL_NEIGHBOR",1,0)</f>
        <v>111</v>
      </c>
      <c r="I148">
        <f>B148+H148</f>
        <v>185</v>
      </c>
      <c r="J148" t="str">
        <f>B148&amp;"p+"&amp;H148&amp;"n+"&amp;B148&amp;"e"</f>
        <v>74p+111n+74e</v>
      </c>
      <c r="K148" t="str">
        <f>(2*B148+H148)&amp;"u+"&amp;(B148+2*H148)&amp;"d+"&amp;B148&amp;"e"</f>
        <v>259u+296d+74e</v>
      </c>
      <c r="L148">
        <f>B148*Constants!$B$11+(H148-B148)*Constants!$B$12</f>
        <v>686.3307291666666666666666666666666666666666666666666666666666666666666666666666666666666666666666667</v>
      </c>
      <c r="M148">
        <f>L148*Constants!$B$5</f>
        <v>5490.645833333333333333333333333333333333333333333333333333333333333333333333333333333333333333333333</v>
      </c>
      <c r="N148">
        <f>L148*7</f>
        <v>4804.315104166666666666666666666666666666666666666666666666666666666666666666666666666666666666666667</v>
      </c>
      <c r="O148" t="str">
        <f>IF(B148&gt;Constants!$B$6-Constants!$B$5,"CONSTANT_FRONTIER_TAIL_CANDIDATE",IF(G148=0,"CONSTANT_STABLE_ANCHOR_LANE",IF(G148=Constants!$B$2/2,"CONSTANT_HALF_WRITE_LANE","CONSTANT_BOUND_LADDER_LANE")))</f>
        <v>CONSTANT_STABLE_ANCHOR_LANE</v>
      </c>
    </row>
    <row r="149">
      <c r="A149">
        <f>ROW()-1</f>
        <v>148</v>
      </c>
      <c r="B149">
        <f>INT((A149-1)/2)+1</f>
        <v>74</v>
      </c>
      <c r="C149" t="str">
        <f>IF(MOD(A149-1,2)=0,"FLOOR_PRIMARY","CEIL_NEIGHBOR")</f>
        <v>CEIL_NEIGHBOR</v>
      </c>
      <c r="D149" t="str">
        <f>IF(C149="FLOOR_PRIMARY","yes",IF(G149&lt;&gt;0,"yes","no"))</f>
        <v>no</v>
      </c>
      <c r="E149">
        <f>MAX(0,INT((B149-1)/Constants!$B$2))</f>
        <v>6</v>
      </c>
      <c r="F149">
        <f>INT(B149*E149/Constants!$B$2)</f>
        <v>37</v>
      </c>
      <c r="G149">
        <f>MOD(B149*E149,Constants!$B$2)</f>
        <v>0</v>
      </c>
      <c r="H149">
        <f>B149+F149+IF(C149="CEIL_NEIGHBOR",1,0)</f>
        <v>112</v>
      </c>
      <c r="I149">
        <f>B149+H149</f>
        <v>186</v>
      </c>
      <c r="J149" t="str">
        <f>B149&amp;"p+"&amp;H149&amp;"n+"&amp;B149&amp;"e"</f>
        <v>74p+112n+74e</v>
      </c>
      <c r="K149" t="str">
        <f>(2*B149+H149)&amp;"u+"&amp;(B149+2*H149)&amp;"d+"&amp;B149&amp;"e"</f>
        <v>260u+298d+74e</v>
      </c>
      <c r="L149">
        <f>B149*Constants!$B$11+(H149-B149)*Constants!$B$12</f>
        <v>686.3463541666666666666666666666666666666666666666666666666666666666666666666666666666666666666666667</v>
      </c>
      <c r="M149">
        <f>L149*Constants!$B$5</f>
        <v>5490.770833333333333333333333333333333333333333333333333333333333333333333333333333333333333333333333</v>
      </c>
      <c r="N149">
        <f>L149*7</f>
        <v>4804.424479166666666666666666666666666666666666666666666666666666666666666666666666666666666666666667</v>
      </c>
      <c r="O149" t="str">
        <f>IF(B149&gt;Constants!$B$6-Constants!$B$5,"CONSTANT_FRONTIER_TAIL_CANDIDATE",IF(G149=0,"CONSTANT_STABLE_ANCHOR_LANE",IF(G149=Constants!$B$2/2,"CONSTANT_HALF_WRITE_LANE","CONSTANT_BOUND_LADDER_LANE")))</f>
        <v>CONSTANT_BOUND_LADDER_LANE</v>
      </c>
    </row>
    <row r="150">
      <c r="A150">
        <f>ROW()-1</f>
        <v>149</v>
      </c>
      <c r="B150">
        <f>INT((A150-1)/2)+1</f>
        <v>75</v>
      </c>
      <c r="C150" t="str">
        <f>IF(MOD(A150-1,2)=0,"FLOOR_PRIMARY","CEIL_NEIGHBOR")</f>
        <v>FLOOR_PRIMARY</v>
      </c>
      <c r="D150" t="str">
        <f>IF(C150="FLOOR_PRIMARY","yes",IF(G150&lt;&gt;0,"yes","no"))</f>
        <v>yes</v>
      </c>
      <c r="E150">
        <f>MAX(0,INT((B150-1)/Constants!$B$2))</f>
        <v>6</v>
      </c>
      <c r="F150">
        <f>INT(B150*E150/Constants!$B$2)</f>
        <v>37</v>
      </c>
      <c r="G150">
        <f>MOD(B150*E150,Constants!$B$2)</f>
        <v>6</v>
      </c>
      <c r="H150">
        <f>B150+F150+IF(C150="CEIL_NEIGHBOR",1,0)</f>
        <v>112</v>
      </c>
      <c r="I150">
        <f>B150+H150</f>
        <v>187</v>
      </c>
      <c r="J150" t="str">
        <f>B150&amp;"p+"&amp;H150&amp;"n+"&amp;B150&amp;"e"</f>
        <v>75p+112n+75e</v>
      </c>
      <c r="K150" t="str">
        <f>(2*B150+H150)&amp;"u+"&amp;(B150+2*H150)&amp;"d+"&amp;B150&amp;"e"</f>
        <v>262u+299d+75e</v>
      </c>
      <c r="L150">
        <f>B150*Constants!$B$11+(H150-B150)*Constants!$B$12</f>
        <v>695.59765625</v>
      </c>
      <c r="M150">
        <f>L150*Constants!$B$5</f>
        <v>5564.78125</v>
      </c>
      <c r="N150">
        <f>L150*7</f>
        <v>4869.18359375</v>
      </c>
      <c r="O150" t="str">
        <f>IF(B150&gt;Constants!$B$6-Constants!$B$5,"CONSTANT_FRONTIER_TAIL_CANDIDATE",IF(G150=0,"CONSTANT_STABLE_ANCHOR_LANE",IF(G150=Constants!$B$2/2,"CONSTANT_HALF_WRITE_LANE","CONSTANT_BOUND_LADDER_LANE")))</f>
        <v>CONSTANT_HALF_WRITE_LANE</v>
      </c>
    </row>
    <row r="151">
      <c r="A151">
        <f>ROW()-1</f>
        <v>150</v>
      </c>
      <c r="B151">
        <f>INT((A151-1)/2)+1</f>
        <v>75</v>
      </c>
      <c r="C151" t="str">
        <f>IF(MOD(A151-1,2)=0,"FLOOR_PRIMARY","CEIL_NEIGHBOR")</f>
        <v>CEIL_NEIGHBOR</v>
      </c>
      <c r="D151" t="str">
        <f>IF(C151="FLOOR_PRIMARY","yes",IF(G151&lt;&gt;0,"yes","no"))</f>
        <v>yes</v>
      </c>
      <c r="E151">
        <f>MAX(0,INT((B151-1)/Constants!$B$2))</f>
        <v>6</v>
      </c>
      <c r="F151">
        <f>INT(B151*E151/Constants!$B$2)</f>
        <v>37</v>
      </c>
      <c r="G151">
        <f>MOD(B151*E151,Constants!$B$2)</f>
        <v>6</v>
      </c>
      <c r="H151">
        <f>B151+F151+IF(C151="CEIL_NEIGHBOR",1,0)</f>
        <v>113</v>
      </c>
      <c r="I151">
        <f>B151+H151</f>
        <v>188</v>
      </c>
      <c r="J151" t="str">
        <f>B151&amp;"p+"&amp;H151&amp;"n+"&amp;B151&amp;"e"</f>
        <v>75p+113n+75e</v>
      </c>
      <c r="K151" t="str">
        <f>(2*B151+H151)&amp;"u+"&amp;(B151+2*H151)&amp;"d+"&amp;B151&amp;"e"</f>
        <v>263u+301d+75e</v>
      </c>
      <c r="L151">
        <f>B151*Constants!$B$11+(H151-B151)*Constants!$B$12</f>
        <v>695.61328125</v>
      </c>
      <c r="M151">
        <f>L151*Constants!$B$5</f>
        <v>5564.90625</v>
      </c>
      <c r="N151">
        <f>L151*7</f>
        <v>4869.29296875</v>
      </c>
      <c r="O151" t="str">
        <f>IF(B151&gt;Constants!$B$6-Constants!$B$5,"CONSTANT_FRONTIER_TAIL_CANDIDATE",IF(G151=0,"CONSTANT_STABLE_ANCHOR_LANE",IF(G151=Constants!$B$2/2,"CONSTANT_HALF_WRITE_LANE","CONSTANT_BOUND_LADDER_LANE")))</f>
        <v>CONSTANT_HALF_WRITE_LANE</v>
      </c>
    </row>
    <row r="152">
      <c r="A152">
        <f>ROW()-1</f>
        <v>151</v>
      </c>
      <c r="B152">
        <f>INT((A152-1)/2)+1</f>
        <v>76</v>
      </c>
      <c r="C152" t="str">
        <f>IF(MOD(A152-1,2)=0,"FLOOR_PRIMARY","CEIL_NEIGHBOR")</f>
        <v>FLOOR_PRIMARY</v>
      </c>
      <c r="D152" t="str">
        <f>IF(C152="FLOOR_PRIMARY","yes",IF(G152&lt;&gt;0,"yes","no"))</f>
        <v>yes</v>
      </c>
      <c r="E152">
        <f>MAX(0,INT((B152-1)/Constants!$B$2))</f>
        <v>6</v>
      </c>
      <c r="F152">
        <f>INT(B152*E152/Constants!$B$2)</f>
        <v>38</v>
      </c>
      <c r="G152">
        <f>MOD(B152*E152,Constants!$B$2)</f>
        <v>0</v>
      </c>
      <c r="H152">
        <f>B152+F152+IF(C152="CEIL_NEIGHBOR",1,0)</f>
        <v>114</v>
      </c>
      <c r="I152">
        <f>B152+H152</f>
        <v>190</v>
      </c>
      <c r="J152" t="str">
        <f>B152&amp;"p+"&amp;H152&amp;"n+"&amp;B152&amp;"e"</f>
        <v>76p+114n+76e</v>
      </c>
      <c r="K152" t="str">
        <f>(2*B152+H152)&amp;"u+"&amp;(B152+2*H152)&amp;"d+"&amp;B152&amp;"e"</f>
        <v>266u+304d+76e</v>
      </c>
      <c r="L152">
        <f>B152*Constants!$B$11+(H152-B152)*Constants!$B$12</f>
        <v>704.8802083333333333333333333333333333333333333333333333333333333333333333333333333333333333333333333</v>
      </c>
      <c r="M152">
        <f>L152*Constants!$B$5</f>
        <v>5639.041666666666666666666666666666666666666666666666666666666666666666666666666666666666666666666667</v>
      </c>
      <c r="N152">
        <f>L152*7</f>
        <v>4934.161458333333333333333333333333333333333333333333333333333333333333333333333333333333333333333333</v>
      </c>
      <c r="O152" t="str">
        <f>IF(B152&gt;Constants!$B$6-Constants!$B$5,"CONSTANT_FRONTIER_TAIL_CANDIDATE",IF(G152=0,"CONSTANT_STABLE_ANCHOR_LANE",IF(G152=Constants!$B$2/2,"CONSTANT_HALF_WRITE_LANE","CONSTANT_BOUND_LADDER_LANE")))</f>
        <v>CONSTANT_STABLE_ANCHOR_LANE</v>
      </c>
    </row>
    <row r="153">
      <c r="A153">
        <f>ROW()-1</f>
        <v>152</v>
      </c>
      <c r="B153">
        <f>INT((A153-1)/2)+1</f>
        <v>76</v>
      </c>
      <c r="C153" t="str">
        <f>IF(MOD(A153-1,2)=0,"FLOOR_PRIMARY","CEIL_NEIGHBOR")</f>
        <v>CEIL_NEIGHBOR</v>
      </c>
      <c r="D153" t="str">
        <f>IF(C153="FLOOR_PRIMARY","yes",IF(G153&lt;&gt;0,"yes","no"))</f>
        <v>no</v>
      </c>
      <c r="E153">
        <f>MAX(0,INT((B153-1)/Constants!$B$2))</f>
        <v>6</v>
      </c>
      <c r="F153">
        <f>INT(B153*E153/Constants!$B$2)</f>
        <v>38</v>
      </c>
      <c r="G153">
        <f>MOD(B153*E153,Constants!$B$2)</f>
        <v>0</v>
      </c>
      <c r="H153">
        <f>B153+F153+IF(C153="CEIL_NEIGHBOR",1,0)</f>
        <v>115</v>
      </c>
      <c r="I153">
        <f>B153+H153</f>
        <v>191</v>
      </c>
      <c r="J153" t="str">
        <f>B153&amp;"p+"&amp;H153&amp;"n+"&amp;B153&amp;"e"</f>
        <v>76p+115n+76e</v>
      </c>
      <c r="K153" t="str">
        <f>(2*B153+H153)&amp;"u+"&amp;(B153+2*H153)&amp;"d+"&amp;B153&amp;"e"</f>
        <v>267u+306d+76e</v>
      </c>
      <c r="L153">
        <f>B153*Constants!$B$11+(H153-B153)*Constants!$B$12</f>
        <v>704.8958333333333333333333333333333333333333333333333333333333333333333333333333333333333333333333333</v>
      </c>
      <c r="M153">
        <f>L153*Constants!$B$5</f>
        <v>5639.166666666666666666666666666666666666666666666666666666666666666666666666666666666666666666666667</v>
      </c>
      <c r="N153">
        <f>L153*7</f>
        <v>4934.270833333333333333333333333333333333333333333333333333333333333333333333333333333333333333333333</v>
      </c>
      <c r="O153" t="str">
        <f>IF(B153&gt;Constants!$B$6-Constants!$B$5,"CONSTANT_FRONTIER_TAIL_CANDIDATE",IF(G153=0,"CONSTANT_STABLE_ANCHOR_LANE",IF(G153=Constants!$B$2/2,"CONSTANT_HALF_WRITE_LANE","CONSTANT_BOUND_LADDER_LANE")))</f>
        <v>CONSTANT_BOUND_LADDER_LANE</v>
      </c>
    </row>
    <row r="154">
      <c r="A154">
        <f>ROW()-1</f>
        <v>153</v>
      </c>
      <c r="B154">
        <f>INT((A154-1)/2)+1</f>
        <v>77</v>
      </c>
      <c r="C154" t="str">
        <f>IF(MOD(A154-1,2)=0,"FLOOR_PRIMARY","CEIL_NEIGHBOR")</f>
        <v>FLOOR_PRIMARY</v>
      </c>
      <c r="D154" t="str">
        <f>IF(C154="FLOOR_PRIMARY","yes",IF(G154&lt;&gt;0,"yes","no"))</f>
        <v>yes</v>
      </c>
      <c r="E154">
        <f>MAX(0,INT((B154-1)/Constants!$B$2))</f>
        <v>6</v>
      </c>
      <c r="F154">
        <f>INT(B154*E154/Constants!$B$2)</f>
        <v>38</v>
      </c>
      <c r="G154">
        <f>MOD(B154*E154,Constants!$B$2)</f>
        <v>6</v>
      </c>
      <c r="H154">
        <f>B154+F154+IF(C154="CEIL_NEIGHBOR",1,0)</f>
        <v>115</v>
      </c>
      <c r="I154">
        <f>B154+H154</f>
        <v>192</v>
      </c>
      <c r="J154" t="str">
        <f>B154&amp;"p+"&amp;H154&amp;"n+"&amp;B154&amp;"e"</f>
        <v>77p+115n+77e</v>
      </c>
      <c r="K154" t="str">
        <f>(2*B154+H154)&amp;"u+"&amp;(B154+2*H154)&amp;"d+"&amp;B154&amp;"e"</f>
        <v>269u+307d+77e</v>
      </c>
      <c r="L154">
        <f>B154*Constants!$B$11+(H154-B154)*Constants!$B$12</f>
        <v>714.1471354166666666666666666666666666666666666666666666666666666666666666666666666666666666666666667</v>
      </c>
      <c r="M154">
        <f>L154*Constants!$B$5</f>
        <v>5713.177083333333333333333333333333333333333333333333333333333333333333333333333333333333333333333333</v>
      </c>
      <c r="N154">
        <f>L154*7</f>
        <v>4999.029947916666666666666666666666666666666666666666666666666666666666666666666666666666666666666667</v>
      </c>
      <c r="O154" t="str">
        <f>IF(B154&gt;Constants!$B$6-Constants!$B$5,"CONSTANT_FRONTIER_TAIL_CANDIDATE",IF(G154=0,"CONSTANT_STABLE_ANCHOR_LANE",IF(G154=Constants!$B$2/2,"CONSTANT_HALF_WRITE_LANE","CONSTANT_BOUND_LADDER_LANE")))</f>
        <v>CONSTANT_HALF_WRITE_LANE</v>
      </c>
    </row>
    <row r="155">
      <c r="A155">
        <f>ROW()-1</f>
        <v>154</v>
      </c>
      <c r="B155">
        <f>INT((A155-1)/2)+1</f>
        <v>77</v>
      </c>
      <c r="C155" t="str">
        <f>IF(MOD(A155-1,2)=0,"FLOOR_PRIMARY","CEIL_NEIGHBOR")</f>
        <v>CEIL_NEIGHBOR</v>
      </c>
      <c r="D155" t="str">
        <f>IF(C155="FLOOR_PRIMARY","yes",IF(G155&lt;&gt;0,"yes","no"))</f>
        <v>yes</v>
      </c>
      <c r="E155">
        <f>MAX(0,INT((B155-1)/Constants!$B$2))</f>
        <v>6</v>
      </c>
      <c r="F155">
        <f>INT(B155*E155/Constants!$B$2)</f>
        <v>38</v>
      </c>
      <c r="G155">
        <f>MOD(B155*E155,Constants!$B$2)</f>
        <v>6</v>
      </c>
      <c r="H155">
        <f>B155+F155+IF(C155="CEIL_NEIGHBOR",1,0)</f>
        <v>116</v>
      </c>
      <c r="I155">
        <f>B155+H155</f>
        <v>193</v>
      </c>
      <c r="J155" t="str">
        <f>B155&amp;"p+"&amp;H155&amp;"n+"&amp;B155&amp;"e"</f>
        <v>77p+116n+77e</v>
      </c>
      <c r="K155" t="str">
        <f>(2*B155+H155)&amp;"u+"&amp;(B155+2*H155)&amp;"d+"&amp;B155&amp;"e"</f>
        <v>270u+309d+77e</v>
      </c>
      <c r="L155">
        <f>B155*Constants!$B$11+(H155-B155)*Constants!$B$12</f>
        <v>714.1627604166666666666666666666666666666666666666666666666666666666666666666666666666666666666666667</v>
      </c>
      <c r="M155">
        <f>L155*Constants!$B$5</f>
        <v>5713.302083333333333333333333333333333333333333333333333333333333333333333333333333333333333333333333</v>
      </c>
      <c r="N155">
        <f>L155*7</f>
        <v>4999.139322916666666666666666666666666666666666666666666666666666666666666666666666666666666666666667</v>
      </c>
      <c r="O155" t="str">
        <f>IF(B155&gt;Constants!$B$6-Constants!$B$5,"CONSTANT_FRONTIER_TAIL_CANDIDATE",IF(G155=0,"CONSTANT_STABLE_ANCHOR_LANE",IF(G155=Constants!$B$2/2,"CONSTANT_HALF_WRITE_LANE","CONSTANT_BOUND_LADDER_LANE")))</f>
        <v>CONSTANT_HALF_WRITE_LANE</v>
      </c>
    </row>
    <row r="156">
      <c r="A156">
        <f>ROW()-1</f>
        <v>155</v>
      </c>
      <c r="B156">
        <f>INT((A156-1)/2)+1</f>
        <v>78</v>
      </c>
      <c r="C156" t="str">
        <f>IF(MOD(A156-1,2)=0,"FLOOR_PRIMARY","CEIL_NEIGHBOR")</f>
        <v>FLOOR_PRIMARY</v>
      </c>
      <c r="D156" t="str">
        <f>IF(C156="FLOOR_PRIMARY","yes",IF(G156&lt;&gt;0,"yes","no"))</f>
        <v>yes</v>
      </c>
      <c r="E156">
        <f>MAX(0,INT((B156-1)/Constants!$B$2))</f>
        <v>6</v>
      </c>
      <c r="F156">
        <f>INT(B156*E156/Constants!$B$2)</f>
        <v>39</v>
      </c>
      <c r="G156">
        <f>MOD(B156*E156,Constants!$B$2)</f>
        <v>0</v>
      </c>
      <c r="H156">
        <f>B156+F156+IF(C156="CEIL_NEIGHBOR",1,0)</f>
        <v>117</v>
      </c>
      <c r="I156">
        <f>B156+H156</f>
        <v>195</v>
      </c>
      <c r="J156" t="str">
        <f>B156&amp;"p+"&amp;H156&amp;"n+"&amp;B156&amp;"e"</f>
        <v>78p+117n+78e</v>
      </c>
      <c r="K156" t="str">
        <f>(2*B156+H156)&amp;"u+"&amp;(B156+2*H156)&amp;"d+"&amp;B156&amp;"e"</f>
        <v>273u+312d+78e</v>
      </c>
      <c r="L156">
        <f>B156*Constants!$B$11+(H156-B156)*Constants!$B$12</f>
        <v>723.4296875</v>
      </c>
      <c r="M156">
        <f>L156*Constants!$B$5</f>
        <v>5787.4375</v>
      </c>
      <c r="N156">
        <f>L156*7</f>
        <v>5064.0078125</v>
      </c>
      <c r="O156" t="str">
        <f>IF(B156&gt;Constants!$B$6-Constants!$B$5,"CONSTANT_FRONTIER_TAIL_CANDIDATE",IF(G156=0,"CONSTANT_STABLE_ANCHOR_LANE",IF(G156=Constants!$B$2/2,"CONSTANT_HALF_WRITE_LANE","CONSTANT_BOUND_LADDER_LANE")))</f>
        <v>CONSTANT_STABLE_ANCHOR_LANE</v>
      </c>
    </row>
    <row r="157">
      <c r="A157">
        <f>ROW()-1</f>
        <v>156</v>
      </c>
      <c r="B157">
        <f>INT((A157-1)/2)+1</f>
        <v>78</v>
      </c>
      <c r="C157" t="str">
        <f>IF(MOD(A157-1,2)=0,"FLOOR_PRIMARY","CEIL_NEIGHBOR")</f>
        <v>CEIL_NEIGHBOR</v>
      </c>
      <c r="D157" t="str">
        <f>IF(C157="FLOOR_PRIMARY","yes",IF(G157&lt;&gt;0,"yes","no"))</f>
        <v>no</v>
      </c>
      <c r="E157">
        <f>MAX(0,INT((B157-1)/Constants!$B$2))</f>
        <v>6</v>
      </c>
      <c r="F157">
        <f>INT(B157*E157/Constants!$B$2)</f>
        <v>39</v>
      </c>
      <c r="G157">
        <f>MOD(B157*E157,Constants!$B$2)</f>
        <v>0</v>
      </c>
      <c r="H157">
        <f>B157+F157+IF(C157="CEIL_NEIGHBOR",1,0)</f>
        <v>118</v>
      </c>
      <c r="I157">
        <f>B157+H157</f>
        <v>196</v>
      </c>
      <c r="J157" t="str">
        <f>B157&amp;"p+"&amp;H157&amp;"n+"&amp;B157&amp;"e"</f>
        <v>78p+118n+78e</v>
      </c>
      <c r="K157" t="str">
        <f>(2*B157+H157)&amp;"u+"&amp;(B157+2*H157)&amp;"d+"&amp;B157&amp;"e"</f>
        <v>274u+314d+78e</v>
      </c>
      <c r="L157">
        <f>B157*Constants!$B$11+(H157-B157)*Constants!$B$12</f>
        <v>723.4453125</v>
      </c>
      <c r="M157">
        <f>L157*Constants!$B$5</f>
        <v>5787.5625</v>
      </c>
      <c r="N157">
        <f>L157*7</f>
        <v>5064.1171875</v>
      </c>
      <c r="O157" t="str">
        <f>IF(B157&gt;Constants!$B$6-Constants!$B$5,"CONSTANT_FRONTIER_TAIL_CANDIDATE",IF(G157=0,"CONSTANT_STABLE_ANCHOR_LANE",IF(G157=Constants!$B$2/2,"CONSTANT_HALF_WRITE_LANE","CONSTANT_BOUND_LADDER_LANE")))</f>
        <v>CONSTANT_BOUND_LADDER_LANE</v>
      </c>
    </row>
    <row r="158">
      <c r="A158">
        <f>ROW()-1</f>
        <v>157</v>
      </c>
      <c r="B158">
        <f>INT((A158-1)/2)+1</f>
        <v>79</v>
      </c>
      <c r="C158" t="str">
        <f>IF(MOD(A158-1,2)=0,"FLOOR_PRIMARY","CEIL_NEIGHBOR")</f>
        <v>FLOOR_PRIMARY</v>
      </c>
      <c r="D158" t="str">
        <f>IF(C158="FLOOR_PRIMARY","yes",IF(G158&lt;&gt;0,"yes","no"))</f>
        <v>yes</v>
      </c>
      <c r="E158">
        <f>MAX(0,INT((B158-1)/Constants!$B$2))</f>
        <v>6</v>
      </c>
      <c r="F158">
        <f>INT(B158*E158/Constants!$B$2)</f>
        <v>39</v>
      </c>
      <c r="G158">
        <f>MOD(B158*E158,Constants!$B$2)</f>
        <v>6</v>
      </c>
      <c r="H158">
        <f>B158+F158+IF(C158="CEIL_NEIGHBOR",1,0)</f>
        <v>118</v>
      </c>
      <c r="I158">
        <f>B158+H158</f>
        <v>197</v>
      </c>
      <c r="J158" t="str">
        <f>B158&amp;"p+"&amp;H158&amp;"n+"&amp;B158&amp;"e"</f>
        <v>79p+118n+79e</v>
      </c>
      <c r="K158" t="str">
        <f>(2*B158+H158)&amp;"u+"&amp;(B158+2*H158)&amp;"d+"&amp;B158&amp;"e"</f>
        <v>276u+315d+79e</v>
      </c>
      <c r="L158">
        <f>B158*Constants!$B$11+(H158-B158)*Constants!$B$12</f>
        <v>732.6966145833333333333333333333333333333333333333333333333333333333333333333333333333333333333333333</v>
      </c>
      <c r="M158">
        <f>L158*Constants!$B$5</f>
        <v>5861.572916666666666666666666666666666666666666666666666666666666666666666666666666666666666666666667</v>
      </c>
      <c r="N158">
        <f>L158*7</f>
        <v>5128.876302083333333333333333333333333333333333333333333333333333333333333333333333333333333333333333</v>
      </c>
      <c r="O158" t="str">
        <f>IF(B158&gt;Constants!$B$6-Constants!$B$5,"CONSTANT_FRONTIER_TAIL_CANDIDATE",IF(G158=0,"CONSTANT_STABLE_ANCHOR_LANE",IF(G158=Constants!$B$2/2,"CONSTANT_HALF_WRITE_LANE","CONSTANT_BOUND_LADDER_LANE")))</f>
        <v>CONSTANT_HALF_WRITE_LANE</v>
      </c>
    </row>
    <row r="159">
      <c r="A159">
        <f>ROW()-1</f>
        <v>158</v>
      </c>
      <c r="B159">
        <f>INT((A159-1)/2)+1</f>
        <v>79</v>
      </c>
      <c r="C159" t="str">
        <f>IF(MOD(A159-1,2)=0,"FLOOR_PRIMARY","CEIL_NEIGHBOR")</f>
        <v>CEIL_NEIGHBOR</v>
      </c>
      <c r="D159" t="str">
        <f>IF(C159="FLOOR_PRIMARY","yes",IF(G159&lt;&gt;0,"yes","no"))</f>
        <v>yes</v>
      </c>
      <c r="E159">
        <f>MAX(0,INT((B159-1)/Constants!$B$2))</f>
        <v>6</v>
      </c>
      <c r="F159">
        <f>INT(B159*E159/Constants!$B$2)</f>
        <v>39</v>
      </c>
      <c r="G159">
        <f>MOD(B159*E159,Constants!$B$2)</f>
        <v>6</v>
      </c>
      <c r="H159">
        <f>B159+F159+IF(C159="CEIL_NEIGHBOR",1,0)</f>
        <v>119</v>
      </c>
      <c r="I159">
        <f>B159+H159</f>
        <v>198</v>
      </c>
      <c r="J159" t="str">
        <f>B159&amp;"p+"&amp;H159&amp;"n+"&amp;B159&amp;"e"</f>
        <v>79p+119n+79e</v>
      </c>
      <c r="K159" t="str">
        <f>(2*B159+H159)&amp;"u+"&amp;(B159+2*H159)&amp;"d+"&amp;B159&amp;"e"</f>
        <v>277u+317d+79e</v>
      </c>
      <c r="L159">
        <f>B159*Constants!$B$11+(H159-B159)*Constants!$B$12</f>
        <v>732.7122395833333333333333333333333333333333333333333333333333333333333333333333333333333333333333333</v>
      </c>
      <c r="M159">
        <f>L159*Constants!$B$5</f>
        <v>5861.697916666666666666666666666666666666666666666666666666666666666666666666666666666666666666666667</v>
      </c>
      <c r="N159">
        <f>L159*7</f>
        <v>5128.985677083333333333333333333333333333333333333333333333333333333333333333333333333333333333333333</v>
      </c>
      <c r="O159" t="str">
        <f>IF(B159&gt;Constants!$B$6-Constants!$B$5,"CONSTANT_FRONTIER_TAIL_CANDIDATE",IF(G159=0,"CONSTANT_STABLE_ANCHOR_LANE",IF(G159=Constants!$B$2/2,"CONSTANT_HALF_WRITE_LANE","CONSTANT_BOUND_LADDER_LANE")))</f>
        <v>CONSTANT_HALF_WRITE_LANE</v>
      </c>
    </row>
    <row r="160">
      <c r="A160">
        <f>ROW()-1</f>
        <v>159</v>
      </c>
      <c r="B160">
        <f>INT((A160-1)/2)+1</f>
        <v>80</v>
      </c>
      <c r="C160" t="str">
        <f>IF(MOD(A160-1,2)=0,"FLOOR_PRIMARY","CEIL_NEIGHBOR")</f>
        <v>FLOOR_PRIMARY</v>
      </c>
      <c r="D160" t="str">
        <f>IF(C160="FLOOR_PRIMARY","yes",IF(G160&lt;&gt;0,"yes","no"))</f>
        <v>yes</v>
      </c>
      <c r="E160">
        <f>MAX(0,INT((B160-1)/Constants!$B$2))</f>
        <v>6</v>
      </c>
      <c r="F160">
        <f>INT(B160*E160/Constants!$B$2)</f>
        <v>40</v>
      </c>
      <c r="G160">
        <f>MOD(B160*E160,Constants!$B$2)</f>
        <v>0</v>
      </c>
      <c r="H160">
        <f>B160+F160+IF(C160="CEIL_NEIGHBOR",1,0)</f>
        <v>120</v>
      </c>
      <c r="I160">
        <f>B160+H160</f>
        <v>200</v>
      </c>
      <c r="J160" t="str">
        <f>B160&amp;"p+"&amp;H160&amp;"n+"&amp;B160&amp;"e"</f>
        <v>80p+120n+80e</v>
      </c>
      <c r="K160" t="str">
        <f>(2*B160+H160)&amp;"u+"&amp;(B160+2*H160)&amp;"d+"&amp;B160&amp;"e"</f>
        <v>280u+320d+80e</v>
      </c>
      <c r="L160">
        <f>B160*Constants!$B$11+(H160-B160)*Constants!$B$12</f>
        <v>741.9791666666666666666666666666666666666666666666666666666666666666666666666666666666666666666666667</v>
      </c>
      <c r="M160">
        <f>L160*Constants!$B$5</f>
        <v>5935.833333333333333333333333333333333333333333333333333333333333333333333333333333333333333333333333</v>
      </c>
      <c r="N160">
        <f>L160*7</f>
        <v>5193.854166666666666666666666666666666666666666666666666666666666666666666666666666666666666666666667</v>
      </c>
      <c r="O160" t="str">
        <f>IF(B160&gt;Constants!$B$6-Constants!$B$5,"CONSTANT_FRONTIER_TAIL_CANDIDATE",IF(G160=0,"CONSTANT_STABLE_ANCHOR_LANE",IF(G160=Constants!$B$2/2,"CONSTANT_HALF_WRITE_LANE","CONSTANT_BOUND_LADDER_LANE")))</f>
        <v>CONSTANT_STABLE_ANCHOR_LANE</v>
      </c>
    </row>
    <row r="161">
      <c r="A161">
        <f>ROW()-1</f>
        <v>160</v>
      </c>
      <c r="B161">
        <f>INT((A161-1)/2)+1</f>
        <v>80</v>
      </c>
      <c r="C161" t="str">
        <f>IF(MOD(A161-1,2)=0,"FLOOR_PRIMARY","CEIL_NEIGHBOR")</f>
        <v>CEIL_NEIGHBOR</v>
      </c>
      <c r="D161" t="str">
        <f>IF(C161="FLOOR_PRIMARY","yes",IF(G161&lt;&gt;0,"yes","no"))</f>
        <v>no</v>
      </c>
      <c r="E161">
        <f>MAX(0,INT((B161-1)/Constants!$B$2))</f>
        <v>6</v>
      </c>
      <c r="F161">
        <f>INT(B161*E161/Constants!$B$2)</f>
        <v>40</v>
      </c>
      <c r="G161">
        <f>MOD(B161*E161,Constants!$B$2)</f>
        <v>0</v>
      </c>
      <c r="H161">
        <f>B161+F161+IF(C161="CEIL_NEIGHBOR",1,0)</f>
        <v>121</v>
      </c>
      <c r="I161">
        <f>B161+H161</f>
        <v>201</v>
      </c>
      <c r="J161" t="str">
        <f>B161&amp;"p+"&amp;H161&amp;"n+"&amp;B161&amp;"e"</f>
        <v>80p+121n+80e</v>
      </c>
      <c r="K161" t="str">
        <f>(2*B161+H161)&amp;"u+"&amp;(B161+2*H161)&amp;"d+"&amp;B161&amp;"e"</f>
        <v>281u+322d+80e</v>
      </c>
      <c r="L161">
        <f>B161*Constants!$B$11+(H161-B161)*Constants!$B$12</f>
        <v>741.9947916666666666666666666666666666666666666666666666666666666666666666666666666666666666666666667</v>
      </c>
      <c r="M161">
        <f>L161*Constants!$B$5</f>
        <v>5935.958333333333333333333333333333333333333333333333333333333333333333333333333333333333333333333333</v>
      </c>
      <c r="N161">
        <f>L161*7</f>
        <v>5193.963541666666666666666666666666666666666666666666666666666666666666666666666666666666666666666667</v>
      </c>
      <c r="O161" t="str">
        <f>IF(B161&gt;Constants!$B$6-Constants!$B$5,"CONSTANT_FRONTIER_TAIL_CANDIDATE",IF(G161=0,"CONSTANT_STABLE_ANCHOR_LANE",IF(G161=Constants!$B$2/2,"CONSTANT_HALF_WRITE_LANE","CONSTANT_BOUND_LADDER_LANE")))</f>
        <v>CONSTANT_BOUND_LADDER_LANE</v>
      </c>
    </row>
    <row r="162">
      <c r="A162">
        <f>ROW()-1</f>
        <v>161</v>
      </c>
      <c r="B162">
        <f>INT((A162-1)/2)+1</f>
        <v>81</v>
      </c>
      <c r="C162" t="str">
        <f>IF(MOD(A162-1,2)=0,"FLOOR_PRIMARY","CEIL_NEIGHBOR")</f>
        <v>FLOOR_PRIMARY</v>
      </c>
      <c r="D162" t="str">
        <f>IF(C162="FLOOR_PRIMARY","yes",IF(G162&lt;&gt;0,"yes","no"))</f>
        <v>yes</v>
      </c>
      <c r="E162">
        <f>MAX(0,INT((B162-1)/Constants!$B$2))</f>
        <v>6</v>
      </c>
      <c r="F162">
        <f>INT(B162*E162/Constants!$B$2)</f>
        <v>40</v>
      </c>
      <c r="G162">
        <f>MOD(B162*E162,Constants!$B$2)</f>
        <v>6</v>
      </c>
      <c r="H162">
        <f>B162+F162+IF(C162="CEIL_NEIGHBOR",1,0)</f>
        <v>121</v>
      </c>
      <c r="I162">
        <f>B162+H162</f>
        <v>202</v>
      </c>
      <c r="J162" t="str">
        <f>B162&amp;"p+"&amp;H162&amp;"n+"&amp;B162&amp;"e"</f>
        <v>81p+121n+81e</v>
      </c>
      <c r="K162" t="str">
        <f>(2*B162+H162)&amp;"u+"&amp;(B162+2*H162)&amp;"d+"&amp;B162&amp;"e"</f>
        <v>283u+323d+81e</v>
      </c>
      <c r="L162">
        <f>B162*Constants!$B$11+(H162-B162)*Constants!$B$12</f>
        <v>751.24609375</v>
      </c>
      <c r="M162">
        <f>L162*Constants!$B$5</f>
        <v>6009.96875</v>
      </c>
      <c r="N162">
        <f>L162*7</f>
        <v>5258.72265625</v>
      </c>
      <c r="O162" t="str">
        <f>IF(B162&gt;Constants!$B$6-Constants!$B$5,"CONSTANT_FRONTIER_TAIL_CANDIDATE",IF(G162=0,"CONSTANT_STABLE_ANCHOR_LANE",IF(G162=Constants!$B$2/2,"CONSTANT_HALF_WRITE_LANE","CONSTANT_BOUND_LADDER_LANE")))</f>
        <v>CONSTANT_HALF_WRITE_LANE</v>
      </c>
    </row>
    <row r="163">
      <c r="A163">
        <f>ROW()-1</f>
        <v>162</v>
      </c>
      <c r="B163">
        <f>INT((A163-1)/2)+1</f>
        <v>81</v>
      </c>
      <c r="C163" t="str">
        <f>IF(MOD(A163-1,2)=0,"FLOOR_PRIMARY","CEIL_NEIGHBOR")</f>
        <v>CEIL_NEIGHBOR</v>
      </c>
      <c r="D163" t="str">
        <f>IF(C163="FLOOR_PRIMARY","yes",IF(G163&lt;&gt;0,"yes","no"))</f>
        <v>yes</v>
      </c>
      <c r="E163">
        <f>MAX(0,INT((B163-1)/Constants!$B$2))</f>
        <v>6</v>
      </c>
      <c r="F163">
        <f>INT(B163*E163/Constants!$B$2)</f>
        <v>40</v>
      </c>
      <c r="G163">
        <f>MOD(B163*E163,Constants!$B$2)</f>
        <v>6</v>
      </c>
      <c r="H163">
        <f>B163+F163+IF(C163="CEIL_NEIGHBOR",1,0)</f>
        <v>122</v>
      </c>
      <c r="I163">
        <f>B163+H163</f>
        <v>203</v>
      </c>
      <c r="J163" t="str">
        <f>B163&amp;"p+"&amp;H163&amp;"n+"&amp;B163&amp;"e"</f>
        <v>81p+122n+81e</v>
      </c>
      <c r="K163" t="str">
        <f>(2*B163+H163)&amp;"u+"&amp;(B163+2*H163)&amp;"d+"&amp;B163&amp;"e"</f>
        <v>284u+325d+81e</v>
      </c>
      <c r="L163">
        <f>B163*Constants!$B$11+(H163-B163)*Constants!$B$12</f>
        <v>751.26171875</v>
      </c>
      <c r="M163">
        <f>L163*Constants!$B$5</f>
        <v>6010.09375</v>
      </c>
      <c r="N163">
        <f>L163*7</f>
        <v>5258.83203125</v>
      </c>
      <c r="O163" t="str">
        <f>IF(B163&gt;Constants!$B$6-Constants!$B$5,"CONSTANT_FRONTIER_TAIL_CANDIDATE",IF(G163=0,"CONSTANT_STABLE_ANCHOR_LANE",IF(G163=Constants!$B$2/2,"CONSTANT_HALF_WRITE_LANE","CONSTANT_BOUND_LADDER_LANE")))</f>
        <v>CONSTANT_HALF_WRITE_LANE</v>
      </c>
    </row>
    <row r="164">
      <c r="A164">
        <f>ROW()-1</f>
        <v>163</v>
      </c>
      <c r="B164">
        <f>INT((A164-1)/2)+1</f>
        <v>82</v>
      </c>
      <c r="C164" t="str">
        <f>IF(MOD(A164-1,2)=0,"FLOOR_PRIMARY","CEIL_NEIGHBOR")</f>
        <v>FLOOR_PRIMARY</v>
      </c>
      <c r="D164" t="str">
        <f>IF(C164="FLOOR_PRIMARY","yes",IF(G164&lt;&gt;0,"yes","no"))</f>
        <v>yes</v>
      </c>
      <c r="E164">
        <f>MAX(0,INT((B164-1)/Constants!$B$2))</f>
        <v>6</v>
      </c>
      <c r="F164">
        <f>INT(B164*E164/Constants!$B$2)</f>
        <v>41</v>
      </c>
      <c r="G164">
        <f>MOD(B164*E164,Constants!$B$2)</f>
        <v>0</v>
      </c>
      <c r="H164">
        <f>B164+F164+IF(C164="CEIL_NEIGHBOR",1,0)</f>
        <v>123</v>
      </c>
      <c r="I164">
        <f>B164+H164</f>
        <v>205</v>
      </c>
      <c r="J164" t="str">
        <f>B164&amp;"p+"&amp;H164&amp;"n+"&amp;B164&amp;"e"</f>
        <v>82p+123n+82e</v>
      </c>
      <c r="K164" t="str">
        <f>(2*B164+H164)&amp;"u+"&amp;(B164+2*H164)&amp;"d+"&amp;B164&amp;"e"</f>
        <v>287u+328d+82e</v>
      </c>
      <c r="L164">
        <f>B164*Constants!$B$11+(H164-B164)*Constants!$B$12</f>
        <v>760.5286458333333333333333333333333333333333333333333333333333333333333333333333333333333333333333333</v>
      </c>
      <c r="M164">
        <f>L164*Constants!$B$5</f>
        <v>6084.229166666666666666666666666666666666666666666666666666666666666666666666666666666666666666666667</v>
      </c>
      <c r="N164">
        <f>L164*7</f>
        <v>5323.700520833333333333333333333333333333333333333333333333333333333333333333333333333333333333333333</v>
      </c>
      <c r="O164" t="str">
        <f>IF(B164&gt;Constants!$B$6-Constants!$B$5,"CONSTANT_FRONTIER_TAIL_CANDIDATE",IF(G164=0,"CONSTANT_STABLE_ANCHOR_LANE",IF(G164=Constants!$B$2/2,"CONSTANT_HALF_WRITE_LANE","CONSTANT_BOUND_LADDER_LANE")))</f>
        <v>CONSTANT_STABLE_ANCHOR_LANE</v>
      </c>
    </row>
    <row r="165">
      <c r="A165">
        <f>ROW()-1</f>
        <v>164</v>
      </c>
      <c r="B165">
        <f>INT((A165-1)/2)+1</f>
        <v>82</v>
      </c>
      <c r="C165" t="str">
        <f>IF(MOD(A165-1,2)=0,"FLOOR_PRIMARY","CEIL_NEIGHBOR")</f>
        <v>CEIL_NEIGHBOR</v>
      </c>
      <c r="D165" t="str">
        <f>IF(C165="FLOOR_PRIMARY","yes",IF(G165&lt;&gt;0,"yes","no"))</f>
        <v>no</v>
      </c>
      <c r="E165">
        <f>MAX(0,INT((B165-1)/Constants!$B$2))</f>
        <v>6</v>
      </c>
      <c r="F165">
        <f>INT(B165*E165/Constants!$B$2)</f>
        <v>41</v>
      </c>
      <c r="G165">
        <f>MOD(B165*E165,Constants!$B$2)</f>
        <v>0</v>
      </c>
      <c r="H165">
        <f>B165+F165+IF(C165="CEIL_NEIGHBOR",1,0)</f>
        <v>124</v>
      </c>
      <c r="I165">
        <f>B165+H165</f>
        <v>206</v>
      </c>
      <c r="J165" t="str">
        <f>B165&amp;"p+"&amp;H165&amp;"n+"&amp;B165&amp;"e"</f>
        <v>82p+124n+82e</v>
      </c>
      <c r="K165" t="str">
        <f>(2*B165+H165)&amp;"u+"&amp;(B165+2*H165)&amp;"d+"&amp;B165&amp;"e"</f>
        <v>288u+330d+82e</v>
      </c>
      <c r="L165">
        <f>B165*Constants!$B$11+(H165-B165)*Constants!$B$12</f>
        <v>760.5442708333333333333333333333333333333333333333333333333333333333333333333333333333333333333333333</v>
      </c>
      <c r="M165">
        <f>L165*Constants!$B$5</f>
        <v>6084.354166666666666666666666666666666666666666666666666666666666666666666666666666666666666666666667</v>
      </c>
      <c r="N165">
        <f>L165*7</f>
        <v>5323.809895833333333333333333333333333333333333333333333333333333333333333333333333333333333333333333</v>
      </c>
      <c r="O165" t="str">
        <f>IF(B165&gt;Constants!$B$6-Constants!$B$5,"CONSTANT_FRONTIER_TAIL_CANDIDATE",IF(G165=0,"CONSTANT_STABLE_ANCHOR_LANE",IF(G165=Constants!$B$2/2,"CONSTANT_HALF_WRITE_LANE","CONSTANT_BOUND_LADDER_LANE")))</f>
        <v>CONSTANT_BOUND_LADDER_LANE</v>
      </c>
    </row>
    <row r="166">
      <c r="A166">
        <f>ROW()-1</f>
        <v>165</v>
      </c>
      <c r="B166">
        <f>INT((A166-1)/2)+1</f>
        <v>83</v>
      </c>
      <c r="C166" t="str">
        <f>IF(MOD(A166-1,2)=0,"FLOOR_PRIMARY","CEIL_NEIGHBOR")</f>
        <v>FLOOR_PRIMARY</v>
      </c>
      <c r="D166" t="str">
        <f>IF(C166="FLOOR_PRIMARY","yes",IF(G166&lt;&gt;0,"yes","no"))</f>
        <v>yes</v>
      </c>
      <c r="E166">
        <f>MAX(0,INT((B166-1)/Constants!$B$2))</f>
        <v>6</v>
      </c>
      <c r="F166">
        <f>INT(B166*E166/Constants!$B$2)</f>
        <v>41</v>
      </c>
      <c r="G166">
        <f>MOD(B166*E166,Constants!$B$2)</f>
        <v>6</v>
      </c>
      <c r="H166">
        <f>B166+F166+IF(C166="CEIL_NEIGHBOR",1,0)</f>
        <v>124</v>
      </c>
      <c r="I166">
        <f>B166+H166</f>
        <v>207</v>
      </c>
      <c r="J166" t="str">
        <f>B166&amp;"p+"&amp;H166&amp;"n+"&amp;B166&amp;"e"</f>
        <v>83p+124n+83e</v>
      </c>
      <c r="K166" t="str">
        <f>(2*B166+H166)&amp;"u+"&amp;(B166+2*H166)&amp;"d+"&amp;B166&amp;"e"</f>
        <v>290u+331d+83e</v>
      </c>
      <c r="L166">
        <f>B166*Constants!$B$11+(H166-B166)*Constants!$B$12</f>
        <v>769.7955729166666666666666666666666666666666666666666666666666666666666666666666666666666666666666667</v>
      </c>
      <c r="M166">
        <f>L166*Constants!$B$5</f>
        <v>6158.364583333333333333333333333333333333333333333333333333333333333333333333333333333333333333333333</v>
      </c>
      <c r="N166">
        <f>L166*7</f>
        <v>5388.569010416666666666666666666666666666666666666666666666666666666666666666666666666666666666666667</v>
      </c>
      <c r="O166" t="str">
        <f>IF(B166&gt;Constants!$B$6-Constants!$B$5,"CONSTANT_FRONTIER_TAIL_CANDIDATE",IF(G166=0,"CONSTANT_STABLE_ANCHOR_LANE",IF(G166=Constants!$B$2/2,"CONSTANT_HALF_WRITE_LANE","CONSTANT_BOUND_LADDER_LANE")))</f>
        <v>CONSTANT_HALF_WRITE_LANE</v>
      </c>
    </row>
    <row r="167">
      <c r="A167">
        <f>ROW()-1</f>
        <v>166</v>
      </c>
      <c r="B167">
        <f>INT((A167-1)/2)+1</f>
        <v>83</v>
      </c>
      <c r="C167" t="str">
        <f>IF(MOD(A167-1,2)=0,"FLOOR_PRIMARY","CEIL_NEIGHBOR")</f>
        <v>CEIL_NEIGHBOR</v>
      </c>
      <c r="D167" t="str">
        <f>IF(C167="FLOOR_PRIMARY","yes",IF(G167&lt;&gt;0,"yes","no"))</f>
        <v>yes</v>
      </c>
      <c r="E167">
        <f>MAX(0,INT((B167-1)/Constants!$B$2))</f>
        <v>6</v>
      </c>
      <c r="F167">
        <f>INT(B167*E167/Constants!$B$2)</f>
        <v>41</v>
      </c>
      <c r="G167">
        <f>MOD(B167*E167,Constants!$B$2)</f>
        <v>6</v>
      </c>
      <c r="H167">
        <f>B167+F167+IF(C167="CEIL_NEIGHBOR",1,0)</f>
        <v>125</v>
      </c>
      <c r="I167">
        <f>B167+H167</f>
        <v>208</v>
      </c>
      <c r="J167" t="str">
        <f>B167&amp;"p+"&amp;H167&amp;"n+"&amp;B167&amp;"e"</f>
        <v>83p+125n+83e</v>
      </c>
      <c r="K167" t="str">
        <f>(2*B167+H167)&amp;"u+"&amp;(B167+2*H167)&amp;"d+"&amp;B167&amp;"e"</f>
        <v>291u+333d+83e</v>
      </c>
      <c r="L167">
        <f>B167*Constants!$B$11+(H167-B167)*Constants!$B$12</f>
        <v>769.8111979166666666666666666666666666666666666666666666666666666666666666666666666666666666666666667</v>
      </c>
      <c r="M167">
        <f>L167*Constants!$B$5</f>
        <v>6158.489583333333333333333333333333333333333333333333333333333333333333333333333333333333333333333333</v>
      </c>
      <c r="N167">
        <f>L167*7</f>
        <v>5388.678385416666666666666666666666666666666666666666666666666666666666666666666666666666666666666667</v>
      </c>
      <c r="O167" t="str">
        <f>IF(B167&gt;Constants!$B$6-Constants!$B$5,"CONSTANT_FRONTIER_TAIL_CANDIDATE",IF(G167=0,"CONSTANT_STABLE_ANCHOR_LANE",IF(G167=Constants!$B$2/2,"CONSTANT_HALF_WRITE_LANE","CONSTANT_BOUND_LADDER_LANE")))</f>
        <v>CONSTANT_HALF_WRITE_LANE</v>
      </c>
    </row>
    <row r="168">
      <c r="A168">
        <f>ROW()-1</f>
        <v>167</v>
      </c>
      <c r="B168">
        <f>INT((A168-1)/2)+1</f>
        <v>84</v>
      </c>
      <c r="C168" t="str">
        <f>IF(MOD(A168-1,2)=0,"FLOOR_PRIMARY","CEIL_NEIGHBOR")</f>
        <v>FLOOR_PRIMARY</v>
      </c>
      <c r="D168" t="str">
        <f>IF(C168="FLOOR_PRIMARY","yes",IF(G168&lt;&gt;0,"yes","no"))</f>
        <v>yes</v>
      </c>
      <c r="E168">
        <f>MAX(0,INT((B168-1)/Constants!$B$2))</f>
        <v>6</v>
      </c>
      <c r="F168">
        <f>INT(B168*E168/Constants!$B$2)</f>
        <v>42</v>
      </c>
      <c r="G168">
        <f>MOD(B168*E168,Constants!$B$2)</f>
        <v>0</v>
      </c>
      <c r="H168">
        <f>B168+F168+IF(C168="CEIL_NEIGHBOR",1,0)</f>
        <v>126</v>
      </c>
      <c r="I168">
        <f>B168+H168</f>
        <v>210</v>
      </c>
      <c r="J168" t="str">
        <f>B168&amp;"p+"&amp;H168&amp;"n+"&amp;B168&amp;"e"</f>
        <v>84p+126n+84e</v>
      </c>
      <c r="K168" t="str">
        <f>(2*B168+H168)&amp;"u+"&amp;(B168+2*H168)&amp;"d+"&amp;B168&amp;"e"</f>
        <v>294u+336d+84e</v>
      </c>
      <c r="L168">
        <f>B168*Constants!$B$11+(H168-B168)*Constants!$B$12</f>
        <v>779.078125</v>
      </c>
      <c r="M168">
        <f>L168*Constants!$B$5</f>
        <v>6232.625</v>
      </c>
      <c r="N168">
        <f>L168*7</f>
        <v>5453.546875</v>
      </c>
      <c r="O168" t="str">
        <f>IF(B168&gt;Constants!$B$6-Constants!$B$5,"CONSTANT_FRONTIER_TAIL_CANDIDATE",IF(G168=0,"CONSTANT_STABLE_ANCHOR_LANE",IF(G168=Constants!$B$2/2,"CONSTANT_HALF_WRITE_LANE","CONSTANT_BOUND_LADDER_LANE")))</f>
        <v>CONSTANT_STABLE_ANCHOR_LANE</v>
      </c>
    </row>
    <row r="169">
      <c r="A169">
        <f>ROW()-1</f>
        <v>168</v>
      </c>
      <c r="B169">
        <f>INT((A169-1)/2)+1</f>
        <v>84</v>
      </c>
      <c r="C169" t="str">
        <f>IF(MOD(A169-1,2)=0,"FLOOR_PRIMARY","CEIL_NEIGHBOR")</f>
        <v>CEIL_NEIGHBOR</v>
      </c>
      <c r="D169" t="str">
        <f>IF(C169="FLOOR_PRIMARY","yes",IF(G169&lt;&gt;0,"yes","no"))</f>
        <v>no</v>
      </c>
      <c r="E169">
        <f>MAX(0,INT((B169-1)/Constants!$B$2))</f>
        <v>6</v>
      </c>
      <c r="F169">
        <f>INT(B169*E169/Constants!$B$2)</f>
        <v>42</v>
      </c>
      <c r="G169">
        <f>MOD(B169*E169,Constants!$B$2)</f>
        <v>0</v>
      </c>
      <c r="H169">
        <f>B169+F169+IF(C169="CEIL_NEIGHBOR",1,0)</f>
        <v>127</v>
      </c>
      <c r="I169">
        <f>B169+H169</f>
        <v>211</v>
      </c>
      <c r="J169" t="str">
        <f>B169&amp;"p+"&amp;H169&amp;"n+"&amp;B169&amp;"e"</f>
        <v>84p+127n+84e</v>
      </c>
      <c r="K169" t="str">
        <f>(2*B169+H169)&amp;"u+"&amp;(B169+2*H169)&amp;"d+"&amp;B169&amp;"e"</f>
        <v>295u+338d+84e</v>
      </c>
      <c r="L169">
        <f>B169*Constants!$B$11+(H169-B169)*Constants!$B$12</f>
        <v>779.09375</v>
      </c>
      <c r="M169">
        <f>L169*Constants!$B$5</f>
        <v>6232.75</v>
      </c>
      <c r="N169">
        <f>L169*7</f>
        <v>5453.65625</v>
      </c>
      <c r="O169" t="str">
        <f>IF(B169&gt;Constants!$B$6-Constants!$B$5,"CONSTANT_FRONTIER_TAIL_CANDIDATE",IF(G169=0,"CONSTANT_STABLE_ANCHOR_LANE",IF(G169=Constants!$B$2/2,"CONSTANT_HALF_WRITE_LANE","CONSTANT_BOUND_LADDER_LANE")))</f>
        <v>CONSTANT_BOUND_LADDER_LANE</v>
      </c>
    </row>
    <row r="170">
      <c r="A170">
        <f>ROW()-1</f>
        <v>169</v>
      </c>
      <c r="B170">
        <f>INT((A170-1)/2)+1</f>
        <v>85</v>
      </c>
      <c r="C170" t="str">
        <f>IF(MOD(A170-1,2)=0,"FLOOR_PRIMARY","CEIL_NEIGHBOR")</f>
        <v>FLOOR_PRIMARY</v>
      </c>
      <c r="D170" t="str">
        <f>IF(C170="FLOOR_PRIMARY","yes",IF(G170&lt;&gt;0,"yes","no"))</f>
        <v>yes</v>
      </c>
      <c r="E170">
        <f>MAX(0,INT((B170-1)/Constants!$B$2))</f>
        <v>7</v>
      </c>
      <c r="F170">
        <f>INT(B170*E170/Constants!$B$2)</f>
        <v>49</v>
      </c>
      <c r="G170">
        <f>MOD(B170*E170,Constants!$B$2)</f>
        <v>7</v>
      </c>
      <c r="H170">
        <f>B170+F170+IF(C170="CEIL_NEIGHBOR",1,0)</f>
        <v>134</v>
      </c>
      <c r="I170">
        <f>B170+H170</f>
        <v>219</v>
      </c>
      <c r="J170" t="str">
        <f>B170&amp;"p+"&amp;H170&amp;"n+"&amp;B170&amp;"e"</f>
        <v>85p+134n+85e</v>
      </c>
      <c r="K170" t="str">
        <f>(2*B170+H170)&amp;"u+"&amp;(B170+2*H170)&amp;"d+"&amp;B170&amp;"e"</f>
        <v>304u+353d+85e</v>
      </c>
      <c r="L170">
        <f>B170*Constants!$B$11+(H170-B170)*Constants!$B$12</f>
        <v>788.4544270833333333333333333333333333333333333333333333333333333333333333333333333333333333333333333</v>
      </c>
      <c r="M170">
        <f>L170*Constants!$B$5</f>
        <v>6307.635416666666666666666666666666666666666666666666666666666666666666666666666666666666666666666667</v>
      </c>
      <c r="N170">
        <f>L170*7</f>
        <v>5519.180989583333333333333333333333333333333333333333333333333333333333333333333333333333333333333333</v>
      </c>
      <c r="O170" t="str">
        <f>IF(B170&gt;Constants!$B$6-Constants!$B$5,"CONSTANT_FRONTIER_TAIL_CANDIDATE",IF(G170=0,"CONSTANT_STABLE_ANCHOR_LANE",IF(G170=Constants!$B$2/2,"CONSTANT_HALF_WRITE_LANE","CONSTANT_BOUND_LADDER_LANE")))</f>
        <v>CONSTANT_BOUND_LADDER_LANE</v>
      </c>
    </row>
    <row r="171">
      <c r="A171">
        <f>ROW()-1</f>
        <v>170</v>
      </c>
      <c r="B171">
        <f>INT((A171-1)/2)+1</f>
        <v>85</v>
      </c>
      <c r="C171" t="str">
        <f>IF(MOD(A171-1,2)=0,"FLOOR_PRIMARY","CEIL_NEIGHBOR")</f>
        <v>CEIL_NEIGHBOR</v>
      </c>
      <c r="D171" t="str">
        <f>IF(C171="FLOOR_PRIMARY","yes",IF(G171&lt;&gt;0,"yes","no"))</f>
        <v>yes</v>
      </c>
      <c r="E171">
        <f>MAX(0,INT((B171-1)/Constants!$B$2))</f>
        <v>7</v>
      </c>
      <c r="F171">
        <f>INT(B171*E171/Constants!$B$2)</f>
        <v>49</v>
      </c>
      <c r="G171">
        <f>MOD(B171*E171,Constants!$B$2)</f>
        <v>7</v>
      </c>
      <c r="H171">
        <f>B171+F171+IF(C171="CEIL_NEIGHBOR",1,0)</f>
        <v>135</v>
      </c>
      <c r="I171">
        <f>B171+H171</f>
        <v>220</v>
      </c>
      <c r="J171" t="str">
        <f>B171&amp;"p+"&amp;H171&amp;"n+"&amp;B171&amp;"e"</f>
        <v>85p+135n+85e</v>
      </c>
      <c r="K171" t="str">
        <f>(2*B171+H171)&amp;"u+"&amp;(B171+2*H171)&amp;"d+"&amp;B171&amp;"e"</f>
        <v>305u+355d+85e</v>
      </c>
      <c r="L171">
        <f>B171*Constants!$B$11+(H171-B171)*Constants!$B$12</f>
        <v>788.4700520833333333333333333333333333333333333333333333333333333333333333333333333333333333333333333</v>
      </c>
      <c r="M171">
        <f>L171*Constants!$B$5</f>
        <v>6307.760416666666666666666666666666666666666666666666666666666666666666666666666666666666666666666667</v>
      </c>
      <c r="N171">
        <f>L171*7</f>
        <v>5519.290364583333333333333333333333333333333333333333333333333333333333333333333333333333333333333333</v>
      </c>
      <c r="O171" t="str">
        <f>IF(B171&gt;Constants!$B$6-Constants!$B$5,"CONSTANT_FRONTIER_TAIL_CANDIDATE",IF(G171=0,"CONSTANT_STABLE_ANCHOR_LANE",IF(G171=Constants!$B$2/2,"CONSTANT_HALF_WRITE_LANE","CONSTANT_BOUND_LADDER_LANE")))</f>
        <v>CONSTANT_BOUND_LADDER_LANE</v>
      </c>
    </row>
    <row r="172">
      <c r="A172">
        <f>ROW()-1</f>
        <v>171</v>
      </c>
      <c r="B172">
        <f>INT((A172-1)/2)+1</f>
        <v>86</v>
      </c>
      <c r="C172" t="str">
        <f>IF(MOD(A172-1,2)=0,"FLOOR_PRIMARY","CEIL_NEIGHBOR")</f>
        <v>FLOOR_PRIMARY</v>
      </c>
      <c r="D172" t="str">
        <f>IF(C172="FLOOR_PRIMARY","yes",IF(G172&lt;&gt;0,"yes","no"))</f>
        <v>yes</v>
      </c>
      <c r="E172">
        <f>MAX(0,INT((B172-1)/Constants!$B$2))</f>
        <v>7</v>
      </c>
      <c r="F172">
        <f>INT(B172*E172/Constants!$B$2)</f>
        <v>50</v>
      </c>
      <c r="G172">
        <f>MOD(B172*E172,Constants!$B$2)</f>
        <v>2</v>
      </c>
      <c r="H172">
        <f>B172+F172+IF(C172="CEIL_NEIGHBOR",1,0)</f>
        <v>136</v>
      </c>
      <c r="I172">
        <f>B172+H172</f>
        <v>222</v>
      </c>
      <c r="J172" t="str">
        <f>B172&amp;"p+"&amp;H172&amp;"n+"&amp;B172&amp;"e"</f>
        <v>86p+136n+86e</v>
      </c>
      <c r="K172" t="str">
        <f>(2*B172+H172)&amp;"u+"&amp;(B172+2*H172)&amp;"d+"&amp;B172&amp;"e"</f>
        <v>308u+358d+86e</v>
      </c>
      <c r="L172">
        <f>B172*Constants!$B$11+(H172-B172)*Constants!$B$12</f>
        <v>797.7369791666666666666666666666666666666666666666666666666666666666666666666666666666666666666666667</v>
      </c>
      <c r="M172">
        <f>L172*Constants!$B$5</f>
        <v>6381.895833333333333333333333333333333333333333333333333333333333333333333333333333333333333333333333</v>
      </c>
      <c r="N172">
        <f>L172*7</f>
        <v>5584.158854166666666666666666666666666666666666666666666666666666666666666666666666666666666666666667</v>
      </c>
      <c r="O172" t="str">
        <f>IF(B172&gt;Constants!$B$6-Constants!$B$5,"CONSTANT_FRONTIER_TAIL_CANDIDATE",IF(G172=0,"CONSTANT_STABLE_ANCHOR_LANE",IF(G172=Constants!$B$2/2,"CONSTANT_HALF_WRITE_LANE","CONSTANT_BOUND_LADDER_LANE")))</f>
        <v>CONSTANT_BOUND_LADDER_LANE</v>
      </c>
    </row>
    <row r="173">
      <c r="A173">
        <f>ROW()-1</f>
        <v>172</v>
      </c>
      <c r="B173">
        <f>INT((A173-1)/2)+1</f>
        <v>86</v>
      </c>
      <c r="C173" t="str">
        <f>IF(MOD(A173-1,2)=0,"FLOOR_PRIMARY","CEIL_NEIGHBOR")</f>
        <v>CEIL_NEIGHBOR</v>
      </c>
      <c r="D173" t="str">
        <f>IF(C173="FLOOR_PRIMARY","yes",IF(G173&lt;&gt;0,"yes","no"))</f>
        <v>yes</v>
      </c>
      <c r="E173">
        <f>MAX(0,INT((B173-1)/Constants!$B$2))</f>
        <v>7</v>
      </c>
      <c r="F173">
        <f>INT(B173*E173/Constants!$B$2)</f>
        <v>50</v>
      </c>
      <c r="G173">
        <f>MOD(B173*E173,Constants!$B$2)</f>
        <v>2</v>
      </c>
      <c r="H173">
        <f>B173+F173+IF(C173="CEIL_NEIGHBOR",1,0)</f>
        <v>137</v>
      </c>
      <c r="I173">
        <f>B173+H173</f>
        <v>223</v>
      </c>
      <c r="J173" t="str">
        <f>B173&amp;"p+"&amp;H173&amp;"n+"&amp;B173&amp;"e"</f>
        <v>86p+137n+86e</v>
      </c>
      <c r="K173" t="str">
        <f>(2*B173+H173)&amp;"u+"&amp;(B173+2*H173)&amp;"d+"&amp;B173&amp;"e"</f>
        <v>309u+360d+86e</v>
      </c>
      <c r="L173">
        <f>B173*Constants!$B$11+(H173-B173)*Constants!$B$12</f>
        <v>797.7526041666666666666666666666666666666666666666666666666666666666666666666666666666666666666666667</v>
      </c>
      <c r="M173">
        <f>L173*Constants!$B$5</f>
        <v>6382.020833333333333333333333333333333333333333333333333333333333333333333333333333333333333333333333</v>
      </c>
      <c r="N173">
        <f>L173*7</f>
        <v>5584.268229166666666666666666666666666666666666666666666666666666666666666666666666666666666666666667</v>
      </c>
      <c r="O173" t="str">
        <f>IF(B173&gt;Constants!$B$6-Constants!$B$5,"CONSTANT_FRONTIER_TAIL_CANDIDATE",IF(G173=0,"CONSTANT_STABLE_ANCHOR_LANE",IF(G173=Constants!$B$2/2,"CONSTANT_HALF_WRITE_LANE","CONSTANT_BOUND_LADDER_LANE")))</f>
        <v>CONSTANT_BOUND_LADDER_LANE</v>
      </c>
    </row>
    <row r="174">
      <c r="A174">
        <f>ROW()-1</f>
        <v>173</v>
      </c>
      <c r="B174">
        <f>INT((A174-1)/2)+1</f>
        <v>87</v>
      </c>
      <c r="C174" t="str">
        <f>IF(MOD(A174-1,2)=0,"FLOOR_PRIMARY","CEIL_NEIGHBOR")</f>
        <v>FLOOR_PRIMARY</v>
      </c>
      <c r="D174" t="str">
        <f>IF(C174="FLOOR_PRIMARY","yes",IF(G174&lt;&gt;0,"yes","no"))</f>
        <v>yes</v>
      </c>
      <c r="E174">
        <f>MAX(0,INT((B174-1)/Constants!$B$2))</f>
        <v>7</v>
      </c>
      <c r="F174">
        <f>INT(B174*E174/Constants!$B$2)</f>
        <v>50</v>
      </c>
      <c r="G174">
        <f>MOD(B174*E174,Constants!$B$2)</f>
        <v>9</v>
      </c>
      <c r="H174">
        <f>B174+F174+IF(C174="CEIL_NEIGHBOR",1,0)</f>
        <v>137</v>
      </c>
      <c r="I174">
        <f>B174+H174</f>
        <v>224</v>
      </c>
      <c r="J174" t="str">
        <f>B174&amp;"p+"&amp;H174&amp;"n+"&amp;B174&amp;"e"</f>
        <v>87p+137n+87e</v>
      </c>
      <c r="K174" t="str">
        <f>(2*B174+H174)&amp;"u+"&amp;(B174+2*H174)&amp;"d+"&amp;B174&amp;"e"</f>
        <v>311u+361d+87e</v>
      </c>
      <c r="L174">
        <f>B174*Constants!$B$11+(H174-B174)*Constants!$B$12</f>
        <v>807.00390625</v>
      </c>
      <c r="M174">
        <f>L174*Constants!$B$5</f>
        <v>6456.03125</v>
      </c>
      <c r="N174">
        <f>L174*7</f>
        <v>5649.02734375</v>
      </c>
      <c r="O174" t="str">
        <f>IF(B174&gt;Constants!$B$6-Constants!$B$5,"CONSTANT_FRONTIER_TAIL_CANDIDATE",IF(G174=0,"CONSTANT_STABLE_ANCHOR_LANE",IF(G174=Constants!$B$2/2,"CONSTANT_HALF_WRITE_LANE","CONSTANT_BOUND_LADDER_LANE")))</f>
        <v>CONSTANT_BOUND_LADDER_LANE</v>
      </c>
    </row>
    <row r="175">
      <c r="A175">
        <f>ROW()-1</f>
        <v>174</v>
      </c>
      <c r="B175">
        <f>INT((A175-1)/2)+1</f>
        <v>87</v>
      </c>
      <c r="C175" t="str">
        <f>IF(MOD(A175-1,2)=0,"FLOOR_PRIMARY","CEIL_NEIGHBOR")</f>
        <v>CEIL_NEIGHBOR</v>
      </c>
      <c r="D175" t="str">
        <f>IF(C175="FLOOR_PRIMARY","yes",IF(G175&lt;&gt;0,"yes","no"))</f>
        <v>yes</v>
      </c>
      <c r="E175">
        <f>MAX(0,INT((B175-1)/Constants!$B$2))</f>
        <v>7</v>
      </c>
      <c r="F175">
        <f>INT(B175*E175/Constants!$B$2)</f>
        <v>50</v>
      </c>
      <c r="G175">
        <f>MOD(B175*E175,Constants!$B$2)</f>
        <v>9</v>
      </c>
      <c r="H175">
        <f>B175+F175+IF(C175="CEIL_NEIGHBOR",1,0)</f>
        <v>138</v>
      </c>
      <c r="I175">
        <f>B175+H175</f>
        <v>225</v>
      </c>
      <c r="J175" t="str">
        <f>B175&amp;"p+"&amp;H175&amp;"n+"&amp;B175&amp;"e"</f>
        <v>87p+138n+87e</v>
      </c>
      <c r="K175" t="str">
        <f>(2*B175+H175)&amp;"u+"&amp;(B175+2*H175)&amp;"d+"&amp;B175&amp;"e"</f>
        <v>312u+363d+87e</v>
      </c>
      <c r="L175">
        <f>B175*Constants!$B$11+(H175-B175)*Constants!$B$12</f>
        <v>807.01953125</v>
      </c>
      <c r="M175">
        <f>L175*Constants!$B$5</f>
        <v>6456.15625</v>
      </c>
      <c r="N175">
        <f>L175*7</f>
        <v>5649.13671875</v>
      </c>
      <c r="O175" t="str">
        <f>IF(B175&gt;Constants!$B$6-Constants!$B$5,"CONSTANT_FRONTIER_TAIL_CANDIDATE",IF(G175=0,"CONSTANT_STABLE_ANCHOR_LANE",IF(G175=Constants!$B$2/2,"CONSTANT_HALF_WRITE_LANE","CONSTANT_BOUND_LADDER_LANE")))</f>
        <v>CONSTANT_BOUND_LADDER_LANE</v>
      </c>
    </row>
    <row r="176">
      <c r="A176">
        <f>ROW()-1</f>
        <v>175</v>
      </c>
      <c r="B176">
        <f>INT((A176-1)/2)+1</f>
        <v>88</v>
      </c>
      <c r="C176" t="str">
        <f>IF(MOD(A176-1,2)=0,"FLOOR_PRIMARY","CEIL_NEIGHBOR")</f>
        <v>FLOOR_PRIMARY</v>
      </c>
      <c r="D176" t="str">
        <f>IF(C176="FLOOR_PRIMARY","yes",IF(G176&lt;&gt;0,"yes","no"))</f>
        <v>yes</v>
      </c>
      <c r="E176">
        <f>MAX(0,INT((B176-1)/Constants!$B$2))</f>
        <v>7</v>
      </c>
      <c r="F176">
        <f>INT(B176*E176/Constants!$B$2)</f>
        <v>51</v>
      </c>
      <c r="G176">
        <f>MOD(B176*E176,Constants!$B$2)</f>
        <v>4</v>
      </c>
      <c r="H176">
        <f>B176+F176+IF(C176="CEIL_NEIGHBOR",1,0)</f>
        <v>139</v>
      </c>
      <c r="I176">
        <f>B176+H176</f>
        <v>227</v>
      </c>
      <c r="J176" t="str">
        <f>B176&amp;"p+"&amp;H176&amp;"n+"&amp;B176&amp;"e"</f>
        <v>88p+139n+88e</v>
      </c>
      <c r="K176" t="str">
        <f>(2*B176+H176)&amp;"u+"&amp;(B176+2*H176)&amp;"d+"&amp;B176&amp;"e"</f>
        <v>315u+366d+88e</v>
      </c>
      <c r="L176">
        <f>B176*Constants!$B$11+(H176-B176)*Constants!$B$12</f>
        <v>816.2864583333333333333333333333333333333333333333333333333333333333333333333333333333333333333333333</v>
      </c>
      <c r="M176">
        <f>L176*Constants!$B$5</f>
        <v>6530.291666666666666666666666666666666666666666666666666666666666666666666666666666666666666666666667</v>
      </c>
      <c r="N176">
        <f>L176*7</f>
        <v>5714.005208333333333333333333333333333333333333333333333333333333333333333333333333333333333333333333</v>
      </c>
      <c r="O176" t="str">
        <f>IF(B176&gt;Constants!$B$6-Constants!$B$5,"CONSTANT_FRONTIER_TAIL_CANDIDATE",IF(G176=0,"CONSTANT_STABLE_ANCHOR_LANE",IF(G176=Constants!$B$2/2,"CONSTANT_HALF_WRITE_LANE","CONSTANT_BOUND_LADDER_LANE")))</f>
        <v>CONSTANT_BOUND_LADDER_LANE</v>
      </c>
    </row>
    <row r="177">
      <c r="A177">
        <f>ROW()-1</f>
        <v>176</v>
      </c>
      <c r="B177">
        <f>INT((A177-1)/2)+1</f>
        <v>88</v>
      </c>
      <c r="C177" t="str">
        <f>IF(MOD(A177-1,2)=0,"FLOOR_PRIMARY","CEIL_NEIGHBOR")</f>
        <v>CEIL_NEIGHBOR</v>
      </c>
      <c r="D177" t="str">
        <f>IF(C177="FLOOR_PRIMARY","yes",IF(G177&lt;&gt;0,"yes","no"))</f>
        <v>yes</v>
      </c>
      <c r="E177">
        <f>MAX(0,INT((B177-1)/Constants!$B$2))</f>
        <v>7</v>
      </c>
      <c r="F177">
        <f>INT(B177*E177/Constants!$B$2)</f>
        <v>51</v>
      </c>
      <c r="G177">
        <f>MOD(B177*E177,Constants!$B$2)</f>
        <v>4</v>
      </c>
      <c r="H177">
        <f>B177+F177+IF(C177="CEIL_NEIGHBOR",1,0)</f>
        <v>140</v>
      </c>
      <c r="I177">
        <f>B177+H177</f>
        <v>228</v>
      </c>
      <c r="J177" t="str">
        <f>B177&amp;"p+"&amp;H177&amp;"n+"&amp;B177&amp;"e"</f>
        <v>88p+140n+88e</v>
      </c>
      <c r="K177" t="str">
        <f>(2*B177+H177)&amp;"u+"&amp;(B177+2*H177)&amp;"d+"&amp;B177&amp;"e"</f>
        <v>316u+368d+88e</v>
      </c>
      <c r="L177">
        <f>B177*Constants!$B$11+(H177-B177)*Constants!$B$12</f>
        <v>816.3020833333333333333333333333333333333333333333333333333333333333333333333333333333333333333333333</v>
      </c>
      <c r="M177">
        <f>L177*Constants!$B$5</f>
        <v>6530.416666666666666666666666666666666666666666666666666666666666666666666666666666666666666666666667</v>
      </c>
      <c r="N177">
        <f>L177*7</f>
        <v>5714.114583333333333333333333333333333333333333333333333333333333333333333333333333333333333333333333</v>
      </c>
      <c r="O177" t="str">
        <f>IF(B177&gt;Constants!$B$6-Constants!$B$5,"CONSTANT_FRONTIER_TAIL_CANDIDATE",IF(G177=0,"CONSTANT_STABLE_ANCHOR_LANE",IF(G177=Constants!$B$2/2,"CONSTANT_HALF_WRITE_LANE","CONSTANT_BOUND_LADDER_LANE")))</f>
        <v>CONSTANT_BOUND_LADDER_LANE</v>
      </c>
    </row>
    <row r="178">
      <c r="A178">
        <f>ROW()-1</f>
        <v>177</v>
      </c>
      <c r="B178">
        <f>INT((A178-1)/2)+1</f>
        <v>89</v>
      </c>
      <c r="C178" t="str">
        <f>IF(MOD(A178-1,2)=0,"FLOOR_PRIMARY","CEIL_NEIGHBOR")</f>
        <v>FLOOR_PRIMARY</v>
      </c>
      <c r="D178" t="str">
        <f>IF(C178="FLOOR_PRIMARY","yes",IF(G178&lt;&gt;0,"yes","no"))</f>
        <v>yes</v>
      </c>
      <c r="E178">
        <f>MAX(0,INT((B178-1)/Constants!$B$2))</f>
        <v>7</v>
      </c>
      <c r="F178">
        <f>INT(B178*E178/Constants!$B$2)</f>
        <v>51</v>
      </c>
      <c r="G178">
        <f>MOD(B178*E178,Constants!$B$2)</f>
        <v>11</v>
      </c>
      <c r="H178">
        <f>B178+F178+IF(C178="CEIL_NEIGHBOR",1,0)</f>
        <v>140</v>
      </c>
      <c r="I178">
        <f>B178+H178</f>
        <v>229</v>
      </c>
      <c r="J178" t="str">
        <f>B178&amp;"p+"&amp;H178&amp;"n+"&amp;B178&amp;"e"</f>
        <v>89p+140n+89e</v>
      </c>
      <c r="K178" t="str">
        <f>(2*B178+H178)&amp;"u+"&amp;(B178+2*H178)&amp;"d+"&amp;B178&amp;"e"</f>
        <v>318u+369d+89e</v>
      </c>
      <c r="L178">
        <f>B178*Constants!$B$11+(H178-B178)*Constants!$B$12</f>
        <v>825.5533854166666666666666666666666666666666666666666666666666666666666666666666666666666666666666667</v>
      </c>
      <c r="M178">
        <f>L178*Constants!$B$5</f>
        <v>6604.427083333333333333333333333333333333333333333333333333333333333333333333333333333333333333333333</v>
      </c>
      <c r="N178">
        <f>L178*7</f>
        <v>5778.873697916666666666666666666666666666666666666666666666666666666666666666666666666666666666666667</v>
      </c>
      <c r="O178" t="str">
        <f>IF(B178&gt;Constants!$B$6-Constants!$B$5,"CONSTANT_FRONTIER_TAIL_CANDIDATE",IF(G178=0,"CONSTANT_STABLE_ANCHOR_LANE",IF(G178=Constants!$B$2/2,"CONSTANT_HALF_WRITE_LANE","CONSTANT_BOUND_LADDER_LANE")))</f>
        <v>CONSTANT_BOUND_LADDER_LANE</v>
      </c>
    </row>
    <row r="179">
      <c r="A179">
        <f>ROW()-1</f>
        <v>178</v>
      </c>
      <c r="B179">
        <f>INT((A179-1)/2)+1</f>
        <v>89</v>
      </c>
      <c r="C179" t="str">
        <f>IF(MOD(A179-1,2)=0,"FLOOR_PRIMARY","CEIL_NEIGHBOR")</f>
        <v>CEIL_NEIGHBOR</v>
      </c>
      <c r="D179" t="str">
        <f>IF(C179="FLOOR_PRIMARY","yes",IF(G179&lt;&gt;0,"yes","no"))</f>
        <v>yes</v>
      </c>
      <c r="E179">
        <f>MAX(0,INT((B179-1)/Constants!$B$2))</f>
        <v>7</v>
      </c>
      <c r="F179">
        <f>INT(B179*E179/Constants!$B$2)</f>
        <v>51</v>
      </c>
      <c r="G179">
        <f>MOD(B179*E179,Constants!$B$2)</f>
        <v>11</v>
      </c>
      <c r="H179">
        <f>B179+F179+IF(C179="CEIL_NEIGHBOR",1,0)</f>
        <v>141</v>
      </c>
      <c r="I179">
        <f>B179+H179</f>
        <v>230</v>
      </c>
      <c r="J179" t="str">
        <f>B179&amp;"p+"&amp;H179&amp;"n+"&amp;B179&amp;"e"</f>
        <v>89p+141n+89e</v>
      </c>
      <c r="K179" t="str">
        <f>(2*B179+H179)&amp;"u+"&amp;(B179+2*H179)&amp;"d+"&amp;B179&amp;"e"</f>
        <v>319u+371d+89e</v>
      </c>
      <c r="L179">
        <f>B179*Constants!$B$11+(H179-B179)*Constants!$B$12</f>
        <v>825.5690104166666666666666666666666666666666666666666666666666666666666666666666666666666666666666667</v>
      </c>
      <c r="M179">
        <f>L179*Constants!$B$5</f>
        <v>6604.552083333333333333333333333333333333333333333333333333333333333333333333333333333333333333333333</v>
      </c>
      <c r="N179">
        <f>L179*7</f>
        <v>5778.983072916666666666666666666666666666666666666666666666666666666666666666666666666666666666666667</v>
      </c>
      <c r="O179" t="str">
        <f>IF(B179&gt;Constants!$B$6-Constants!$B$5,"CONSTANT_FRONTIER_TAIL_CANDIDATE",IF(G179=0,"CONSTANT_STABLE_ANCHOR_LANE",IF(G179=Constants!$B$2/2,"CONSTANT_HALF_WRITE_LANE","CONSTANT_BOUND_LADDER_LANE")))</f>
        <v>CONSTANT_BOUND_LADDER_LANE</v>
      </c>
    </row>
    <row r="180">
      <c r="A180">
        <f>ROW()-1</f>
        <v>179</v>
      </c>
      <c r="B180">
        <f>INT((A180-1)/2)+1</f>
        <v>90</v>
      </c>
      <c r="C180" t="str">
        <f>IF(MOD(A180-1,2)=0,"FLOOR_PRIMARY","CEIL_NEIGHBOR")</f>
        <v>FLOOR_PRIMARY</v>
      </c>
      <c r="D180" t="str">
        <f>IF(C180="FLOOR_PRIMARY","yes",IF(G180&lt;&gt;0,"yes","no"))</f>
        <v>yes</v>
      </c>
      <c r="E180">
        <f>MAX(0,INT((B180-1)/Constants!$B$2))</f>
        <v>7</v>
      </c>
      <c r="F180">
        <f>INT(B180*E180/Constants!$B$2)</f>
        <v>52</v>
      </c>
      <c r="G180">
        <f>MOD(B180*E180,Constants!$B$2)</f>
        <v>6</v>
      </c>
      <c r="H180">
        <f>B180+F180+IF(C180="CEIL_NEIGHBOR",1,0)</f>
        <v>142</v>
      </c>
      <c r="I180">
        <f>B180+H180</f>
        <v>232</v>
      </c>
      <c r="J180" t="str">
        <f>B180&amp;"p+"&amp;H180&amp;"n+"&amp;B180&amp;"e"</f>
        <v>90p+142n+90e</v>
      </c>
      <c r="K180" t="str">
        <f>(2*B180+H180)&amp;"u+"&amp;(B180+2*H180)&amp;"d+"&amp;B180&amp;"e"</f>
        <v>322u+374d+90e</v>
      </c>
      <c r="L180">
        <f>B180*Constants!$B$11+(H180-B180)*Constants!$B$12</f>
        <v>834.8359375</v>
      </c>
      <c r="M180">
        <f>L180*Constants!$B$5</f>
        <v>6678.6875</v>
      </c>
      <c r="N180">
        <f>L180*7</f>
        <v>5843.8515625</v>
      </c>
      <c r="O180" t="str">
        <f>IF(B180&gt;Constants!$B$6-Constants!$B$5,"CONSTANT_FRONTIER_TAIL_CANDIDATE",IF(G180=0,"CONSTANT_STABLE_ANCHOR_LANE",IF(G180=Constants!$B$2/2,"CONSTANT_HALF_WRITE_LANE","CONSTANT_BOUND_LADDER_LANE")))</f>
        <v>CONSTANT_HALF_WRITE_LANE</v>
      </c>
    </row>
    <row r="181">
      <c r="A181">
        <f>ROW()-1</f>
        <v>180</v>
      </c>
      <c r="B181">
        <f>INT((A181-1)/2)+1</f>
        <v>90</v>
      </c>
      <c r="C181" t="str">
        <f>IF(MOD(A181-1,2)=0,"FLOOR_PRIMARY","CEIL_NEIGHBOR")</f>
        <v>CEIL_NEIGHBOR</v>
      </c>
      <c r="D181" t="str">
        <f>IF(C181="FLOOR_PRIMARY","yes",IF(G181&lt;&gt;0,"yes","no"))</f>
        <v>yes</v>
      </c>
      <c r="E181">
        <f>MAX(0,INT((B181-1)/Constants!$B$2))</f>
        <v>7</v>
      </c>
      <c r="F181">
        <f>INT(B181*E181/Constants!$B$2)</f>
        <v>52</v>
      </c>
      <c r="G181">
        <f>MOD(B181*E181,Constants!$B$2)</f>
        <v>6</v>
      </c>
      <c r="H181">
        <f>B181+F181+IF(C181="CEIL_NEIGHBOR",1,0)</f>
        <v>143</v>
      </c>
      <c r="I181">
        <f>B181+H181</f>
        <v>233</v>
      </c>
      <c r="J181" t="str">
        <f>B181&amp;"p+"&amp;H181&amp;"n+"&amp;B181&amp;"e"</f>
        <v>90p+143n+90e</v>
      </c>
      <c r="K181" t="str">
        <f>(2*B181+H181)&amp;"u+"&amp;(B181+2*H181)&amp;"d+"&amp;B181&amp;"e"</f>
        <v>323u+376d+90e</v>
      </c>
      <c r="L181">
        <f>B181*Constants!$B$11+(H181-B181)*Constants!$B$12</f>
        <v>834.8515625</v>
      </c>
      <c r="M181">
        <f>L181*Constants!$B$5</f>
        <v>6678.8125</v>
      </c>
      <c r="N181">
        <f>L181*7</f>
        <v>5843.9609375</v>
      </c>
      <c r="O181" t="str">
        <f>IF(B181&gt;Constants!$B$6-Constants!$B$5,"CONSTANT_FRONTIER_TAIL_CANDIDATE",IF(G181=0,"CONSTANT_STABLE_ANCHOR_LANE",IF(G181=Constants!$B$2/2,"CONSTANT_HALF_WRITE_LANE","CONSTANT_BOUND_LADDER_LANE")))</f>
        <v>CONSTANT_HALF_WRITE_LANE</v>
      </c>
    </row>
    <row r="182">
      <c r="A182">
        <f>ROW()-1</f>
        <v>181</v>
      </c>
      <c r="B182">
        <f>INT((A182-1)/2)+1</f>
        <v>91</v>
      </c>
      <c r="C182" t="str">
        <f>IF(MOD(A182-1,2)=0,"FLOOR_PRIMARY","CEIL_NEIGHBOR")</f>
        <v>FLOOR_PRIMARY</v>
      </c>
      <c r="D182" t="str">
        <f>IF(C182="FLOOR_PRIMARY","yes",IF(G182&lt;&gt;0,"yes","no"))</f>
        <v>yes</v>
      </c>
      <c r="E182">
        <f>MAX(0,INT((B182-1)/Constants!$B$2))</f>
        <v>7</v>
      </c>
      <c r="F182">
        <f>INT(B182*E182/Constants!$B$2)</f>
        <v>53</v>
      </c>
      <c r="G182">
        <f>MOD(B182*E182,Constants!$B$2)</f>
        <v>1</v>
      </c>
      <c r="H182">
        <f>B182+F182+IF(C182="CEIL_NEIGHBOR",1,0)</f>
        <v>144</v>
      </c>
      <c r="I182">
        <f>B182+H182</f>
        <v>235</v>
      </c>
      <c r="J182" t="str">
        <f>B182&amp;"p+"&amp;H182&amp;"n+"&amp;B182&amp;"e"</f>
        <v>91p+144n+91e</v>
      </c>
      <c r="K182" t="str">
        <f>(2*B182+H182)&amp;"u+"&amp;(B182+2*H182)&amp;"d+"&amp;B182&amp;"e"</f>
        <v>326u+379d+91e</v>
      </c>
      <c r="L182">
        <f>B182*Constants!$B$11+(H182-B182)*Constants!$B$12</f>
        <v>844.1184895833333333333333333333333333333333333333333333333333333333333333333333333333333333333333333</v>
      </c>
      <c r="M182">
        <f>L182*Constants!$B$5</f>
        <v>6752.947916666666666666666666666666666666666666666666666666666666666666666666666666666666666666666667</v>
      </c>
      <c r="N182">
        <f>L182*7</f>
        <v>5908.829427083333333333333333333333333333333333333333333333333333333333333333333333333333333333333333</v>
      </c>
      <c r="O182" t="str">
        <f>IF(B182&gt;Constants!$B$6-Constants!$B$5,"CONSTANT_FRONTIER_TAIL_CANDIDATE",IF(G182=0,"CONSTANT_STABLE_ANCHOR_LANE",IF(G182=Constants!$B$2/2,"CONSTANT_HALF_WRITE_LANE","CONSTANT_BOUND_LADDER_LANE")))</f>
        <v>CONSTANT_BOUND_LADDER_LANE</v>
      </c>
    </row>
    <row r="183">
      <c r="A183">
        <f>ROW()-1</f>
        <v>182</v>
      </c>
      <c r="B183">
        <f>INT((A183-1)/2)+1</f>
        <v>91</v>
      </c>
      <c r="C183" t="str">
        <f>IF(MOD(A183-1,2)=0,"FLOOR_PRIMARY","CEIL_NEIGHBOR")</f>
        <v>CEIL_NEIGHBOR</v>
      </c>
      <c r="D183" t="str">
        <f>IF(C183="FLOOR_PRIMARY","yes",IF(G183&lt;&gt;0,"yes","no"))</f>
        <v>yes</v>
      </c>
      <c r="E183">
        <f>MAX(0,INT((B183-1)/Constants!$B$2))</f>
        <v>7</v>
      </c>
      <c r="F183">
        <f>INT(B183*E183/Constants!$B$2)</f>
        <v>53</v>
      </c>
      <c r="G183">
        <f>MOD(B183*E183,Constants!$B$2)</f>
        <v>1</v>
      </c>
      <c r="H183">
        <f>B183+F183+IF(C183="CEIL_NEIGHBOR",1,0)</f>
        <v>145</v>
      </c>
      <c r="I183">
        <f>B183+H183</f>
        <v>236</v>
      </c>
      <c r="J183" t="str">
        <f>B183&amp;"p+"&amp;H183&amp;"n+"&amp;B183&amp;"e"</f>
        <v>91p+145n+91e</v>
      </c>
      <c r="K183" t="str">
        <f>(2*B183+H183)&amp;"u+"&amp;(B183+2*H183)&amp;"d+"&amp;B183&amp;"e"</f>
        <v>327u+381d+91e</v>
      </c>
      <c r="L183">
        <f>B183*Constants!$B$11+(H183-B183)*Constants!$B$12</f>
        <v>844.1341145833333333333333333333333333333333333333333333333333333333333333333333333333333333333333333</v>
      </c>
      <c r="M183">
        <f>L183*Constants!$B$5</f>
        <v>6753.072916666666666666666666666666666666666666666666666666666666666666666666666666666666666666666667</v>
      </c>
      <c r="N183">
        <f>L183*7</f>
        <v>5908.938802083333333333333333333333333333333333333333333333333333333333333333333333333333333333333333</v>
      </c>
      <c r="O183" t="str">
        <f>IF(B183&gt;Constants!$B$6-Constants!$B$5,"CONSTANT_FRONTIER_TAIL_CANDIDATE",IF(G183=0,"CONSTANT_STABLE_ANCHOR_LANE",IF(G183=Constants!$B$2/2,"CONSTANT_HALF_WRITE_LANE","CONSTANT_BOUND_LADDER_LANE")))</f>
        <v>CONSTANT_BOUND_LADDER_LANE</v>
      </c>
    </row>
    <row r="184">
      <c r="A184">
        <f>ROW()-1</f>
        <v>183</v>
      </c>
      <c r="B184">
        <f>INT((A184-1)/2)+1</f>
        <v>92</v>
      </c>
      <c r="C184" t="str">
        <f>IF(MOD(A184-1,2)=0,"FLOOR_PRIMARY","CEIL_NEIGHBOR")</f>
        <v>FLOOR_PRIMARY</v>
      </c>
      <c r="D184" t="str">
        <f>IF(C184="FLOOR_PRIMARY","yes",IF(G184&lt;&gt;0,"yes","no"))</f>
        <v>yes</v>
      </c>
      <c r="E184">
        <f>MAX(0,INT((B184-1)/Constants!$B$2))</f>
        <v>7</v>
      </c>
      <c r="F184">
        <f>INT(B184*E184/Constants!$B$2)</f>
        <v>53</v>
      </c>
      <c r="G184">
        <f>MOD(B184*E184,Constants!$B$2)</f>
        <v>8</v>
      </c>
      <c r="H184">
        <f>B184+F184+IF(C184="CEIL_NEIGHBOR",1,0)</f>
        <v>145</v>
      </c>
      <c r="I184">
        <f>B184+H184</f>
        <v>237</v>
      </c>
      <c r="J184" t="str">
        <f>B184&amp;"p+"&amp;H184&amp;"n+"&amp;B184&amp;"e"</f>
        <v>92p+145n+92e</v>
      </c>
      <c r="K184" t="str">
        <f>(2*B184+H184)&amp;"u+"&amp;(B184+2*H184)&amp;"d+"&amp;B184&amp;"e"</f>
        <v>329u+382d+92e</v>
      </c>
      <c r="L184">
        <f>B184*Constants!$B$11+(H184-B184)*Constants!$B$12</f>
        <v>853.3854166666666666666666666666666666666666666666666666666666666666666666666666666666666666666666667</v>
      </c>
      <c r="M184">
        <f>L184*Constants!$B$5</f>
        <v>6827.083333333333333333333333333333333333333333333333333333333333333333333333333333333333333333333333</v>
      </c>
      <c r="N184">
        <f>L184*7</f>
        <v>5973.697916666666666666666666666666666666666666666666666666666666666666666666666666666666666666666667</v>
      </c>
      <c r="O184" t="str">
        <f>IF(B184&gt;Constants!$B$6-Constants!$B$5,"CONSTANT_FRONTIER_TAIL_CANDIDATE",IF(G184=0,"CONSTANT_STABLE_ANCHOR_LANE",IF(G184=Constants!$B$2/2,"CONSTANT_HALF_WRITE_LANE","CONSTANT_BOUND_LADDER_LANE")))</f>
        <v>CONSTANT_BOUND_LADDER_LANE</v>
      </c>
    </row>
    <row r="185">
      <c r="A185">
        <f>ROW()-1</f>
        <v>184</v>
      </c>
      <c r="B185">
        <f>INT((A185-1)/2)+1</f>
        <v>92</v>
      </c>
      <c r="C185" t="str">
        <f>IF(MOD(A185-1,2)=0,"FLOOR_PRIMARY","CEIL_NEIGHBOR")</f>
        <v>CEIL_NEIGHBOR</v>
      </c>
      <c r="D185" t="str">
        <f>IF(C185="FLOOR_PRIMARY","yes",IF(G185&lt;&gt;0,"yes","no"))</f>
        <v>yes</v>
      </c>
      <c r="E185">
        <f>MAX(0,INT((B185-1)/Constants!$B$2))</f>
        <v>7</v>
      </c>
      <c r="F185">
        <f>INT(B185*E185/Constants!$B$2)</f>
        <v>53</v>
      </c>
      <c r="G185">
        <f>MOD(B185*E185,Constants!$B$2)</f>
        <v>8</v>
      </c>
      <c r="H185">
        <f>B185+F185+IF(C185="CEIL_NEIGHBOR",1,0)</f>
        <v>146</v>
      </c>
      <c r="I185">
        <f>B185+H185</f>
        <v>238</v>
      </c>
      <c r="J185" t="str">
        <f>B185&amp;"p+"&amp;H185&amp;"n+"&amp;B185&amp;"e"</f>
        <v>92p+146n+92e</v>
      </c>
      <c r="K185" t="str">
        <f>(2*B185+H185)&amp;"u+"&amp;(B185+2*H185)&amp;"d+"&amp;B185&amp;"e"</f>
        <v>330u+384d+92e</v>
      </c>
      <c r="L185">
        <f>B185*Constants!$B$11+(H185-B185)*Constants!$B$12</f>
        <v>853.4010416666666666666666666666666666666666666666666666666666666666666666666666666666666666666666667</v>
      </c>
      <c r="M185">
        <f>L185*Constants!$B$5</f>
        <v>6827.208333333333333333333333333333333333333333333333333333333333333333333333333333333333333333333333</v>
      </c>
      <c r="N185">
        <f>L185*7</f>
        <v>5973.807291666666666666666666666666666666666666666666666666666666666666666666666666666666666666666667</v>
      </c>
      <c r="O185" t="str">
        <f>IF(B185&gt;Constants!$B$6-Constants!$B$5,"CONSTANT_FRONTIER_TAIL_CANDIDATE",IF(G185=0,"CONSTANT_STABLE_ANCHOR_LANE",IF(G185=Constants!$B$2/2,"CONSTANT_HALF_WRITE_LANE","CONSTANT_BOUND_LADDER_LANE")))</f>
        <v>CONSTANT_BOUND_LADDER_LANE</v>
      </c>
    </row>
    <row r="186">
      <c r="A186">
        <f>ROW()-1</f>
        <v>185</v>
      </c>
      <c r="B186">
        <f>INT((A186-1)/2)+1</f>
        <v>93</v>
      </c>
      <c r="C186" t="str">
        <f>IF(MOD(A186-1,2)=0,"FLOOR_PRIMARY","CEIL_NEIGHBOR")</f>
        <v>FLOOR_PRIMARY</v>
      </c>
      <c r="D186" t="str">
        <f>IF(C186="FLOOR_PRIMARY","yes",IF(G186&lt;&gt;0,"yes","no"))</f>
        <v>yes</v>
      </c>
      <c r="E186">
        <f>MAX(0,INT((B186-1)/Constants!$B$2))</f>
        <v>7</v>
      </c>
      <c r="F186">
        <f>INT(B186*E186/Constants!$B$2)</f>
        <v>54</v>
      </c>
      <c r="G186">
        <f>MOD(B186*E186,Constants!$B$2)</f>
        <v>3</v>
      </c>
      <c r="H186">
        <f>B186+F186+IF(C186="CEIL_NEIGHBOR",1,0)</f>
        <v>147</v>
      </c>
      <c r="I186">
        <f>B186+H186</f>
        <v>240</v>
      </c>
      <c r="J186" t="str">
        <f>B186&amp;"p+"&amp;H186&amp;"n+"&amp;B186&amp;"e"</f>
        <v>93p+147n+93e</v>
      </c>
      <c r="K186" t="str">
        <f>(2*B186+H186)&amp;"u+"&amp;(B186+2*H186)&amp;"d+"&amp;B186&amp;"e"</f>
        <v>333u+387d+93e</v>
      </c>
      <c r="L186">
        <f>B186*Constants!$B$11+(H186-B186)*Constants!$B$12</f>
        <v>862.66796875</v>
      </c>
      <c r="M186">
        <f>L186*Constants!$B$5</f>
        <v>6901.34375</v>
      </c>
      <c r="N186">
        <f>L186*7</f>
        <v>6038.67578125</v>
      </c>
      <c r="O186" t="str">
        <f>IF(B186&gt;Constants!$B$6-Constants!$B$5,"CONSTANT_FRONTIER_TAIL_CANDIDATE",IF(G186=0,"CONSTANT_STABLE_ANCHOR_LANE",IF(G186=Constants!$B$2/2,"CONSTANT_HALF_WRITE_LANE","CONSTANT_BOUND_LADDER_LANE")))</f>
        <v>CONSTANT_BOUND_LADDER_LANE</v>
      </c>
    </row>
    <row r="187">
      <c r="A187">
        <f>ROW()-1</f>
        <v>186</v>
      </c>
      <c r="B187">
        <f>INT((A187-1)/2)+1</f>
        <v>93</v>
      </c>
      <c r="C187" t="str">
        <f>IF(MOD(A187-1,2)=0,"FLOOR_PRIMARY","CEIL_NEIGHBOR")</f>
        <v>CEIL_NEIGHBOR</v>
      </c>
      <c r="D187" t="str">
        <f>IF(C187="FLOOR_PRIMARY","yes",IF(G187&lt;&gt;0,"yes","no"))</f>
        <v>yes</v>
      </c>
      <c r="E187">
        <f>MAX(0,INT((B187-1)/Constants!$B$2))</f>
        <v>7</v>
      </c>
      <c r="F187">
        <f>INT(B187*E187/Constants!$B$2)</f>
        <v>54</v>
      </c>
      <c r="G187">
        <f>MOD(B187*E187,Constants!$B$2)</f>
        <v>3</v>
      </c>
      <c r="H187">
        <f>B187+F187+IF(C187="CEIL_NEIGHBOR",1,0)</f>
        <v>148</v>
      </c>
      <c r="I187">
        <f>B187+H187</f>
        <v>241</v>
      </c>
      <c r="J187" t="str">
        <f>B187&amp;"p+"&amp;H187&amp;"n+"&amp;B187&amp;"e"</f>
        <v>93p+148n+93e</v>
      </c>
      <c r="K187" t="str">
        <f>(2*B187+H187)&amp;"u+"&amp;(B187+2*H187)&amp;"d+"&amp;B187&amp;"e"</f>
        <v>334u+389d+93e</v>
      </c>
      <c r="L187">
        <f>B187*Constants!$B$11+(H187-B187)*Constants!$B$12</f>
        <v>862.68359375</v>
      </c>
      <c r="M187">
        <f>L187*Constants!$B$5</f>
        <v>6901.46875</v>
      </c>
      <c r="N187">
        <f>L187*7</f>
        <v>6038.78515625</v>
      </c>
      <c r="O187" t="str">
        <f>IF(B187&gt;Constants!$B$6-Constants!$B$5,"CONSTANT_FRONTIER_TAIL_CANDIDATE",IF(G187=0,"CONSTANT_STABLE_ANCHOR_LANE",IF(G187=Constants!$B$2/2,"CONSTANT_HALF_WRITE_LANE","CONSTANT_BOUND_LADDER_LANE")))</f>
        <v>CONSTANT_BOUND_LADDER_LANE</v>
      </c>
    </row>
    <row r="188">
      <c r="A188">
        <f>ROW()-1</f>
        <v>187</v>
      </c>
      <c r="B188">
        <f>INT((A188-1)/2)+1</f>
        <v>94</v>
      </c>
      <c r="C188" t="str">
        <f>IF(MOD(A188-1,2)=0,"FLOOR_PRIMARY","CEIL_NEIGHBOR")</f>
        <v>FLOOR_PRIMARY</v>
      </c>
      <c r="D188" t="str">
        <f>IF(C188="FLOOR_PRIMARY","yes",IF(G188&lt;&gt;0,"yes","no"))</f>
        <v>yes</v>
      </c>
      <c r="E188">
        <f>MAX(0,INT((B188-1)/Constants!$B$2))</f>
        <v>7</v>
      </c>
      <c r="F188">
        <f>INT(B188*E188/Constants!$B$2)</f>
        <v>54</v>
      </c>
      <c r="G188">
        <f>MOD(B188*E188,Constants!$B$2)</f>
        <v>10</v>
      </c>
      <c r="H188">
        <f>B188+F188+IF(C188="CEIL_NEIGHBOR",1,0)</f>
        <v>148</v>
      </c>
      <c r="I188">
        <f>B188+H188</f>
        <v>242</v>
      </c>
      <c r="J188" t="str">
        <f>B188&amp;"p+"&amp;H188&amp;"n+"&amp;B188&amp;"e"</f>
        <v>94p+148n+94e</v>
      </c>
      <c r="K188" t="str">
        <f>(2*B188+H188)&amp;"u+"&amp;(B188+2*H188)&amp;"d+"&amp;B188&amp;"e"</f>
        <v>336u+390d+94e</v>
      </c>
      <c r="L188">
        <f>B188*Constants!$B$11+(H188-B188)*Constants!$B$12</f>
        <v>871.9348958333333333333333333333333333333333333333333333333333333333333333333333333333333333333333333</v>
      </c>
      <c r="M188">
        <f>L188*Constants!$B$5</f>
        <v>6975.479166666666666666666666666666666666666666666666666666666666666666666666666666666666666666666667</v>
      </c>
      <c r="N188">
        <f>L188*7</f>
        <v>6103.544270833333333333333333333333333333333333333333333333333333333333333333333333333333333333333333</v>
      </c>
      <c r="O188" t="str">
        <f>IF(B188&gt;Constants!$B$6-Constants!$B$5,"CONSTANT_FRONTIER_TAIL_CANDIDATE",IF(G188=0,"CONSTANT_STABLE_ANCHOR_LANE",IF(G188=Constants!$B$2/2,"CONSTANT_HALF_WRITE_LANE","CONSTANT_BOUND_LADDER_LANE")))</f>
        <v>CONSTANT_BOUND_LADDER_LANE</v>
      </c>
    </row>
    <row r="189">
      <c r="A189">
        <f>ROW()-1</f>
        <v>188</v>
      </c>
      <c r="B189">
        <f>INT((A189-1)/2)+1</f>
        <v>94</v>
      </c>
      <c r="C189" t="str">
        <f>IF(MOD(A189-1,2)=0,"FLOOR_PRIMARY","CEIL_NEIGHBOR")</f>
        <v>CEIL_NEIGHBOR</v>
      </c>
      <c r="D189" t="str">
        <f>IF(C189="FLOOR_PRIMARY","yes",IF(G189&lt;&gt;0,"yes","no"))</f>
        <v>yes</v>
      </c>
      <c r="E189">
        <f>MAX(0,INT((B189-1)/Constants!$B$2))</f>
        <v>7</v>
      </c>
      <c r="F189">
        <f>INT(B189*E189/Constants!$B$2)</f>
        <v>54</v>
      </c>
      <c r="G189">
        <f>MOD(B189*E189,Constants!$B$2)</f>
        <v>10</v>
      </c>
      <c r="H189">
        <f>B189+F189+IF(C189="CEIL_NEIGHBOR",1,0)</f>
        <v>149</v>
      </c>
      <c r="I189">
        <f>B189+H189</f>
        <v>243</v>
      </c>
      <c r="J189" t="str">
        <f>B189&amp;"p+"&amp;H189&amp;"n+"&amp;B189&amp;"e"</f>
        <v>94p+149n+94e</v>
      </c>
      <c r="K189" t="str">
        <f>(2*B189+H189)&amp;"u+"&amp;(B189+2*H189)&amp;"d+"&amp;B189&amp;"e"</f>
        <v>337u+392d+94e</v>
      </c>
      <c r="L189">
        <f>B189*Constants!$B$11+(H189-B189)*Constants!$B$12</f>
        <v>871.9505208333333333333333333333333333333333333333333333333333333333333333333333333333333333333333333</v>
      </c>
      <c r="M189">
        <f>L189*Constants!$B$5</f>
        <v>6975.604166666666666666666666666666666666666666666666666666666666666666666666666666666666666666666667</v>
      </c>
      <c r="N189">
        <f>L189*7</f>
        <v>6103.653645833333333333333333333333333333333333333333333333333333333333333333333333333333333333333333</v>
      </c>
      <c r="O189" t="str">
        <f>IF(B189&gt;Constants!$B$6-Constants!$B$5,"CONSTANT_FRONTIER_TAIL_CANDIDATE",IF(G189=0,"CONSTANT_STABLE_ANCHOR_LANE",IF(G189=Constants!$B$2/2,"CONSTANT_HALF_WRITE_LANE","CONSTANT_BOUND_LADDER_LANE")))</f>
        <v>CONSTANT_BOUND_LADDER_LANE</v>
      </c>
    </row>
    <row r="190">
      <c r="A190">
        <f>ROW()-1</f>
        <v>189</v>
      </c>
      <c r="B190">
        <f>INT((A190-1)/2)+1</f>
        <v>95</v>
      </c>
      <c r="C190" t="str">
        <f>IF(MOD(A190-1,2)=0,"FLOOR_PRIMARY","CEIL_NEIGHBOR")</f>
        <v>FLOOR_PRIMARY</v>
      </c>
      <c r="D190" t="str">
        <f>IF(C190="FLOOR_PRIMARY","yes",IF(G190&lt;&gt;0,"yes","no"))</f>
        <v>yes</v>
      </c>
      <c r="E190">
        <f>MAX(0,INT((B190-1)/Constants!$B$2))</f>
        <v>7</v>
      </c>
      <c r="F190">
        <f>INT(B190*E190/Constants!$B$2)</f>
        <v>55</v>
      </c>
      <c r="G190">
        <f>MOD(B190*E190,Constants!$B$2)</f>
        <v>5</v>
      </c>
      <c r="H190">
        <f>B190+F190+IF(C190="CEIL_NEIGHBOR",1,0)</f>
        <v>150</v>
      </c>
      <c r="I190">
        <f>B190+H190</f>
        <v>245</v>
      </c>
      <c r="J190" t="str">
        <f>B190&amp;"p+"&amp;H190&amp;"n+"&amp;B190&amp;"e"</f>
        <v>95p+150n+95e</v>
      </c>
      <c r="K190" t="str">
        <f>(2*B190+H190)&amp;"u+"&amp;(B190+2*H190)&amp;"d+"&amp;B190&amp;"e"</f>
        <v>340u+395d+95e</v>
      </c>
      <c r="L190">
        <f>B190*Constants!$B$11+(H190-B190)*Constants!$B$12</f>
        <v>881.2174479166666666666666666666666666666666666666666666666666666666666666666666666666666666666666667</v>
      </c>
      <c r="M190">
        <f>L190*Constants!$B$5</f>
        <v>7049.739583333333333333333333333333333333333333333333333333333333333333333333333333333333333333333333</v>
      </c>
      <c r="N190">
        <f>L190*7</f>
        <v>6168.522135416666666666666666666666666666666666666666666666666666666666666666666666666666666666666667</v>
      </c>
      <c r="O190" t="str">
        <f>IF(B190&gt;Constants!$B$6-Constants!$B$5,"CONSTANT_FRONTIER_TAIL_CANDIDATE",IF(G190=0,"CONSTANT_STABLE_ANCHOR_LANE",IF(G190=Constants!$B$2/2,"CONSTANT_HALF_WRITE_LANE","CONSTANT_BOUND_LADDER_LANE")))</f>
        <v>CONSTANT_BOUND_LADDER_LANE</v>
      </c>
    </row>
    <row r="191">
      <c r="A191">
        <f>ROW()-1</f>
        <v>190</v>
      </c>
      <c r="B191">
        <f>INT((A191-1)/2)+1</f>
        <v>95</v>
      </c>
      <c r="C191" t="str">
        <f>IF(MOD(A191-1,2)=0,"FLOOR_PRIMARY","CEIL_NEIGHBOR")</f>
        <v>CEIL_NEIGHBOR</v>
      </c>
      <c r="D191" t="str">
        <f>IF(C191="FLOOR_PRIMARY","yes",IF(G191&lt;&gt;0,"yes","no"))</f>
        <v>yes</v>
      </c>
      <c r="E191">
        <f>MAX(0,INT((B191-1)/Constants!$B$2))</f>
        <v>7</v>
      </c>
      <c r="F191">
        <f>INT(B191*E191/Constants!$B$2)</f>
        <v>55</v>
      </c>
      <c r="G191">
        <f>MOD(B191*E191,Constants!$B$2)</f>
        <v>5</v>
      </c>
      <c r="H191">
        <f>B191+F191+IF(C191="CEIL_NEIGHBOR",1,0)</f>
        <v>151</v>
      </c>
      <c r="I191">
        <f>B191+H191</f>
        <v>246</v>
      </c>
      <c r="J191" t="str">
        <f>B191&amp;"p+"&amp;H191&amp;"n+"&amp;B191&amp;"e"</f>
        <v>95p+151n+95e</v>
      </c>
      <c r="K191" t="str">
        <f>(2*B191+H191)&amp;"u+"&amp;(B191+2*H191)&amp;"d+"&amp;B191&amp;"e"</f>
        <v>341u+397d+95e</v>
      </c>
      <c r="L191">
        <f>B191*Constants!$B$11+(H191-B191)*Constants!$B$12</f>
        <v>881.2330729166666666666666666666666666666666666666666666666666666666666666666666666666666666666666667</v>
      </c>
      <c r="M191">
        <f>L191*Constants!$B$5</f>
        <v>7049.864583333333333333333333333333333333333333333333333333333333333333333333333333333333333333333333</v>
      </c>
      <c r="N191">
        <f>L191*7</f>
        <v>6168.631510416666666666666666666666666666666666666666666666666666666666666666666666666666666666666667</v>
      </c>
      <c r="O191" t="str">
        <f>IF(B191&gt;Constants!$B$6-Constants!$B$5,"CONSTANT_FRONTIER_TAIL_CANDIDATE",IF(G191=0,"CONSTANT_STABLE_ANCHOR_LANE",IF(G191=Constants!$B$2/2,"CONSTANT_HALF_WRITE_LANE","CONSTANT_BOUND_LADDER_LANE")))</f>
        <v>CONSTANT_BOUND_LADDER_LANE</v>
      </c>
    </row>
    <row r="192">
      <c r="A192">
        <f>ROW()-1</f>
        <v>191</v>
      </c>
      <c r="B192">
        <f>INT((A192-1)/2)+1</f>
        <v>96</v>
      </c>
      <c r="C192" t="str">
        <f>IF(MOD(A192-1,2)=0,"FLOOR_PRIMARY","CEIL_NEIGHBOR")</f>
        <v>FLOOR_PRIMARY</v>
      </c>
      <c r="D192" t="str">
        <f>IF(C192="FLOOR_PRIMARY","yes",IF(G192&lt;&gt;0,"yes","no"))</f>
        <v>yes</v>
      </c>
      <c r="E192">
        <f>MAX(0,INT((B192-1)/Constants!$B$2))</f>
        <v>7</v>
      </c>
      <c r="F192">
        <f>INT(B192*E192/Constants!$B$2)</f>
        <v>56</v>
      </c>
      <c r="G192">
        <f>MOD(B192*E192,Constants!$B$2)</f>
        <v>0</v>
      </c>
      <c r="H192">
        <f>B192+F192+IF(C192="CEIL_NEIGHBOR",1,0)</f>
        <v>152</v>
      </c>
      <c r="I192">
        <f>B192+H192</f>
        <v>248</v>
      </c>
      <c r="J192" t="str">
        <f>B192&amp;"p+"&amp;H192&amp;"n+"&amp;B192&amp;"e"</f>
        <v>96p+152n+96e</v>
      </c>
      <c r="K192" t="str">
        <f>(2*B192+H192)&amp;"u+"&amp;(B192+2*H192)&amp;"d+"&amp;B192&amp;"e"</f>
        <v>344u+400d+96e</v>
      </c>
      <c r="L192">
        <f>B192*Constants!$B$11+(H192-B192)*Constants!$B$12</f>
        <v>890.5</v>
      </c>
      <c r="M192">
        <f>L192*Constants!$B$5</f>
        <v>7124</v>
      </c>
      <c r="N192">
        <f>L192*7</f>
        <v>6233.5</v>
      </c>
      <c r="O192" t="str">
        <f>IF(B192&gt;Constants!$B$6-Constants!$B$5,"CONSTANT_FRONTIER_TAIL_CANDIDATE",IF(G192=0,"CONSTANT_STABLE_ANCHOR_LANE",IF(G192=Constants!$B$2/2,"CONSTANT_HALF_WRITE_LANE","CONSTANT_BOUND_LADDER_LANE")))</f>
        <v>CONSTANT_STABLE_ANCHOR_LANE</v>
      </c>
    </row>
    <row r="193">
      <c r="A193">
        <f>ROW()-1</f>
        <v>192</v>
      </c>
      <c r="B193">
        <f>INT((A193-1)/2)+1</f>
        <v>96</v>
      </c>
      <c r="C193" t="str">
        <f>IF(MOD(A193-1,2)=0,"FLOOR_PRIMARY","CEIL_NEIGHBOR")</f>
        <v>CEIL_NEIGHBOR</v>
      </c>
      <c r="D193" t="str">
        <f>IF(C193="FLOOR_PRIMARY","yes",IF(G193&lt;&gt;0,"yes","no"))</f>
        <v>no</v>
      </c>
      <c r="E193">
        <f>MAX(0,INT((B193-1)/Constants!$B$2))</f>
        <v>7</v>
      </c>
      <c r="F193">
        <f>INT(B193*E193/Constants!$B$2)</f>
        <v>56</v>
      </c>
      <c r="G193">
        <f>MOD(B193*E193,Constants!$B$2)</f>
        <v>0</v>
      </c>
      <c r="H193">
        <f>B193+F193+IF(C193="CEIL_NEIGHBOR",1,0)</f>
        <v>153</v>
      </c>
      <c r="I193">
        <f>B193+H193</f>
        <v>249</v>
      </c>
      <c r="J193" t="str">
        <f>B193&amp;"p+"&amp;H193&amp;"n+"&amp;B193&amp;"e"</f>
        <v>96p+153n+96e</v>
      </c>
      <c r="K193" t="str">
        <f>(2*B193+H193)&amp;"u+"&amp;(B193+2*H193)&amp;"d+"&amp;B193&amp;"e"</f>
        <v>345u+402d+96e</v>
      </c>
      <c r="L193">
        <f>B193*Constants!$B$11+(H193-B193)*Constants!$B$12</f>
        <v>890.515625</v>
      </c>
      <c r="M193">
        <f>L193*Constants!$B$5</f>
        <v>7124.125</v>
      </c>
      <c r="N193">
        <f>L193*7</f>
        <v>6233.609375</v>
      </c>
      <c r="O193" t="str">
        <f>IF(B193&gt;Constants!$B$6-Constants!$B$5,"CONSTANT_FRONTIER_TAIL_CANDIDATE",IF(G193=0,"CONSTANT_STABLE_ANCHOR_LANE",IF(G193=Constants!$B$2/2,"CONSTANT_HALF_WRITE_LANE","CONSTANT_BOUND_LADDER_LANE")))</f>
        <v>CONSTANT_BOUND_LADDER_LANE</v>
      </c>
    </row>
    <row r="194">
      <c r="A194">
        <f>ROW()-1</f>
        <v>193</v>
      </c>
      <c r="B194">
        <f>INT((A194-1)/2)+1</f>
        <v>97</v>
      </c>
      <c r="C194" t="str">
        <f>IF(MOD(A194-1,2)=0,"FLOOR_PRIMARY","CEIL_NEIGHBOR")</f>
        <v>FLOOR_PRIMARY</v>
      </c>
      <c r="D194" t="str">
        <f>IF(C194="FLOOR_PRIMARY","yes",IF(G194&lt;&gt;0,"yes","no"))</f>
        <v>yes</v>
      </c>
      <c r="E194">
        <f>MAX(0,INT((B194-1)/Constants!$B$2))</f>
        <v>8</v>
      </c>
      <c r="F194">
        <f>INT(B194*E194/Constants!$B$2)</f>
        <v>64</v>
      </c>
      <c r="G194">
        <f>MOD(B194*E194,Constants!$B$2)</f>
        <v>8</v>
      </c>
      <c r="H194">
        <f>B194+F194+IF(C194="CEIL_NEIGHBOR",1,0)</f>
        <v>161</v>
      </c>
      <c r="I194">
        <f>B194+H194</f>
        <v>258</v>
      </c>
      <c r="J194" t="str">
        <f>B194&amp;"p+"&amp;H194&amp;"n+"&amp;B194&amp;"e"</f>
        <v>97p+161n+97e</v>
      </c>
      <c r="K194" t="str">
        <f>(2*B194+H194)&amp;"u+"&amp;(B194+2*H194)&amp;"d+"&amp;B194&amp;"e"</f>
        <v>355u+419d+97e</v>
      </c>
      <c r="L194">
        <f>B194*Constants!$B$11+(H194-B194)*Constants!$B$12</f>
        <v>899.8919270833333333333333333333333333333333333333333333333333333333333333333333333333333333333333333</v>
      </c>
      <c r="M194">
        <f>L194*Constants!$B$5</f>
        <v>7199.135416666666666666666666666666666666666666666666666666666666666666666666666666666666666666666667</v>
      </c>
      <c r="N194">
        <f>L194*7</f>
        <v>6299.243489583333333333333333333333333333333333333333333333333333333333333333333333333333333333333333</v>
      </c>
      <c r="O194" t="str">
        <f>IF(B194&gt;Constants!$B$6-Constants!$B$5,"CONSTANT_FRONTIER_TAIL_CANDIDATE",IF(G194=0,"CONSTANT_STABLE_ANCHOR_LANE",IF(G194=Constants!$B$2/2,"CONSTANT_HALF_WRITE_LANE","CONSTANT_BOUND_LADDER_LANE")))</f>
        <v>CONSTANT_BOUND_LADDER_LANE</v>
      </c>
    </row>
    <row r="195">
      <c r="A195">
        <f>ROW()-1</f>
        <v>194</v>
      </c>
      <c r="B195">
        <f>INT((A195-1)/2)+1</f>
        <v>97</v>
      </c>
      <c r="C195" t="str">
        <f>IF(MOD(A195-1,2)=0,"FLOOR_PRIMARY","CEIL_NEIGHBOR")</f>
        <v>CEIL_NEIGHBOR</v>
      </c>
      <c r="D195" t="str">
        <f>IF(C195="FLOOR_PRIMARY","yes",IF(G195&lt;&gt;0,"yes","no"))</f>
        <v>yes</v>
      </c>
      <c r="E195">
        <f>MAX(0,INT((B195-1)/Constants!$B$2))</f>
        <v>8</v>
      </c>
      <c r="F195">
        <f>INT(B195*E195/Constants!$B$2)</f>
        <v>64</v>
      </c>
      <c r="G195">
        <f>MOD(B195*E195,Constants!$B$2)</f>
        <v>8</v>
      </c>
      <c r="H195">
        <f>B195+F195+IF(C195="CEIL_NEIGHBOR",1,0)</f>
        <v>162</v>
      </c>
      <c r="I195">
        <f>B195+H195</f>
        <v>259</v>
      </c>
      <c r="J195" t="str">
        <f>B195&amp;"p+"&amp;H195&amp;"n+"&amp;B195&amp;"e"</f>
        <v>97p+162n+97e</v>
      </c>
      <c r="K195" t="str">
        <f>(2*B195+H195)&amp;"u+"&amp;(B195+2*H195)&amp;"d+"&amp;B195&amp;"e"</f>
        <v>356u+421d+97e</v>
      </c>
      <c r="L195">
        <f>B195*Constants!$B$11+(H195-B195)*Constants!$B$12</f>
        <v>899.9075520833333333333333333333333333333333333333333333333333333333333333333333333333333333333333333</v>
      </c>
      <c r="M195">
        <f>L195*Constants!$B$5</f>
        <v>7199.260416666666666666666666666666666666666666666666666666666666666666666666666666666666666666666667</v>
      </c>
      <c r="N195">
        <f>L195*7</f>
        <v>6299.352864583333333333333333333333333333333333333333333333333333333333333333333333333333333333333333</v>
      </c>
      <c r="O195" t="str">
        <f>IF(B195&gt;Constants!$B$6-Constants!$B$5,"CONSTANT_FRONTIER_TAIL_CANDIDATE",IF(G195=0,"CONSTANT_STABLE_ANCHOR_LANE",IF(G195=Constants!$B$2/2,"CONSTANT_HALF_WRITE_LANE","CONSTANT_BOUND_LADDER_LANE")))</f>
        <v>CONSTANT_BOUND_LADDER_LANE</v>
      </c>
    </row>
    <row r="196">
      <c r="A196">
        <f>ROW()-1</f>
        <v>195</v>
      </c>
      <c r="B196">
        <f>INT((A196-1)/2)+1</f>
        <v>98</v>
      </c>
      <c r="C196" t="str">
        <f>IF(MOD(A196-1,2)=0,"FLOOR_PRIMARY","CEIL_NEIGHBOR")</f>
        <v>FLOOR_PRIMARY</v>
      </c>
      <c r="D196" t="str">
        <f>IF(C196="FLOOR_PRIMARY","yes",IF(G196&lt;&gt;0,"yes","no"))</f>
        <v>yes</v>
      </c>
      <c r="E196">
        <f>MAX(0,INT((B196-1)/Constants!$B$2))</f>
        <v>8</v>
      </c>
      <c r="F196">
        <f>INT(B196*E196/Constants!$B$2)</f>
        <v>65</v>
      </c>
      <c r="G196">
        <f>MOD(B196*E196,Constants!$B$2)</f>
        <v>4</v>
      </c>
      <c r="H196">
        <f>B196+F196+IF(C196="CEIL_NEIGHBOR",1,0)</f>
        <v>163</v>
      </c>
      <c r="I196">
        <f>B196+H196</f>
        <v>261</v>
      </c>
      <c r="J196" t="str">
        <f>B196&amp;"p+"&amp;H196&amp;"n+"&amp;B196&amp;"e"</f>
        <v>98p+163n+98e</v>
      </c>
      <c r="K196" t="str">
        <f>(2*B196+H196)&amp;"u+"&amp;(B196+2*H196)&amp;"d+"&amp;B196&amp;"e"</f>
        <v>359u+424d+98e</v>
      </c>
      <c r="L196">
        <f>B196*Constants!$B$11+(H196-B196)*Constants!$B$12</f>
        <v>909.1744791666666666666666666666666666666666666666666666666666666666666666666666666666666666666666667</v>
      </c>
      <c r="M196">
        <f>L196*Constants!$B$5</f>
        <v>7273.395833333333333333333333333333333333333333333333333333333333333333333333333333333333333333333333</v>
      </c>
      <c r="N196">
        <f>L196*7</f>
        <v>6364.221354166666666666666666666666666666666666666666666666666666666666666666666666666666666666666667</v>
      </c>
      <c r="O196" t="str">
        <f>IF(B196&gt;Constants!$B$6-Constants!$B$5,"CONSTANT_FRONTIER_TAIL_CANDIDATE",IF(G196=0,"CONSTANT_STABLE_ANCHOR_LANE",IF(G196=Constants!$B$2/2,"CONSTANT_HALF_WRITE_LANE","CONSTANT_BOUND_LADDER_LANE")))</f>
        <v>CONSTANT_BOUND_LADDER_LANE</v>
      </c>
    </row>
    <row r="197">
      <c r="A197">
        <f>ROW()-1</f>
        <v>196</v>
      </c>
      <c r="B197">
        <f>INT((A197-1)/2)+1</f>
        <v>98</v>
      </c>
      <c r="C197" t="str">
        <f>IF(MOD(A197-1,2)=0,"FLOOR_PRIMARY","CEIL_NEIGHBOR")</f>
        <v>CEIL_NEIGHBOR</v>
      </c>
      <c r="D197" t="str">
        <f>IF(C197="FLOOR_PRIMARY","yes",IF(G197&lt;&gt;0,"yes","no"))</f>
        <v>yes</v>
      </c>
      <c r="E197">
        <f>MAX(0,INT((B197-1)/Constants!$B$2))</f>
        <v>8</v>
      </c>
      <c r="F197">
        <f>INT(B197*E197/Constants!$B$2)</f>
        <v>65</v>
      </c>
      <c r="G197">
        <f>MOD(B197*E197,Constants!$B$2)</f>
        <v>4</v>
      </c>
      <c r="H197">
        <f>B197+F197+IF(C197="CEIL_NEIGHBOR",1,0)</f>
        <v>164</v>
      </c>
      <c r="I197">
        <f>B197+H197</f>
        <v>262</v>
      </c>
      <c r="J197" t="str">
        <f>B197&amp;"p+"&amp;H197&amp;"n+"&amp;B197&amp;"e"</f>
        <v>98p+164n+98e</v>
      </c>
      <c r="K197" t="str">
        <f>(2*B197+H197)&amp;"u+"&amp;(B197+2*H197)&amp;"d+"&amp;B197&amp;"e"</f>
        <v>360u+426d+98e</v>
      </c>
      <c r="L197">
        <f>B197*Constants!$B$11+(H197-B197)*Constants!$B$12</f>
        <v>909.1901041666666666666666666666666666666666666666666666666666666666666666666666666666666666666666667</v>
      </c>
      <c r="M197">
        <f>L197*Constants!$B$5</f>
        <v>7273.520833333333333333333333333333333333333333333333333333333333333333333333333333333333333333333333</v>
      </c>
      <c r="N197">
        <f>L197*7</f>
        <v>6364.330729166666666666666666666666666666666666666666666666666666666666666666666666666666666666666667</v>
      </c>
      <c r="O197" t="str">
        <f>IF(B197&gt;Constants!$B$6-Constants!$B$5,"CONSTANT_FRONTIER_TAIL_CANDIDATE",IF(G197=0,"CONSTANT_STABLE_ANCHOR_LANE",IF(G197=Constants!$B$2/2,"CONSTANT_HALF_WRITE_LANE","CONSTANT_BOUND_LADDER_LANE")))</f>
        <v>CONSTANT_BOUND_LADDER_LANE</v>
      </c>
    </row>
    <row r="198">
      <c r="A198">
        <f>ROW()-1</f>
        <v>197</v>
      </c>
      <c r="B198">
        <f>INT((A198-1)/2)+1</f>
        <v>99</v>
      </c>
      <c r="C198" t="str">
        <f>IF(MOD(A198-1,2)=0,"FLOOR_PRIMARY","CEIL_NEIGHBOR")</f>
        <v>FLOOR_PRIMARY</v>
      </c>
      <c r="D198" t="str">
        <f>IF(C198="FLOOR_PRIMARY","yes",IF(G198&lt;&gt;0,"yes","no"))</f>
        <v>yes</v>
      </c>
      <c r="E198">
        <f>MAX(0,INT((B198-1)/Constants!$B$2))</f>
        <v>8</v>
      </c>
      <c r="F198">
        <f>INT(B198*E198/Constants!$B$2)</f>
        <v>66</v>
      </c>
      <c r="G198">
        <f>MOD(B198*E198,Constants!$B$2)</f>
        <v>0</v>
      </c>
      <c r="H198">
        <f>B198+F198+IF(C198="CEIL_NEIGHBOR",1,0)</f>
        <v>165</v>
      </c>
      <c r="I198">
        <f>B198+H198</f>
        <v>264</v>
      </c>
      <c r="J198" t="str">
        <f>B198&amp;"p+"&amp;H198&amp;"n+"&amp;B198&amp;"e"</f>
        <v>99p+165n+99e</v>
      </c>
      <c r="K198" t="str">
        <f>(2*B198+H198)&amp;"u+"&amp;(B198+2*H198)&amp;"d+"&amp;B198&amp;"e"</f>
        <v>363u+429d+99e</v>
      </c>
      <c r="L198">
        <f>B198*Constants!$B$11+(H198-B198)*Constants!$B$12</f>
        <v>918.45703125</v>
      </c>
      <c r="M198">
        <f>L198*Constants!$B$5</f>
        <v>7347.65625</v>
      </c>
      <c r="N198">
        <f>L198*7</f>
        <v>6429.19921875</v>
      </c>
      <c r="O198" t="str">
        <f>IF(B198&gt;Constants!$B$6-Constants!$B$5,"CONSTANT_FRONTIER_TAIL_CANDIDATE",IF(G198=0,"CONSTANT_STABLE_ANCHOR_LANE",IF(G198=Constants!$B$2/2,"CONSTANT_HALF_WRITE_LANE","CONSTANT_BOUND_LADDER_LANE")))</f>
        <v>CONSTANT_STABLE_ANCHOR_LANE</v>
      </c>
    </row>
    <row r="199">
      <c r="A199">
        <f>ROW()-1</f>
        <v>198</v>
      </c>
      <c r="B199">
        <f>INT((A199-1)/2)+1</f>
        <v>99</v>
      </c>
      <c r="C199" t="str">
        <f>IF(MOD(A199-1,2)=0,"FLOOR_PRIMARY","CEIL_NEIGHBOR")</f>
        <v>CEIL_NEIGHBOR</v>
      </c>
      <c r="D199" t="str">
        <f>IF(C199="FLOOR_PRIMARY","yes",IF(G199&lt;&gt;0,"yes","no"))</f>
        <v>no</v>
      </c>
      <c r="E199">
        <f>MAX(0,INT((B199-1)/Constants!$B$2))</f>
        <v>8</v>
      </c>
      <c r="F199">
        <f>INT(B199*E199/Constants!$B$2)</f>
        <v>66</v>
      </c>
      <c r="G199">
        <f>MOD(B199*E199,Constants!$B$2)</f>
        <v>0</v>
      </c>
      <c r="H199">
        <f>B199+F199+IF(C199="CEIL_NEIGHBOR",1,0)</f>
        <v>166</v>
      </c>
      <c r="I199">
        <f>B199+H199</f>
        <v>265</v>
      </c>
      <c r="J199" t="str">
        <f>B199&amp;"p+"&amp;H199&amp;"n+"&amp;B199&amp;"e"</f>
        <v>99p+166n+99e</v>
      </c>
      <c r="K199" t="str">
        <f>(2*B199+H199)&amp;"u+"&amp;(B199+2*H199)&amp;"d+"&amp;B199&amp;"e"</f>
        <v>364u+431d+99e</v>
      </c>
      <c r="L199">
        <f>B199*Constants!$B$11+(H199-B199)*Constants!$B$12</f>
        <v>918.47265625</v>
      </c>
      <c r="M199">
        <f>L199*Constants!$B$5</f>
        <v>7347.78125</v>
      </c>
      <c r="N199">
        <f>L199*7</f>
        <v>6429.30859375</v>
      </c>
      <c r="O199" t="str">
        <f>IF(B199&gt;Constants!$B$6-Constants!$B$5,"CONSTANT_FRONTIER_TAIL_CANDIDATE",IF(G199=0,"CONSTANT_STABLE_ANCHOR_LANE",IF(G199=Constants!$B$2/2,"CONSTANT_HALF_WRITE_LANE","CONSTANT_BOUND_LADDER_LANE")))</f>
        <v>CONSTANT_BOUND_LADDER_LANE</v>
      </c>
    </row>
    <row r="200">
      <c r="A200">
        <f>ROW()-1</f>
        <v>199</v>
      </c>
      <c r="B200">
        <f>INT((A200-1)/2)+1</f>
        <v>100</v>
      </c>
      <c r="C200" t="str">
        <f>IF(MOD(A200-1,2)=0,"FLOOR_PRIMARY","CEIL_NEIGHBOR")</f>
        <v>FLOOR_PRIMARY</v>
      </c>
      <c r="D200" t="str">
        <f>IF(C200="FLOOR_PRIMARY","yes",IF(G200&lt;&gt;0,"yes","no"))</f>
        <v>yes</v>
      </c>
      <c r="E200">
        <f>MAX(0,INT((B200-1)/Constants!$B$2))</f>
        <v>8</v>
      </c>
      <c r="F200">
        <f>INT(B200*E200/Constants!$B$2)</f>
        <v>66</v>
      </c>
      <c r="G200">
        <f>MOD(B200*E200,Constants!$B$2)</f>
        <v>8</v>
      </c>
      <c r="H200">
        <f>B200+F200+IF(C200="CEIL_NEIGHBOR",1,0)</f>
        <v>166</v>
      </c>
      <c r="I200">
        <f>B200+H200</f>
        <v>266</v>
      </c>
      <c r="J200" t="str">
        <f>B200&amp;"p+"&amp;H200&amp;"n+"&amp;B200&amp;"e"</f>
        <v>100p+166n+100e</v>
      </c>
      <c r="K200" t="str">
        <f>(2*B200+H200)&amp;"u+"&amp;(B200+2*H200)&amp;"d+"&amp;B200&amp;"e"</f>
        <v>366u+432d+100e</v>
      </c>
      <c r="L200">
        <f>B200*Constants!$B$11+(H200-B200)*Constants!$B$12</f>
        <v>927.7239583333333333333333333333333333333333333333333333333333333333333333333333333333333333333333333</v>
      </c>
      <c r="M200">
        <f>L200*Constants!$B$5</f>
        <v>7421.791666666666666666666666666666666666666666666666666666666666666666666666666666666666666666666667</v>
      </c>
      <c r="N200">
        <f>L200*7</f>
        <v>6494.067708333333333333333333333333333333333333333333333333333333333333333333333333333333333333333333</v>
      </c>
      <c r="O200" t="str">
        <f>IF(B200&gt;Constants!$B$6-Constants!$B$5,"CONSTANT_FRONTIER_TAIL_CANDIDATE",IF(G200=0,"CONSTANT_STABLE_ANCHOR_LANE",IF(G200=Constants!$B$2/2,"CONSTANT_HALF_WRITE_LANE","CONSTANT_BOUND_LADDER_LANE")))</f>
        <v>CONSTANT_BOUND_LADDER_LANE</v>
      </c>
    </row>
    <row r="201">
      <c r="A201">
        <f>ROW()-1</f>
        <v>200</v>
      </c>
      <c r="B201">
        <f>INT((A201-1)/2)+1</f>
        <v>100</v>
      </c>
      <c r="C201" t="str">
        <f>IF(MOD(A201-1,2)=0,"FLOOR_PRIMARY","CEIL_NEIGHBOR")</f>
        <v>CEIL_NEIGHBOR</v>
      </c>
      <c r="D201" t="str">
        <f>IF(C201="FLOOR_PRIMARY","yes",IF(G201&lt;&gt;0,"yes","no"))</f>
        <v>yes</v>
      </c>
      <c r="E201">
        <f>MAX(0,INT((B201-1)/Constants!$B$2))</f>
        <v>8</v>
      </c>
      <c r="F201">
        <f>INT(B201*E201/Constants!$B$2)</f>
        <v>66</v>
      </c>
      <c r="G201">
        <f>MOD(B201*E201,Constants!$B$2)</f>
        <v>8</v>
      </c>
      <c r="H201">
        <f>B201+F201+IF(C201="CEIL_NEIGHBOR",1,0)</f>
        <v>167</v>
      </c>
      <c r="I201">
        <f>B201+H201</f>
        <v>267</v>
      </c>
      <c r="J201" t="str">
        <f>B201&amp;"p+"&amp;H201&amp;"n+"&amp;B201&amp;"e"</f>
        <v>100p+167n+100e</v>
      </c>
      <c r="K201" t="str">
        <f>(2*B201+H201)&amp;"u+"&amp;(B201+2*H201)&amp;"d+"&amp;B201&amp;"e"</f>
        <v>367u+434d+100e</v>
      </c>
      <c r="L201">
        <f>B201*Constants!$B$11+(H201-B201)*Constants!$B$12</f>
        <v>927.7395833333333333333333333333333333333333333333333333333333333333333333333333333333333333333333333</v>
      </c>
      <c r="M201">
        <f>L201*Constants!$B$5</f>
        <v>7421.916666666666666666666666666666666666666666666666666666666666666666666666666666666666666666666667</v>
      </c>
      <c r="N201">
        <f>L201*7</f>
        <v>6494.177083333333333333333333333333333333333333333333333333333333333333333333333333333333333333333333</v>
      </c>
      <c r="O201" t="str">
        <f>IF(B201&gt;Constants!$B$6-Constants!$B$5,"CONSTANT_FRONTIER_TAIL_CANDIDATE",IF(G201=0,"CONSTANT_STABLE_ANCHOR_LANE",IF(G201=Constants!$B$2/2,"CONSTANT_HALF_WRITE_LANE","CONSTANT_BOUND_LADDER_LANE")))</f>
        <v>CONSTANT_BOUND_LADDER_LANE</v>
      </c>
    </row>
    <row r="202">
      <c r="A202">
        <f>ROW()-1</f>
        <v>201</v>
      </c>
      <c r="B202">
        <f>INT((A202-1)/2)+1</f>
        <v>101</v>
      </c>
      <c r="C202" t="str">
        <f>IF(MOD(A202-1,2)=0,"FLOOR_PRIMARY","CEIL_NEIGHBOR")</f>
        <v>FLOOR_PRIMARY</v>
      </c>
      <c r="D202" t="str">
        <f>IF(C202="FLOOR_PRIMARY","yes",IF(G202&lt;&gt;0,"yes","no"))</f>
        <v>yes</v>
      </c>
      <c r="E202">
        <f>MAX(0,INT((B202-1)/Constants!$B$2))</f>
        <v>8</v>
      </c>
      <c r="F202">
        <f>INT(B202*E202/Constants!$B$2)</f>
        <v>67</v>
      </c>
      <c r="G202">
        <f>MOD(B202*E202,Constants!$B$2)</f>
        <v>4</v>
      </c>
      <c r="H202">
        <f>B202+F202+IF(C202="CEIL_NEIGHBOR",1,0)</f>
        <v>168</v>
      </c>
      <c r="I202">
        <f>B202+H202</f>
        <v>269</v>
      </c>
      <c r="J202" t="str">
        <f>B202&amp;"p+"&amp;H202&amp;"n+"&amp;B202&amp;"e"</f>
        <v>101p+168n+101e</v>
      </c>
      <c r="K202" t="str">
        <f>(2*B202+H202)&amp;"u+"&amp;(B202+2*H202)&amp;"d+"&amp;B202&amp;"e"</f>
        <v>370u+437d+101e</v>
      </c>
      <c r="L202">
        <f>B202*Constants!$B$11+(H202-B202)*Constants!$B$12</f>
        <v>937.0065104166666666666666666666666666666666666666666666666666666666666666666666666666666666666666667</v>
      </c>
      <c r="M202">
        <f>L202*Constants!$B$5</f>
        <v>7496.052083333333333333333333333333333333333333333333333333333333333333333333333333333333333333333333</v>
      </c>
      <c r="N202">
        <f>L202*7</f>
        <v>6559.045572916666666666666666666666666666666666666666666666666666666666666666666666666666666666666667</v>
      </c>
      <c r="O202" t="str">
        <f>IF(B202&gt;Constants!$B$6-Constants!$B$5,"CONSTANT_FRONTIER_TAIL_CANDIDATE",IF(G202=0,"CONSTANT_STABLE_ANCHOR_LANE",IF(G202=Constants!$B$2/2,"CONSTANT_HALF_WRITE_LANE","CONSTANT_BOUND_LADDER_LANE")))</f>
        <v>CONSTANT_BOUND_LADDER_LANE</v>
      </c>
    </row>
    <row r="203">
      <c r="A203">
        <f>ROW()-1</f>
        <v>202</v>
      </c>
      <c r="B203">
        <f>INT((A203-1)/2)+1</f>
        <v>101</v>
      </c>
      <c r="C203" t="str">
        <f>IF(MOD(A203-1,2)=0,"FLOOR_PRIMARY","CEIL_NEIGHBOR")</f>
        <v>CEIL_NEIGHBOR</v>
      </c>
      <c r="D203" t="str">
        <f>IF(C203="FLOOR_PRIMARY","yes",IF(G203&lt;&gt;0,"yes","no"))</f>
        <v>yes</v>
      </c>
      <c r="E203">
        <f>MAX(0,INT((B203-1)/Constants!$B$2))</f>
        <v>8</v>
      </c>
      <c r="F203">
        <f>INT(B203*E203/Constants!$B$2)</f>
        <v>67</v>
      </c>
      <c r="G203">
        <f>MOD(B203*E203,Constants!$B$2)</f>
        <v>4</v>
      </c>
      <c r="H203">
        <f>B203+F203+IF(C203="CEIL_NEIGHBOR",1,0)</f>
        <v>169</v>
      </c>
      <c r="I203">
        <f>B203+H203</f>
        <v>270</v>
      </c>
      <c r="J203" t="str">
        <f>B203&amp;"p+"&amp;H203&amp;"n+"&amp;B203&amp;"e"</f>
        <v>101p+169n+101e</v>
      </c>
      <c r="K203" t="str">
        <f>(2*B203+H203)&amp;"u+"&amp;(B203+2*H203)&amp;"d+"&amp;B203&amp;"e"</f>
        <v>371u+439d+101e</v>
      </c>
      <c r="L203">
        <f>B203*Constants!$B$11+(H203-B203)*Constants!$B$12</f>
        <v>937.0221354166666666666666666666666666666666666666666666666666666666666666666666666666666666666666667</v>
      </c>
      <c r="M203">
        <f>L203*Constants!$B$5</f>
        <v>7496.177083333333333333333333333333333333333333333333333333333333333333333333333333333333333333333333</v>
      </c>
      <c r="N203">
        <f>L203*7</f>
        <v>6559.154947916666666666666666666666666666666666666666666666666666666666666666666666666666666666666667</v>
      </c>
      <c r="O203" t="str">
        <f>IF(B203&gt;Constants!$B$6-Constants!$B$5,"CONSTANT_FRONTIER_TAIL_CANDIDATE",IF(G203=0,"CONSTANT_STABLE_ANCHOR_LANE",IF(G203=Constants!$B$2/2,"CONSTANT_HALF_WRITE_LANE","CONSTANT_BOUND_LADDER_LANE")))</f>
        <v>CONSTANT_BOUND_LADDER_LANE</v>
      </c>
    </row>
    <row r="204">
      <c r="A204">
        <f>ROW()-1</f>
        <v>203</v>
      </c>
      <c r="B204">
        <f>INT((A204-1)/2)+1</f>
        <v>102</v>
      </c>
      <c r="C204" t="str">
        <f>IF(MOD(A204-1,2)=0,"FLOOR_PRIMARY","CEIL_NEIGHBOR")</f>
        <v>FLOOR_PRIMARY</v>
      </c>
      <c r="D204" t="str">
        <f>IF(C204="FLOOR_PRIMARY","yes",IF(G204&lt;&gt;0,"yes","no"))</f>
        <v>yes</v>
      </c>
      <c r="E204">
        <f>MAX(0,INT((B204-1)/Constants!$B$2))</f>
        <v>8</v>
      </c>
      <c r="F204">
        <f>INT(B204*E204/Constants!$B$2)</f>
        <v>68</v>
      </c>
      <c r="G204">
        <f>MOD(B204*E204,Constants!$B$2)</f>
        <v>0</v>
      </c>
      <c r="H204">
        <f>B204+F204+IF(C204="CEIL_NEIGHBOR",1,0)</f>
        <v>170</v>
      </c>
      <c r="I204">
        <f>B204+H204</f>
        <v>272</v>
      </c>
      <c r="J204" t="str">
        <f>B204&amp;"p+"&amp;H204&amp;"n+"&amp;B204&amp;"e"</f>
        <v>102p+170n+102e</v>
      </c>
      <c r="K204" t="str">
        <f>(2*B204+H204)&amp;"u+"&amp;(B204+2*H204)&amp;"d+"&amp;B204&amp;"e"</f>
        <v>374u+442d+102e</v>
      </c>
      <c r="L204">
        <f>B204*Constants!$B$11+(H204-B204)*Constants!$B$12</f>
        <v>946.2890625</v>
      </c>
      <c r="M204">
        <f>L204*Constants!$B$5</f>
        <v>7570.3125</v>
      </c>
      <c r="N204">
        <f>L204*7</f>
        <v>6624.0234375</v>
      </c>
      <c r="O204" t="str">
        <f>IF(B204&gt;Constants!$B$6-Constants!$B$5,"CONSTANT_FRONTIER_TAIL_CANDIDATE",IF(G204=0,"CONSTANT_STABLE_ANCHOR_LANE",IF(G204=Constants!$B$2/2,"CONSTANT_HALF_WRITE_LANE","CONSTANT_BOUND_LADDER_LANE")))</f>
        <v>CONSTANT_STABLE_ANCHOR_LANE</v>
      </c>
    </row>
    <row r="205">
      <c r="A205">
        <f>ROW()-1</f>
        <v>204</v>
      </c>
      <c r="B205">
        <f>INT((A205-1)/2)+1</f>
        <v>102</v>
      </c>
      <c r="C205" t="str">
        <f>IF(MOD(A205-1,2)=0,"FLOOR_PRIMARY","CEIL_NEIGHBOR")</f>
        <v>CEIL_NEIGHBOR</v>
      </c>
      <c r="D205" t="str">
        <f>IF(C205="FLOOR_PRIMARY","yes",IF(G205&lt;&gt;0,"yes","no"))</f>
        <v>no</v>
      </c>
      <c r="E205">
        <f>MAX(0,INT((B205-1)/Constants!$B$2))</f>
        <v>8</v>
      </c>
      <c r="F205">
        <f>INT(B205*E205/Constants!$B$2)</f>
        <v>68</v>
      </c>
      <c r="G205">
        <f>MOD(B205*E205,Constants!$B$2)</f>
        <v>0</v>
      </c>
      <c r="H205">
        <f>B205+F205+IF(C205="CEIL_NEIGHBOR",1,0)</f>
        <v>171</v>
      </c>
      <c r="I205">
        <f>B205+H205</f>
        <v>273</v>
      </c>
      <c r="J205" t="str">
        <f>B205&amp;"p+"&amp;H205&amp;"n+"&amp;B205&amp;"e"</f>
        <v>102p+171n+102e</v>
      </c>
      <c r="K205" t="str">
        <f>(2*B205+H205)&amp;"u+"&amp;(B205+2*H205)&amp;"d+"&amp;B205&amp;"e"</f>
        <v>375u+444d+102e</v>
      </c>
      <c r="L205">
        <f>B205*Constants!$B$11+(H205-B205)*Constants!$B$12</f>
        <v>946.3046875</v>
      </c>
      <c r="M205">
        <f>L205*Constants!$B$5</f>
        <v>7570.4375</v>
      </c>
      <c r="N205">
        <f>L205*7</f>
        <v>6624.1328125</v>
      </c>
      <c r="O205" t="str">
        <f>IF(B205&gt;Constants!$B$6-Constants!$B$5,"CONSTANT_FRONTIER_TAIL_CANDIDATE",IF(G205=0,"CONSTANT_STABLE_ANCHOR_LANE",IF(G205=Constants!$B$2/2,"CONSTANT_HALF_WRITE_LANE","CONSTANT_BOUND_LADDER_LANE")))</f>
        <v>CONSTANT_BOUND_LADDER_LANE</v>
      </c>
    </row>
    <row r="206">
      <c r="A206">
        <f>ROW()-1</f>
        <v>205</v>
      </c>
      <c r="B206">
        <f>INT((A206-1)/2)+1</f>
        <v>103</v>
      </c>
      <c r="C206" t="str">
        <f>IF(MOD(A206-1,2)=0,"FLOOR_PRIMARY","CEIL_NEIGHBOR")</f>
        <v>FLOOR_PRIMARY</v>
      </c>
      <c r="D206" t="str">
        <f>IF(C206="FLOOR_PRIMARY","yes",IF(G206&lt;&gt;0,"yes","no"))</f>
        <v>yes</v>
      </c>
      <c r="E206">
        <f>MAX(0,INT((B206-1)/Constants!$B$2))</f>
        <v>8</v>
      </c>
      <c r="F206">
        <f>INT(B206*E206/Constants!$B$2)</f>
        <v>68</v>
      </c>
      <c r="G206">
        <f>MOD(B206*E206,Constants!$B$2)</f>
        <v>8</v>
      </c>
      <c r="H206">
        <f>B206+F206+IF(C206="CEIL_NEIGHBOR",1,0)</f>
        <v>171</v>
      </c>
      <c r="I206">
        <f>B206+H206</f>
        <v>274</v>
      </c>
      <c r="J206" t="str">
        <f>B206&amp;"p+"&amp;H206&amp;"n+"&amp;B206&amp;"e"</f>
        <v>103p+171n+103e</v>
      </c>
      <c r="K206" t="str">
        <f>(2*B206+H206)&amp;"u+"&amp;(B206+2*H206)&amp;"d+"&amp;B206&amp;"e"</f>
        <v>377u+445d+103e</v>
      </c>
      <c r="L206">
        <f>B206*Constants!$B$11+(H206-B206)*Constants!$B$12</f>
        <v>955.5559895833333333333333333333333333333333333333333333333333333333333333333333333333333333333333333</v>
      </c>
      <c r="M206">
        <f>L206*Constants!$B$5</f>
        <v>7644.447916666666666666666666666666666666666666666666666666666666666666666666666666666666666666666667</v>
      </c>
      <c r="N206">
        <f>L206*7</f>
        <v>6688.891927083333333333333333333333333333333333333333333333333333333333333333333333333333333333333333</v>
      </c>
      <c r="O206" t="str">
        <f>IF(B206&gt;Constants!$B$6-Constants!$B$5,"CONSTANT_FRONTIER_TAIL_CANDIDATE",IF(G206=0,"CONSTANT_STABLE_ANCHOR_LANE",IF(G206=Constants!$B$2/2,"CONSTANT_HALF_WRITE_LANE","CONSTANT_BOUND_LADDER_LANE")))</f>
        <v>CONSTANT_BOUND_LADDER_LANE</v>
      </c>
    </row>
    <row r="207">
      <c r="A207">
        <f>ROW()-1</f>
        <v>206</v>
      </c>
      <c r="B207">
        <f>INT((A207-1)/2)+1</f>
        <v>103</v>
      </c>
      <c r="C207" t="str">
        <f>IF(MOD(A207-1,2)=0,"FLOOR_PRIMARY","CEIL_NEIGHBOR")</f>
        <v>CEIL_NEIGHBOR</v>
      </c>
      <c r="D207" t="str">
        <f>IF(C207="FLOOR_PRIMARY","yes",IF(G207&lt;&gt;0,"yes","no"))</f>
        <v>yes</v>
      </c>
      <c r="E207">
        <f>MAX(0,INT((B207-1)/Constants!$B$2))</f>
        <v>8</v>
      </c>
      <c r="F207">
        <f>INT(B207*E207/Constants!$B$2)</f>
        <v>68</v>
      </c>
      <c r="G207">
        <f>MOD(B207*E207,Constants!$B$2)</f>
        <v>8</v>
      </c>
      <c r="H207">
        <f>B207+F207+IF(C207="CEIL_NEIGHBOR",1,0)</f>
        <v>172</v>
      </c>
      <c r="I207">
        <f>B207+H207</f>
        <v>275</v>
      </c>
      <c r="J207" t="str">
        <f>B207&amp;"p+"&amp;H207&amp;"n+"&amp;B207&amp;"e"</f>
        <v>103p+172n+103e</v>
      </c>
      <c r="K207" t="str">
        <f>(2*B207+H207)&amp;"u+"&amp;(B207+2*H207)&amp;"d+"&amp;B207&amp;"e"</f>
        <v>378u+447d+103e</v>
      </c>
      <c r="L207">
        <f>B207*Constants!$B$11+(H207-B207)*Constants!$B$12</f>
        <v>955.5716145833333333333333333333333333333333333333333333333333333333333333333333333333333333333333333</v>
      </c>
      <c r="M207">
        <f>L207*Constants!$B$5</f>
        <v>7644.572916666666666666666666666666666666666666666666666666666666666666666666666666666666666666666667</v>
      </c>
      <c r="N207">
        <f>L207*7</f>
        <v>6689.001302083333333333333333333333333333333333333333333333333333333333333333333333333333333333333333</v>
      </c>
      <c r="O207" t="str">
        <f>IF(B207&gt;Constants!$B$6-Constants!$B$5,"CONSTANT_FRONTIER_TAIL_CANDIDATE",IF(G207=0,"CONSTANT_STABLE_ANCHOR_LANE",IF(G207=Constants!$B$2/2,"CONSTANT_HALF_WRITE_LANE","CONSTANT_BOUND_LADDER_LANE")))</f>
        <v>CONSTANT_BOUND_LADDER_LANE</v>
      </c>
    </row>
    <row r="208">
      <c r="A208">
        <f>ROW()-1</f>
        <v>207</v>
      </c>
      <c r="B208">
        <f>INT((A208-1)/2)+1</f>
        <v>104</v>
      </c>
      <c r="C208" t="str">
        <f>IF(MOD(A208-1,2)=0,"FLOOR_PRIMARY","CEIL_NEIGHBOR")</f>
        <v>FLOOR_PRIMARY</v>
      </c>
      <c r="D208" t="str">
        <f>IF(C208="FLOOR_PRIMARY","yes",IF(G208&lt;&gt;0,"yes","no"))</f>
        <v>yes</v>
      </c>
      <c r="E208">
        <f>MAX(0,INT((B208-1)/Constants!$B$2))</f>
        <v>8</v>
      </c>
      <c r="F208">
        <f>INT(B208*E208/Constants!$B$2)</f>
        <v>69</v>
      </c>
      <c r="G208">
        <f>MOD(B208*E208,Constants!$B$2)</f>
        <v>4</v>
      </c>
      <c r="H208">
        <f>B208+F208+IF(C208="CEIL_NEIGHBOR",1,0)</f>
        <v>173</v>
      </c>
      <c r="I208">
        <f>B208+H208</f>
        <v>277</v>
      </c>
      <c r="J208" t="str">
        <f>B208&amp;"p+"&amp;H208&amp;"n+"&amp;B208&amp;"e"</f>
        <v>104p+173n+104e</v>
      </c>
      <c r="K208" t="str">
        <f>(2*B208+H208)&amp;"u+"&amp;(B208+2*H208)&amp;"d+"&amp;B208&amp;"e"</f>
        <v>381u+450d+104e</v>
      </c>
      <c r="L208">
        <f>B208*Constants!$B$11+(H208-B208)*Constants!$B$12</f>
        <v>964.8385416666666666666666666666666666666666666666666666666666666666666666666666666666666666666666667</v>
      </c>
      <c r="M208">
        <f>L208*Constants!$B$5</f>
        <v>7718.708333333333333333333333333333333333333333333333333333333333333333333333333333333333333333333333</v>
      </c>
      <c r="N208">
        <f>L208*7</f>
        <v>6753.869791666666666666666666666666666666666666666666666666666666666666666666666666666666666666666667</v>
      </c>
      <c r="O208" t="str">
        <f>IF(B208&gt;Constants!$B$6-Constants!$B$5,"CONSTANT_FRONTIER_TAIL_CANDIDATE",IF(G208=0,"CONSTANT_STABLE_ANCHOR_LANE",IF(G208=Constants!$B$2/2,"CONSTANT_HALF_WRITE_LANE","CONSTANT_BOUND_LADDER_LANE")))</f>
        <v>CONSTANT_BOUND_LADDER_LANE</v>
      </c>
    </row>
    <row r="209">
      <c r="A209">
        <f>ROW()-1</f>
        <v>208</v>
      </c>
      <c r="B209">
        <f>INT((A209-1)/2)+1</f>
        <v>104</v>
      </c>
      <c r="C209" t="str">
        <f>IF(MOD(A209-1,2)=0,"FLOOR_PRIMARY","CEIL_NEIGHBOR")</f>
        <v>CEIL_NEIGHBOR</v>
      </c>
      <c r="D209" t="str">
        <f>IF(C209="FLOOR_PRIMARY","yes",IF(G209&lt;&gt;0,"yes","no"))</f>
        <v>yes</v>
      </c>
      <c r="E209">
        <f>MAX(0,INT((B209-1)/Constants!$B$2))</f>
        <v>8</v>
      </c>
      <c r="F209">
        <f>INT(B209*E209/Constants!$B$2)</f>
        <v>69</v>
      </c>
      <c r="G209">
        <f>MOD(B209*E209,Constants!$B$2)</f>
        <v>4</v>
      </c>
      <c r="H209">
        <f>B209+F209+IF(C209="CEIL_NEIGHBOR",1,0)</f>
        <v>174</v>
      </c>
      <c r="I209">
        <f>B209+H209</f>
        <v>278</v>
      </c>
      <c r="J209" t="str">
        <f>B209&amp;"p+"&amp;H209&amp;"n+"&amp;B209&amp;"e"</f>
        <v>104p+174n+104e</v>
      </c>
      <c r="K209" t="str">
        <f>(2*B209+H209)&amp;"u+"&amp;(B209+2*H209)&amp;"d+"&amp;B209&amp;"e"</f>
        <v>382u+452d+104e</v>
      </c>
      <c r="L209">
        <f>B209*Constants!$B$11+(H209-B209)*Constants!$B$12</f>
        <v>964.8541666666666666666666666666666666666666666666666666666666666666666666666666666666666666666666667</v>
      </c>
      <c r="M209">
        <f>L209*Constants!$B$5</f>
        <v>7718.833333333333333333333333333333333333333333333333333333333333333333333333333333333333333333333333</v>
      </c>
      <c r="N209">
        <f>L209*7</f>
        <v>6753.979166666666666666666666666666666666666666666666666666666666666666666666666666666666666666666667</v>
      </c>
      <c r="O209" t="str">
        <f>IF(B209&gt;Constants!$B$6-Constants!$B$5,"CONSTANT_FRONTIER_TAIL_CANDIDATE",IF(G209=0,"CONSTANT_STABLE_ANCHOR_LANE",IF(G209=Constants!$B$2/2,"CONSTANT_HALF_WRITE_LANE","CONSTANT_BOUND_LADDER_LANE")))</f>
        <v>CONSTANT_BOUND_LADDER_LANE</v>
      </c>
    </row>
    <row r="210">
      <c r="A210">
        <f>ROW()-1</f>
        <v>209</v>
      </c>
      <c r="B210">
        <f>INT((A210-1)/2)+1</f>
        <v>105</v>
      </c>
      <c r="C210" t="str">
        <f>IF(MOD(A210-1,2)=0,"FLOOR_PRIMARY","CEIL_NEIGHBOR")</f>
        <v>FLOOR_PRIMARY</v>
      </c>
      <c r="D210" t="str">
        <f>IF(C210="FLOOR_PRIMARY","yes",IF(G210&lt;&gt;0,"yes","no"))</f>
        <v>yes</v>
      </c>
      <c r="E210">
        <f>MAX(0,INT((B210-1)/Constants!$B$2))</f>
        <v>8</v>
      </c>
      <c r="F210">
        <f>INT(B210*E210/Constants!$B$2)</f>
        <v>70</v>
      </c>
      <c r="G210">
        <f>MOD(B210*E210,Constants!$B$2)</f>
        <v>0</v>
      </c>
      <c r="H210">
        <f>B210+F210+IF(C210="CEIL_NEIGHBOR",1,0)</f>
        <v>175</v>
      </c>
      <c r="I210">
        <f>B210+H210</f>
        <v>280</v>
      </c>
      <c r="J210" t="str">
        <f>B210&amp;"p+"&amp;H210&amp;"n+"&amp;B210&amp;"e"</f>
        <v>105p+175n+105e</v>
      </c>
      <c r="K210" t="str">
        <f>(2*B210+H210)&amp;"u+"&amp;(B210+2*H210)&amp;"d+"&amp;B210&amp;"e"</f>
        <v>385u+455d+105e</v>
      </c>
      <c r="L210">
        <f>B210*Constants!$B$11+(H210-B210)*Constants!$B$12</f>
        <v>974.12109375</v>
      </c>
      <c r="M210">
        <f>L210*Constants!$B$5</f>
        <v>7792.96875</v>
      </c>
      <c r="N210">
        <f>L210*7</f>
        <v>6818.84765625</v>
      </c>
      <c r="O210" t="str">
        <f>IF(B210&gt;Constants!$B$6-Constants!$B$5,"CONSTANT_FRONTIER_TAIL_CANDIDATE",IF(G210=0,"CONSTANT_STABLE_ANCHOR_LANE",IF(G210=Constants!$B$2/2,"CONSTANT_HALF_WRITE_LANE","CONSTANT_BOUND_LADDER_LANE")))</f>
        <v>CONSTANT_STABLE_ANCHOR_LANE</v>
      </c>
    </row>
    <row r="211">
      <c r="A211">
        <f>ROW()-1</f>
        <v>210</v>
      </c>
      <c r="B211">
        <f>INT((A211-1)/2)+1</f>
        <v>105</v>
      </c>
      <c r="C211" t="str">
        <f>IF(MOD(A211-1,2)=0,"FLOOR_PRIMARY","CEIL_NEIGHBOR")</f>
        <v>CEIL_NEIGHBOR</v>
      </c>
      <c r="D211" t="str">
        <f>IF(C211="FLOOR_PRIMARY","yes",IF(G211&lt;&gt;0,"yes","no"))</f>
        <v>no</v>
      </c>
      <c r="E211">
        <f>MAX(0,INT((B211-1)/Constants!$B$2))</f>
        <v>8</v>
      </c>
      <c r="F211">
        <f>INT(B211*E211/Constants!$B$2)</f>
        <v>70</v>
      </c>
      <c r="G211">
        <f>MOD(B211*E211,Constants!$B$2)</f>
        <v>0</v>
      </c>
      <c r="H211">
        <f>B211+F211+IF(C211="CEIL_NEIGHBOR",1,0)</f>
        <v>176</v>
      </c>
      <c r="I211">
        <f>B211+H211</f>
        <v>281</v>
      </c>
      <c r="J211" t="str">
        <f>B211&amp;"p+"&amp;H211&amp;"n+"&amp;B211&amp;"e"</f>
        <v>105p+176n+105e</v>
      </c>
      <c r="K211" t="str">
        <f>(2*B211+H211)&amp;"u+"&amp;(B211+2*H211)&amp;"d+"&amp;B211&amp;"e"</f>
        <v>386u+457d+105e</v>
      </c>
      <c r="L211">
        <f>B211*Constants!$B$11+(H211-B211)*Constants!$B$12</f>
        <v>974.13671875</v>
      </c>
      <c r="M211">
        <f>L211*Constants!$B$5</f>
        <v>7793.09375</v>
      </c>
      <c r="N211">
        <f>L211*7</f>
        <v>6818.95703125</v>
      </c>
      <c r="O211" t="str">
        <f>IF(B211&gt;Constants!$B$6-Constants!$B$5,"CONSTANT_FRONTIER_TAIL_CANDIDATE",IF(G211=0,"CONSTANT_STABLE_ANCHOR_LANE",IF(G211=Constants!$B$2/2,"CONSTANT_HALF_WRITE_LANE","CONSTANT_BOUND_LADDER_LANE")))</f>
        <v>CONSTANT_BOUND_LADDER_LANE</v>
      </c>
    </row>
    <row r="212">
      <c r="A212">
        <f>ROW()-1</f>
        <v>211</v>
      </c>
      <c r="B212">
        <f>INT((A212-1)/2)+1</f>
        <v>106</v>
      </c>
      <c r="C212" t="str">
        <f>IF(MOD(A212-1,2)=0,"FLOOR_PRIMARY","CEIL_NEIGHBOR")</f>
        <v>FLOOR_PRIMARY</v>
      </c>
      <c r="D212" t="str">
        <f>IF(C212="FLOOR_PRIMARY","yes",IF(G212&lt;&gt;0,"yes","no"))</f>
        <v>yes</v>
      </c>
      <c r="E212">
        <f>MAX(0,INT((B212-1)/Constants!$B$2))</f>
        <v>8</v>
      </c>
      <c r="F212">
        <f>INT(B212*E212/Constants!$B$2)</f>
        <v>70</v>
      </c>
      <c r="G212">
        <f>MOD(B212*E212,Constants!$B$2)</f>
        <v>8</v>
      </c>
      <c r="H212">
        <f>B212+F212+IF(C212="CEIL_NEIGHBOR",1,0)</f>
        <v>176</v>
      </c>
      <c r="I212">
        <f>B212+H212</f>
        <v>282</v>
      </c>
      <c r="J212" t="str">
        <f>B212&amp;"p+"&amp;H212&amp;"n+"&amp;B212&amp;"e"</f>
        <v>106p+176n+106e</v>
      </c>
      <c r="K212" t="str">
        <f>(2*B212+H212)&amp;"u+"&amp;(B212+2*H212)&amp;"d+"&amp;B212&amp;"e"</f>
        <v>388u+458d+106e</v>
      </c>
      <c r="L212">
        <f>B212*Constants!$B$11+(H212-B212)*Constants!$B$12</f>
        <v>983.3880208333333333333333333333333333333333333333333333333333333333333333333333333333333333333333333</v>
      </c>
      <c r="M212">
        <f>L212*Constants!$B$5</f>
        <v>7867.104166666666666666666666666666666666666666666666666666666666666666666666666666666666666666666667</v>
      </c>
      <c r="N212">
        <f>L212*7</f>
        <v>6883.716145833333333333333333333333333333333333333333333333333333333333333333333333333333333333333333</v>
      </c>
      <c r="O212" t="str">
        <f>IF(B212&gt;Constants!$B$6-Constants!$B$5,"CONSTANT_FRONTIER_TAIL_CANDIDATE",IF(G212=0,"CONSTANT_STABLE_ANCHOR_LANE",IF(G212=Constants!$B$2/2,"CONSTANT_HALF_WRITE_LANE","CONSTANT_BOUND_LADDER_LANE")))</f>
        <v>CONSTANT_BOUND_LADDER_LANE</v>
      </c>
    </row>
    <row r="213">
      <c r="A213">
        <f>ROW()-1</f>
        <v>212</v>
      </c>
      <c r="B213">
        <f>INT((A213-1)/2)+1</f>
        <v>106</v>
      </c>
      <c r="C213" t="str">
        <f>IF(MOD(A213-1,2)=0,"FLOOR_PRIMARY","CEIL_NEIGHBOR")</f>
        <v>CEIL_NEIGHBOR</v>
      </c>
      <c r="D213" t="str">
        <f>IF(C213="FLOOR_PRIMARY","yes",IF(G213&lt;&gt;0,"yes","no"))</f>
        <v>yes</v>
      </c>
      <c r="E213">
        <f>MAX(0,INT((B213-1)/Constants!$B$2))</f>
        <v>8</v>
      </c>
      <c r="F213">
        <f>INT(B213*E213/Constants!$B$2)</f>
        <v>70</v>
      </c>
      <c r="G213">
        <f>MOD(B213*E213,Constants!$B$2)</f>
        <v>8</v>
      </c>
      <c r="H213">
        <f>B213+F213+IF(C213="CEIL_NEIGHBOR",1,0)</f>
        <v>177</v>
      </c>
      <c r="I213">
        <f>B213+H213</f>
        <v>283</v>
      </c>
      <c r="J213" t="str">
        <f>B213&amp;"p+"&amp;H213&amp;"n+"&amp;B213&amp;"e"</f>
        <v>106p+177n+106e</v>
      </c>
      <c r="K213" t="str">
        <f>(2*B213+H213)&amp;"u+"&amp;(B213+2*H213)&amp;"d+"&amp;B213&amp;"e"</f>
        <v>389u+460d+106e</v>
      </c>
      <c r="L213">
        <f>B213*Constants!$B$11+(H213-B213)*Constants!$B$12</f>
        <v>983.4036458333333333333333333333333333333333333333333333333333333333333333333333333333333333333333333</v>
      </c>
      <c r="M213">
        <f>L213*Constants!$B$5</f>
        <v>7867.229166666666666666666666666666666666666666666666666666666666666666666666666666666666666666666667</v>
      </c>
      <c r="N213">
        <f>L213*7</f>
        <v>6883.825520833333333333333333333333333333333333333333333333333333333333333333333333333333333333333333</v>
      </c>
      <c r="O213" t="str">
        <f>IF(B213&gt;Constants!$B$6-Constants!$B$5,"CONSTANT_FRONTIER_TAIL_CANDIDATE",IF(G213=0,"CONSTANT_STABLE_ANCHOR_LANE",IF(G213=Constants!$B$2/2,"CONSTANT_HALF_WRITE_LANE","CONSTANT_BOUND_LADDER_LANE")))</f>
        <v>CONSTANT_BOUND_LADDER_LANE</v>
      </c>
    </row>
    <row r="214">
      <c r="A214">
        <f>ROW()-1</f>
        <v>213</v>
      </c>
      <c r="B214">
        <f>INT((A214-1)/2)+1</f>
        <v>107</v>
      </c>
      <c r="C214" t="str">
        <f>IF(MOD(A214-1,2)=0,"FLOOR_PRIMARY","CEIL_NEIGHBOR")</f>
        <v>FLOOR_PRIMARY</v>
      </c>
      <c r="D214" t="str">
        <f>IF(C214="FLOOR_PRIMARY","yes",IF(G214&lt;&gt;0,"yes","no"))</f>
        <v>yes</v>
      </c>
      <c r="E214">
        <f>MAX(0,INT((B214-1)/Constants!$B$2))</f>
        <v>8</v>
      </c>
      <c r="F214">
        <f>INT(B214*E214/Constants!$B$2)</f>
        <v>71</v>
      </c>
      <c r="G214">
        <f>MOD(B214*E214,Constants!$B$2)</f>
        <v>4</v>
      </c>
      <c r="H214">
        <f>B214+F214+IF(C214="CEIL_NEIGHBOR",1,0)</f>
        <v>178</v>
      </c>
      <c r="I214">
        <f>B214+H214</f>
        <v>285</v>
      </c>
      <c r="J214" t="str">
        <f>B214&amp;"p+"&amp;H214&amp;"n+"&amp;B214&amp;"e"</f>
        <v>107p+178n+107e</v>
      </c>
      <c r="K214" t="str">
        <f>(2*B214+H214)&amp;"u+"&amp;(B214+2*H214)&amp;"d+"&amp;B214&amp;"e"</f>
        <v>392u+463d+107e</v>
      </c>
      <c r="L214">
        <f>B214*Constants!$B$11+(H214-B214)*Constants!$B$12</f>
        <v>992.6705729166666666666666666666666666666666666666666666666666666666666666666666666666666666666666667</v>
      </c>
      <c r="M214">
        <f>L214*Constants!$B$5</f>
        <v>7941.364583333333333333333333333333333333333333333333333333333333333333333333333333333333333333333333</v>
      </c>
      <c r="N214">
        <f>L214*7</f>
        <v>6948.694010416666666666666666666666666666666666666666666666666666666666666666666666666666666666666667</v>
      </c>
      <c r="O214" t="str">
        <f>IF(B214&gt;Constants!$B$6-Constants!$B$5,"CONSTANT_FRONTIER_TAIL_CANDIDATE",IF(G214=0,"CONSTANT_STABLE_ANCHOR_LANE",IF(G214=Constants!$B$2/2,"CONSTANT_HALF_WRITE_LANE","CONSTANT_BOUND_LADDER_LANE")))</f>
        <v>CONSTANT_BOUND_LADDER_LANE</v>
      </c>
    </row>
    <row r="215">
      <c r="A215">
        <f>ROW()-1</f>
        <v>214</v>
      </c>
      <c r="B215">
        <f>INT((A215-1)/2)+1</f>
        <v>107</v>
      </c>
      <c r="C215" t="str">
        <f>IF(MOD(A215-1,2)=0,"FLOOR_PRIMARY","CEIL_NEIGHBOR")</f>
        <v>CEIL_NEIGHBOR</v>
      </c>
      <c r="D215" t="str">
        <f>IF(C215="FLOOR_PRIMARY","yes",IF(G215&lt;&gt;0,"yes","no"))</f>
        <v>yes</v>
      </c>
      <c r="E215">
        <f>MAX(0,INT((B215-1)/Constants!$B$2))</f>
        <v>8</v>
      </c>
      <c r="F215">
        <f>INT(B215*E215/Constants!$B$2)</f>
        <v>71</v>
      </c>
      <c r="G215">
        <f>MOD(B215*E215,Constants!$B$2)</f>
        <v>4</v>
      </c>
      <c r="H215">
        <f>B215+F215+IF(C215="CEIL_NEIGHBOR",1,0)</f>
        <v>179</v>
      </c>
      <c r="I215">
        <f>B215+H215</f>
        <v>286</v>
      </c>
      <c r="J215" t="str">
        <f>B215&amp;"p+"&amp;H215&amp;"n+"&amp;B215&amp;"e"</f>
        <v>107p+179n+107e</v>
      </c>
      <c r="K215" t="str">
        <f>(2*B215+H215)&amp;"u+"&amp;(B215+2*H215)&amp;"d+"&amp;B215&amp;"e"</f>
        <v>393u+465d+107e</v>
      </c>
      <c r="L215">
        <f>B215*Constants!$B$11+(H215-B215)*Constants!$B$12</f>
        <v>992.6861979166666666666666666666666666666666666666666666666666666666666666666666666666666666666666667</v>
      </c>
      <c r="M215">
        <f>L215*Constants!$B$5</f>
        <v>7941.489583333333333333333333333333333333333333333333333333333333333333333333333333333333333333333333</v>
      </c>
      <c r="N215">
        <f>L215*7</f>
        <v>6948.803385416666666666666666666666666666666666666666666666666666666666666666666666666666666666666667</v>
      </c>
      <c r="O215" t="str">
        <f>IF(B215&gt;Constants!$B$6-Constants!$B$5,"CONSTANT_FRONTIER_TAIL_CANDIDATE",IF(G215=0,"CONSTANT_STABLE_ANCHOR_LANE",IF(G215=Constants!$B$2/2,"CONSTANT_HALF_WRITE_LANE","CONSTANT_BOUND_LADDER_LANE")))</f>
        <v>CONSTANT_BOUND_LADDER_LANE</v>
      </c>
    </row>
    <row r="216">
      <c r="A216">
        <f>ROW()-1</f>
        <v>215</v>
      </c>
      <c r="B216">
        <f>INT((A216-1)/2)+1</f>
        <v>108</v>
      </c>
      <c r="C216" t="str">
        <f>IF(MOD(A216-1,2)=0,"FLOOR_PRIMARY","CEIL_NEIGHBOR")</f>
        <v>FLOOR_PRIMARY</v>
      </c>
      <c r="D216" t="str">
        <f>IF(C216="FLOOR_PRIMARY","yes",IF(G216&lt;&gt;0,"yes","no"))</f>
        <v>yes</v>
      </c>
      <c r="E216">
        <f>MAX(0,INT((B216-1)/Constants!$B$2))</f>
        <v>8</v>
      </c>
      <c r="F216">
        <f>INT(B216*E216/Constants!$B$2)</f>
        <v>72</v>
      </c>
      <c r="G216">
        <f>MOD(B216*E216,Constants!$B$2)</f>
        <v>0</v>
      </c>
      <c r="H216">
        <f>B216+F216+IF(C216="CEIL_NEIGHBOR",1,0)</f>
        <v>180</v>
      </c>
      <c r="I216">
        <f>B216+H216</f>
        <v>288</v>
      </c>
      <c r="J216" t="str">
        <f>B216&amp;"p+"&amp;H216&amp;"n+"&amp;B216&amp;"e"</f>
        <v>108p+180n+108e</v>
      </c>
      <c r="K216" t="str">
        <f>(2*B216+H216)&amp;"u+"&amp;(B216+2*H216)&amp;"d+"&amp;B216&amp;"e"</f>
        <v>396u+468d+108e</v>
      </c>
      <c r="L216">
        <f>B216*Constants!$B$11+(H216-B216)*Constants!$B$12</f>
        <v>1001.953125</v>
      </c>
      <c r="M216">
        <f>L216*Constants!$B$5</f>
        <v>8015.625</v>
      </c>
      <c r="N216">
        <f>L216*7</f>
        <v>7013.671875</v>
      </c>
      <c r="O216" t="str">
        <f>IF(B216&gt;Constants!$B$6-Constants!$B$5,"CONSTANT_FRONTIER_TAIL_CANDIDATE",IF(G216=0,"CONSTANT_STABLE_ANCHOR_LANE",IF(G216=Constants!$B$2/2,"CONSTANT_HALF_WRITE_LANE","CONSTANT_BOUND_LADDER_LANE")))</f>
        <v>CONSTANT_STABLE_ANCHOR_LANE</v>
      </c>
    </row>
    <row r="217">
      <c r="A217">
        <f>ROW()-1</f>
        <v>216</v>
      </c>
      <c r="B217">
        <f>INT((A217-1)/2)+1</f>
        <v>108</v>
      </c>
      <c r="C217" t="str">
        <f>IF(MOD(A217-1,2)=0,"FLOOR_PRIMARY","CEIL_NEIGHBOR")</f>
        <v>CEIL_NEIGHBOR</v>
      </c>
      <c r="D217" t="str">
        <f>IF(C217="FLOOR_PRIMARY","yes",IF(G217&lt;&gt;0,"yes","no"))</f>
        <v>no</v>
      </c>
      <c r="E217">
        <f>MAX(0,INT((B217-1)/Constants!$B$2))</f>
        <v>8</v>
      </c>
      <c r="F217">
        <f>INT(B217*E217/Constants!$B$2)</f>
        <v>72</v>
      </c>
      <c r="G217">
        <f>MOD(B217*E217,Constants!$B$2)</f>
        <v>0</v>
      </c>
      <c r="H217">
        <f>B217+F217+IF(C217="CEIL_NEIGHBOR",1,0)</f>
        <v>181</v>
      </c>
      <c r="I217">
        <f>B217+H217</f>
        <v>289</v>
      </c>
      <c r="J217" t="str">
        <f>B217&amp;"p+"&amp;H217&amp;"n+"&amp;B217&amp;"e"</f>
        <v>108p+181n+108e</v>
      </c>
      <c r="K217" t="str">
        <f>(2*B217+H217)&amp;"u+"&amp;(B217+2*H217)&amp;"d+"&amp;B217&amp;"e"</f>
        <v>397u+470d+108e</v>
      </c>
      <c r="L217">
        <f>B217*Constants!$B$11+(H217-B217)*Constants!$B$12</f>
        <v>1001.96875</v>
      </c>
      <c r="M217">
        <f>L217*Constants!$B$5</f>
        <v>8015.75</v>
      </c>
      <c r="N217">
        <f>L217*7</f>
        <v>7013.78125</v>
      </c>
      <c r="O217" t="str">
        <f>IF(B217&gt;Constants!$B$6-Constants!$B$5,"CONSTANT_FRONTIER_TAIL_CANDIDATE",IF(G217=0,"CONSTANT_STABLE_ANCHOR_LANE",IF(G217=Constants!$B$2/2,"CONSTANT_HALF_WRITE_LANE","CONSTANT_BOUND_LADDER_LANE")))</f>
        <v>CONSTANT_BOUND_LADDER_LANE</v>
      </c>
    </row>
    <row r="218">
      <c r="A218">
        <f>ROW()-1</f>
        <v>217</v>
      </c>
      <c r="B218">
        <f>INT((A218-1)/2)+1</f>
        <v>109</v>
      </c>
      <c r="C218" t="str">
        <f>IF(MOD(A218-1,2)=0,"FLOOR_PRIMARY","CEIL_NEIGHBOR")</f>
        <v>FLOOR_PRIMARY</v>
      </c>
      <c r="D218" t="str">
        <f>IF(C218="FLOOR_PRIMARY","yes",IF(G218&lt;&gt;0,"yes","no"))</f>
        <v>yes</v>
      </c>
      <c r="E218">
        <f>MAX(0,INT((B218-1)/Constants!$B$2))</f>
        <v>9</v>
      </c>
      <c r="F218">
        <f>INT(B218*E218/Constants!$B$2)</f>
        <v>81</v>
      </c>
      <c r="G218">
        <f>MOD(B218*E218,Constants!$B$2)</f>
        <v>9</v>
      </c>
      <c r="H218">
        <f>B218+F218+IF(C218="CEIL_NEIGHBOR",1,0)</f>
        <v>190</v>
      </c>
      <c r="I218">
        <f>B218+H218</f>
        <v>299</v>
      </c>
      <c r="J218" t="str">
        <f>B218&amp;"p+"&amp;H218&amp;"n+"&amp;B218&amp;"e"</f>
        <v>109p+190n+109e</v>
      </c>
      <c r="K218" t="str">
        <f>(2*B218+H218)&amp;"u+"&amp;(B218+2*H218)&amp;"d+"&amp;B218&amp;"e"</f>
        <v>408u+489d+109e</v>
      </c>
      <c r="L218">
        <f>B218*Constants!$B$11+(H218-B218)*Constants!$B$12</f>
        <v>1011.360677083333333333333333333333333333333333333333333333333333333333333333333333333333333333333333</v>
      </c>
      <c r="M218">
        <f>L218*Constants!$B$5</f>
        <v>8090.885416666666666666666666666666666666666666666666666666666666666666666666666666666666666666666667</v>
      </c>
      <c r="N218">
        <f>L218*7</f>
        <v>7079.524739583333333333333333333333333333333333333333333333333333333333333333333333333333333333333333</v>
      </c>
      <c r="O218" t="str">
        <f>IF(B218&gt;Constants!$B$6-Constants!$B$5,"CONSTANT_FRONTIER_TAIL_CANDIDATE",IF(G218=0,"CONSTANT_STABLE_ANCHOR_LANE",IF(G218=Constants!$B$2/2,"CONSTANT_HALF_WRITE_LANE","CONSTANT_BOUND_LADDER_LANE")))</f>
        <v>CONSTANT_BOUND_LADDER_LANE</v>
      </c>
    </row>
    <row r="219">
      <c r="A219">
        <f>ROW()-1</f>
        <v>218</v>
      </c>
      <c r="B219">
        <f>INT((A219-1)/2)+1</f>
        <v>109</v>
      </c>
      <c r="C219" t="str">
        <f>IF(MOD(A219-1,2)=0,"FLOOR_PRIMARY","CEIL_NEIGHBOR")</f>
        <v>CEIL_NEIGHBOR</v>
      </c>
      <c r="D219" t="str">
        <f>IF(C219="FLOOR_PRIMARY","yes",IF(G219&lt;&gt;0,"yes","no"))</f>
        <v>yes</v>
      </c>
      <c r="E219">
        <f>MAX(0,INT((B219-1)/Constants!$B$2))</f>
        <v>9</v>
      </c>
      <c r="F219">
        <f>INT(B219*E219/Constants!$B$2)</f>
        <v>81</v>
      </c>
      <c r="G219">
        <f>MOD(B219*E219,Constants!$B$2)</f>
        <v>9</v>
      </c>
      <c r="H219">
        <f>B219+F219+IF(C219="CEIL_NEIGHBOR",1,0)</f>
        <v>191</v>
      </c>
      <c r="I219">
        <f>B219+H219</f>
        <v>300</v>
      </c>
      <c r="J219" t="str">
        <f>B219&amp;"p+"&amp;H219&amp;"n+"&amp;B219&amp;"e"</f>
        <v>109p+191n+109e</v>
      </c>
      <c r="K219" t="str">
        <f>(2*B219+H219)&amp;"u+"&amp;(B219+2*H219)&amp;"d+"&amp;B219&amp;"e"</f>
        <v>409u+491d+109e</v>
      </c>
      <c r="L219">
        <f>B219*Constants!$B$11+(H219-B219)*Constants!$B$12</f>
        <v>1011.376302083333333333333333333333333333333333333333333333333333333333333333333333333333333333333333</v>
      </c>
      <c r="M219">
        <f>L219*Constants!$B$5</f>
        <v>8091.010416666666666666666666666666666666666666666666666666666666666666666666666666666666666666666667</v>
      </c>
      <c r="N219">
        <f>L219*7</f>
        <v>7079.634114583333333333333333333333333333333333333333333333333333333333333333333333333333333333333333</v>
      </c>
      <c r="O219" t="str">
        <f>IF(B219&gt;Constants!$B$6-Constants!$B$5,"CONSTANT_FRONTIER_TAIL_CANDIDATE",IF(G219=0,"CONSTANT_STABLE_ANCHOR_LANE",IF(G219=Constants!$B$2/2,"CONSTANT_HALF_WRITE_LANE","CONSTANT_BOUND_LADDER_LANE")))</f>
        <v>CONSTANT_BOUND_LADDER_LANE</v>
      </c>
    </row>
    <row r="220">
      <c r="A220">
        <f>ROW()-1</f>
        <v>219</v>
      </c>
      <c r="B220">
        <f>INT((A220-1)/2)+1</f>
        <v>110</v>
      </c>
      <c r="C220" t="str">
        <f>IF(MOD(A220-1,2)=0,"FLOOR_PRIMARY","CEIL_NEIGHBOR")</f>
        <v>FLOOR_PRIMARY</v>
      </c>
      <c r="D220" t="str">
        <f>IF(C220="FLOOR_PRIMARY","yes",IF(G220&lt;&gt;0,"yes","no"))</f>
        <v>yes</v>
      </c>
      <c r="E220">
        <f>MAX(0,INT((B220-1)/Constants!$B$2))</f>
        <v>9</v>
      </c>
      <c r="F220">
        <f>INT(B220*E220/Constants!$B$2)</f>
        <v>82</v>
      </c>
      <c r="G220">
        <f>MOD(B220*E220,Constants!$B$2)</f>
        <v>6</v>
      </c>
      <c r="H220">
        <f>B220+F220+IF(C220="CEIL_NEIGHBOR",1,0)</f>
        <v>192</v>
      </c>
      <c r="I220">
        <f>B220+H220</f>
        <v>302</v>
      </c>
      <c r="J220" t="str">
        <f>B220&amp;"p+"&amp;H220&amp;"n+"&amp;B220&amp;"e"</f>
        <v>110p+192n+110e</v>
      </c>
      <c r="K220" t="str">
        <f>(2*B220+H220)&amp;"u+"&amp;(B220+2*H220)&amp;"d+"&amp;B220&amp;"e"</f>
        <v>412u+494d+110e</v>
      </c>
      <c r="L220">
        <f>B220*Constants!$B$11+(H220-B220)*Constants!$B$12</f>
        <v>1020.643229166666666666666666666666666666666666666666666666666666666666666666666666666666666666666667</v>
      </c>
      <c r="M220">
        <f>L220*Constants!$B$5</f>
        <v>8165.145833333333333333333333333333333333333333333333333333333333333333333333333333333333333333333333</v>
      </c>
      <c r="N220">
        <f>L220*7</f>
        <v>7144.502604166666666666666666666666666666666666666666666666666666666666666666666666666666666666666667</v>
      </c>
      <c r="O220" t="str">
        <f>IF(B220&gt;Constants!$B$6-Constants!$B$5,"CONSTANT_FRONTIER_TAIL_CANDIDATE",IF(G220=0,"CONSTANT_STABLE_ANCHOR_LANE",IF(G220=Constants!$B$2/2,"CONSTANT_HALF_WRITE_LANE","CONSTANT_BOUND_LADDER_LANE")))</f>
        <v>CONSTANT_HALF_WRITE_LANE</v>
      </c>
    </row>
    <row r="221">
      <c r="A221">
        <f>ROW()-1</f>
        <v>220</v>
      </c>
      <c r="B221">
        <f>INT((A221-1)/2)+1</f>
        <v>110</v>
      </c>
      <c r="C221" t="str">
        <f>IF(MOD(A221-1,2)=0,"FLOOR_PRIMARY","CEIL_NEIGHBOR")</f>
        <v>CEIL_NEIGHBOR</v>
      </c>
      <c r="D221" t="str">
        <f>IF(C221="FLOOR_PRIMARY","yes",IF(G221&lt;&gt;0,"yes","no"))</f>
        <v>yes</v>
      </c>
      <c r="E221">
        <f>MAX(0,INT((B221-1)/Constants!$B$2))</f>
        <v>9</v>
      </c>
      <c r="F221">
        <f>INT(B221*E221/Constants!$B$2)</f>
        <v>82</v>
      </c>
      <c r="G221">
        <f>MOD(B221*E221,Constants!$B$2)</f>
        <v>6</v>
      </c>
      <c r="H221">
        <f>B221+F221+IF(C221="CEIL_NEIGHBOR",1,0)</f>
        <v>193</v>
      </c>
      <c r="I221">
        <f>B221+H221</f>
        <v>303</v>
      </c>
      <c r="J221" t="str">
        <f>B221&amp;"p+"&amp;H221&amp;"n+"&amp;B221&amp;"e"</f>
        <v>110p+193n+110e</v>
      </c>
      <c r="K221" t="str">
        <f>(2*B221+H221)&amp;"u+"&amp;(B221+2*H221)&amp;"d+"&amp;B221&amp;"e"</f>
        <v>413u+496d+110e</v>
      </c>
      <c r="L221">
        <f>B221*Constants!$B$11+(H221-B221)*Constants!$B$12</f>
        <v>1020.658854166666666666666666666666666666666666666666666666666666666666666666666666666666666666666667</v>
      </c>
      <c r="M221">
        <f>L221*Constants!$B$5</f>
        <v>8165.270833333333333333333333333333333333333333333333333333333333333333333333333333333333333333333333</v>
      </c>
      <c r="N221">
        <f>L221*7</f>
        <v>7144.611979166666666666666666666666666666666666666666666666666666666666666666666666666666666666666667</v>
      </c>
      <c r="O221" t="str">
        <f>IF(B221&gt;Constants!$B$6-Constants!$B$5,"CONSTANT_FRONTIER_TAIL_CANDIDATE",IF(G221=0,"CONSTANT_STABLE_ANCHOR_LANE",IF(G221=Constants!$B$2/2,"CONSTANT_HALF_WRITE_LANE","CONSTANT_BOUND_LADDER_LANE")))</f>
        <v>CONSTANT_HALF_WRITE_LANE</v>
      </c>
    </row>
    <row r="222">
      <c r="A222">
        <f>ROW()-1</f>
        <v>221</v>
      </c>
      <c r="B222">
        <f>INT((A222-1)/2)+1</f>
        <v>111</v>
      </c>
      <c r="C222" t="str">
        <f>IF(MOD(A222-1,2)=0,"FLOOR_PRIMARY","CEIL_NEIGHBOR")</f>
        <v>FLOOR_PRIMARY</v>
      </c>
      <c r="D222" t="str">
        <f>IF(C222="FLOOR_PRIMARY","yes",IF(G222&lt;&gt;0,"yes","no"))</f>
        <v>yes</v>
      </c>
      <c r="E222">
        <f>MAX(0,INT((B222-1)/Constants!$B$2))</f>
        <v>9</v>
      </c>
      <c r="F222">
        <f>INT(B222*E222/Constants!$B$2)</f>
        <v>83</v>
      </c>
      <c r="G222">
        <f>MOD(B222*E222,Constants!$B$2)</f>
        <v>3</v>
      </c>
      <c r="H222">
        <f>B222+F222+IF(C222="CEIL_NEIGHBOR",1,0)</f>
        <v>194</v>
      </c>
      <c r="I222">
        <f>B222+H222</f>
        <v>305</v>
      </c>
      <c r="J222" t="str">
        <f>B222&amp;"p+"&amp;H222&amp;"n+"&amp;B222&amp;"e"</f>
        <v>111p+194n+111e</v>
      </c>
      <c r="K222" t="str">
        <f>(2*B222+H222)&amp;"u+"&amp;(B222+2*H222)&amp;"d+"&amp;B222&amp;"e"</f>
        <v>416u+499d+111e</v>
      </c>
      <c r="L222">
        <f>B222*Constants!$B$11+(H222-B222)*Constants!$B$12</f>
        <v>1029.92578125</v>
      </c>
      <c r="M222">
        <f>L222*Constants!$B$5</f>
        <v>8239.40625</v>
      </c>
      <c r="N222">
        <f>L222*7</f>
        <v>7209.48046875</v>
      </c>
      <c r="O222" t="str">
        <f>IF(B222&gt;Constants!$B$6-Constants!$B$5,"CONSTANT_FRONTIER_TAIL_CANDIDATE",IF(G222=0,"CONSTANT_STABLE_ANCHOR_LANE",IF(G222=Constants!$B$2/2,"CONSTANT_HALF_WRITE_LANE","CONSTANT_BOUND_LADDER_LANE")))</f>
        <v>CONSTANT_BOUND_LADDER_LANE</v>
      </c>
    </row>
    <row r="223">
      <c r="A223">
        <f>ROW()-1</f>
        <v>222</v>
      </c>
      <c r="B223">
        <f>INT((A223-1)/2)+1</f>
        <v>111</v>
      </c>
      <c r="C223" t="str">
        <f>IF(MOD(A223-1,2)=0,"FLOOR_PRIMARY","CEIL_NEIGHBOR")</f>
        <v>CEIL_NEIGHBOR</v>
      </c>
      <c r="D223" t="str">
        <f>IF(C223="FLOOR_PRIMARY","yes",IF(G223&lt;&gt;0,"yes","no"))</f>
        <v>yes</v>
      </c>
      <c r="E223">
        <f>MAX(0,INT((B223-1)/Constants!$B$2))</f>
        <v>9</v>
      </c>
      <c r="F223">
        <f>INT(B223*E223/Constants!$B$2)</f>
        <v>83</v>
      </c>
      <c r="G223">
        <f>MOD(B223*E223,Constants!$B$2)</f>
        <v>3</v>
      </c>
      <c r="H223">
        <f>B223+F223+IF(C223="CEIL_NEIGHBOR",1,0)</f>
        <v>195</v>
      </c>
      <c r="I223">
        <f>B223+H223</f>
        <v>306</v>
      </c>
      <c r="J223" t="str">
        <f>B223&amp;"p+"&amp;H223&amp;"n+"&amp;B223&amp;"e"</f>
        <v>111p+195n+111e</v>
      </c>
      <c r="K223" t="str">
        <f>(2*B223+H223)&amp;"u+"&amp;(B223+2*H223)&amp;"d+"&amp;B223&amp;"e"</f>
        <v>417u+501d+111e</v>
      </c>
      <c r="L223">
        <f>B223*Constants!$B$11+(H223-B223)*Constants!$B$12</f>
        <v>1029.94140625</v>
      </c>
      <c r="M223">
        <f>L223*Constants!$B$5</f>
        <v>8239.53125</v>
      </c>
      <c r="N223">
        <f>L223*7</f>
        <v>7209.58984375</v>
      </c>
      <c r="O223" t="str">
        <f>IF(B223&gt;Constants!$B$6-Constants!$B$5,"CONSTANT_FRONTIER_TAIL_CANDIDATE",IF(G223=0,"CONSTANT_STABLE_ANCHOR_LANE",IF(G223=Constants!$B$2/2,"CONSTANT_HALF_WRITE_LANE","CONSTANT_BOUND_LADDER_LANE")))</f>
        <v>CONSTANT_BOUND_LADDER_LANE</v>
      </c>
    </row>
    <row r="224">
      <c r="A224">
        <f>ROW()-1</f>
        <v>223</v>
      </c>
      <c r="B224">
        <f>INT((A224-1)/2)+1</f>
        <v>112</v>
      </c>
      <c r="C224" t="str">
        <f>IF(MOD(A224-1,2)=0,"FLOOR_PRIMARY","CEIL_NEIGHBOR")</f>
        <v>FLOOR_PRIMARY</v>
      </c>
      <c r="D224" t="str">
        <f>IF(C224="FLOOR_PRIMARY","yes",IF(G224&lt;&gt;0,"yes","no"))</f>
        <v>yes</v>
      </c>
      <c r="E224">
        <f>MAX(0,INT((B224-1)/Constants!$B$2))</f>
        <v>9</v>
      </c>
      <c r="F224">
        <f>INT(B224*E224/Constants!$B$2)</f>
        <v>84</v>
      </c>
      <c r="G224">
        <f>MOD(B224*E224,Constants!$B$2)</f>
        <v>0</v>
      </c>
      <c r="H224">
        <f>B224+F224+IF(C224="CEIL_NEIGHBOR",1,0)</f>
        <v>196</v>
      </c>
      <c r="I224">
        <f>B224+H224</f>
        <v>308</v>
      </c>
      <c r="J224" t="str">
        <f>B224&amp;"p+"&amp;H224&amp;"n+"&amp;B224&amp;"e"</f>
        <v>112p+196n+112e</v>
      </c>
      <c r="K224" t="str">
        <f>(2*B224+H224)&amp;"u+"&amp;(B224+2*H224)&amp;"d+"&amp;B224&amp;"e"</f>
        <v>420u+504d+112e</v>
      </c>
      <c r="L224">
        <f>B224*Constants!$B$11+(H224-B224)*Constants!$B$12</f>
        <v>1039.208333333333333333333333333333333333333333333333333333333333333333333333333333333333333333333333</v>
      </c>
      <c r="M224">
        <f>L224*Constants!$B$5</f>
        <v>8313.666666666666666666666666666666666666666666666666666666666666666666666666666666666666666666666667</v>
      </c>
      <c r="N224">
        <f>L224*7</f>
        <v>7274.458333333333333333333333333333333333333333333333333333333333333333333333333333333333333333333333</v>
      </c>
      <c r="O224" t="str">
        <f>IF(B224&gt;Constants!$B$6-Constants!$B$5,"CONSTANT_FRONTIER_TAIL_CANDIDATE",IF(G224=0,"CONSTANT_STABLE_ANCHOR_LANE",IF(G224=Constants!$B$2/2,"CONSTANT_HALF_WRITE_LANE","CONSTANT_BOUND_LADDER_LANE")))</f>
        <v>CONSTANT_STABLE_ANCHOR_LANE</v>
      </c>
    </row>
    <row r="225">
      <c r="A225">
        <f>ROW()-1</f>
        <v>224</v>
      </c>
      <c r="B225">
        <f>INT((A225-1)/2)+1</f>
        <v>112</v>
      </c>
      <c r="C225" t="str">
        <f>IF(MOD(A225-1,2)=0,"FLOOR_PRIMARY","CEIL_NEIGHBOR")</f>
        <v>CEIL_NEIGHBOR</v>
      </c>
      <c r="D225" t="str">
        <f>IF(C225="FLOOR_PRIMARY","yes",IF(G225&lt;&gt;0,"yes","no"))</f>
        <v>no</v>
      </c>
      <c r="E225">
        <f>MAX(0,INT((B225-1)/Constants!$B$2))</f>
        <v>9</v>
      </c>
      <c r="F225">
        <f>INT(B225*E225/Constants!$B$2)</f>
        <v>84</v>
      </c>
      <c r="G225">
        <f>MOD(B225*E225,Constants!$B$2)</f>
        <v>0</v>
      </c>
      <c r="H225">
        <f>B225+F225+IF(C225="CEIL_NEIGHBOR",1,0)</f>
        <v>197</v>
      </c>
      <c r="I225">
        <f>B225+H225</f>
        <v>309</v>
      </c>
      <c r="J225" t="str">
        <f>B225&amp;"p+"&amp;H225&amp;"n+"&amp;B225&amp;"e"</f>
        <v>112p+197n+112e</v>
      </c>
      <c r="K225" t="str">
        <f>(2*B225+H225)&amp;"u+"&amp;(B225+2*H225)&amp;"d+"&amp;B225&amp;"e"</f>
        <v>421u+506d+112e</v>
      </c>
      <c r="L225">
        <f>B225*Constants!$B$11+(H225-B225)*Constants!$B$12</f>
        <v>1039.223958333333333333333333333333333333333333333333333333333333333333333333333333333333333333333333</v>
      </c>
      <c r="M225">
        <f>L225*Constants!$B$5</f>
        <v>8313.791666666666666666666666666666666666666666666666666666666666666666666666666666666666666666666667</v>
      </c>
      <c r="N225">
        <f>L225*7</f>
        <v>7274.567708333333333333333333333333333333333333333333333333333333333333333333333333333333333333333333</v>
      </c>
      <c r="O225" t="str">
        <f>IF(B225&gt;Constants!$B$6-Constants!$B$5,"CONSTANT_FRONTIER_TAIL_CANDIDATE",IF(G225=0,"CONSTANT_STABLE_ANCHOR_LANE",IF(G225=Constants!$B$2/2,"CONSTANT_HALF_WRITE_LANE","CONSTANT_BOUND_LADDER_LANE")))</f>
        <v>CONSTANT_BOUND_LADDER_LANE</v>
      </c>
    </row>
    <row r="226">
      <c r="A226">
        <f>ROW()-1</f>
        <v>225</v>
      </c>
      <c r="B226">
        <f>INT((A226-1)/2)+1</f>
        <v>113</v>
      </c>
      <c r="C226" t="str">
        <f>IF(MOD(A226-1,2)=0,"FLOOR_PRIMARY","CEIL_NEIGHBOR")</f>
        <v>FLOOR_PRIMARY</v>
      </c>
      <c r="D226" t="str">
        <f>IF(C226="FLOOR_PRIMARY","yes",IF(G226&lt;&gt;0,"yes","no"))</f>
        <v>yes</v>
      </c>
      <c r="E226">
        <f>MAX(0,INT((B226-1)/Constants!$B$2))</f>
        <v>9</v>
      </c>
      <c r="F226">
        <f>INT(B226*E226/Constants!$B$2)</f>
        <v>84</v>
      </c>
      <c r="G226">
        <f>MOD(B226*E226,Constants!$B$2)</f>
        <v>9</v>
      </c>
      <c r="H226">
        <f>B226+F226+IF(C226="CEIL_NEIGHBOR",1,0)</f>
        <v>197</v>
      </c>
      <c r="I226">
        <f>B226+H226</f>
        <v>310</v>
      </c>
      <c r="J226" t="str">
        <f>B226&amp;"p+"&amp;H226&amp;"n+"&amp;B226&amp;"e"</f>
        <v>113p+197n+113e</v>
      </c>
      <c r="K226" t="str">
        <f>(2*B226+H226)&amp;"u+"&amp;(B226+2*H226)&amp;"d+"&amp;B226&amp;"e"</f>
        <v>423u+507d+113e</v>
      </c>
      <c r="L226">
        <f>B226*Constants!$B$11+(H226-B226)*Constants!$B$12</f>
        <v>1048.475260416666666666666666666666666666666666666666666666666666666666666666666666666666666666666667</v>
      </c>
      <c r="M226">
        <f>L226*Constants!$B$5</f>
        <v>8387.802083333333333333333333333333333333333333333333333333333333333333333333333333333333333333333333</v>
      </c>
      <c r="N226">
        <f>L226*7</f>
        <v>7339.326822916666666666666666666666666666666666666666666666666666666666666666666666666666666666666667</v>
      </c>
      <c r="O226" t="str">
        <f>IF(B226&gt;Constants!$B$6-Constants!$B$5,"CONSTANT_FRONTIER_TAIL_CANDIDATE",IF(G226=0,"CONSTANT_STABLE_ANCHOR_LANE",IF(G226=Constants!$B$2/2,"CONSTANT_HALF_WRITE_LANE","CONSTANT_BOUND_LADDER_LANE")))</f>
        <v>CONSTANT_BOUND_LADDER_LANE</v>
      </c>
    </row>
    <row r="227">
      <c r="A227">
        <f>ROW()-1</f>
        <v>226</v>
      </c>
      <c r="B227">
        <f>INT((A227-1)/2)+1</f>
        <v>113</v>
      </c>
      <c r="C227" t="str">
        <f>IF(MOD(A227-1,2)=0,"FLOOR_PRIMARY","CEIL_NEIGHBOR")</f>
        <v>CEIL_NEIGHBOR</v>
      </c>
      <c r="D227" t="str">
        <f>IF(C227="FLOOR_PRIMARY","yes",IF(G227&lt;&gt;0,"yes","no"))</f>
        <v>yes</v>
      </c>
      <c r="E227">
        <f>MAX(0,INT((B227-1)/Constants!$B$2))</f>
        <v>9</v>
      </c>
      <c r="F227">
        <f>INT(B227*E227/Constants!$B$2)</f>
        <v>84</v>
      </c>
      <c r="G227">
        <f>MOD(B227*E227,Constants!$B$2)</f>
        <v>9</v>
      </c>
      <c r="H227">
        <f>B227+F227+IF(C227="CEIL_NEIGHBOR",1,0)</f>
        <v>198</v>
      </c>
      <c r="I227">
        <f>B227+H227</f>
        <v>311</v>
      </c>
      <c r="J227" t="str">
        <f>B227&amp;"p+"&amp;H227&amp;"n+"&amp;B227&amp;"e"</f>
        <v>113p+198n+113e</v>
      </c>
      <c r="K227" t="str">
        <f>(2*B227+H227)&amp;"u+"&amp;(B227+2*H227)&amp;"d+"&amp;B227&amp;"e"</f>
        <v>424u+509d+113e</v>
      </c>
      <c r="L227">
        <f>B227*Constants!$B$11+(H227-B227)*Constants!$B$12</f>
        <v>1048.490885416666666666666666666666666666666666666666666666666666666666666666666666666666666666666667</v>
      </c>
      <c r="M227">
        <f>L227*Constants!$B$5</f>
        <v>8387.927083333333333333333333333333333333333333333333333333333333333333333333333333333333333333333333</v>
      </c>
      <c r="N227">
        <f>L227*7</f>
        <v>7339.436197916666666666666666666666666666666666666666666666666666666666666666666666666666666666666667</v>
      </c>
      <c r="O227" t="str">
        <f>IF(B227&gt;Constants!$B$6-Constants!$B$5,"CONSTANT_FRONTIER_TAIL_CANDIDATE",IF(G227=0,"CONSTANT_STABLE_ANCHOR_LANE",IF(G227=Constants!$B$2/2,"CONSTANT_HALF_WRITE_LANE","CONSTANT_BOUND_LADDER_LANE")))</f>
        <v>CONSTANT_BOUND_LADDER_LANE</v>
      </c>
    </row>
    <row r="228">
      <c r="A228">
        <f>ROW()-1</f>
        <v>227</v>
      </c>
      <c r="B228">
        <f>INT((A228-1)/2)+1</f>
        <v>114</v>
      </c>
      <c r="C228" t="str">
        <f>IF(MOD(A228-1,2)=0,"FLOOR_PRIMARY","CEIL_NEIGHBOR")</f>
        <v>FLOOR_PRIMARY</v>
      </c>
      <c r="D228" t="str">
        <f>IF(C228="FLOOR_PRIMARY","yes",IF(G228&lt;&gt;0,"yes","no"))</f>
        <v>yes</v>
      </c>
      <c r="E228">
        <f>MAX(0,INT((B228-1)/Constants!$B$2))</f>
        <v>9</v>
      </c>
      <c r="F228">
        <f>INT(B228*E228/Constants!$B$2)</f>
        <v>85</v>
      </c>
      <c r="G228">
        <f>MOD(B228*E228,Constants!$B$2)</f>
        <v>6</v>
      </c>
      <c r="H228">
        <f>B228+F228+IF(C228="CEIL_NEIGHBOR",1,0)</f>
        <v>199</v>
      </c>
      <c r="I228">
        <f>B228+H228</f>
        <v>313</v>
      </c>
      <c r="J228" t="str">
        <f>B228&amp;"p+"&amp;H228&amp;"n+"&amp;B228&amp;"e"</f>
        <v>114p+199n+114e</v>
      </c>
      <c r="K228" t="str">
        <f>(2*B228+H228)&amp;"u+"&amp;(B228+2*H228)&amp;"d+"&amp;B228&amp;"e"</f>
        <v>427u+512d+114e</v>
      </c>
      <c r="L228">
        <f>B228*Constants!$B$11+(H228-B228)*Constants!$B$12</f>
        <v>1057.7578125</v>
      </c>
      <c r="M228">
        <f>L228*Constants!$B$5</f>
        <v>8462.0625</v>
      </c>
      <c r="N228">
        <f>L228*7</f>
        <v>7404.3046875</v>
      </c>
      <c r="O228" t="str">
        <f>IF(B228&gt;Constants!$B$6-Constants!$B$5,"CONSTANT_FRONTIER_TAIL_CANDIDATE",IF(G228=0,"CONSTANT_STABLE_ANCHOR_LANE",IF(G228=Constants!$B$2/2,"CONSTANT_HALF_WRITE_LANE","CONSTANT_BOUND_LADDER_LANE")))</f>
        <v>CONSTANT_HALF_WRITE_LANE</v>
      </c>
    </row>
    <row r="229">
      <c r="A229">
        <f>ROW()-1</f>
        <v>228</v>
      </c>
      <c r="B229">
        <f>INT((A229-1)/2)+1</f>
        <v>114</v>
      </c>
      <c r="C229" t="str">
        <f>IF(MOD(A229-1,2)=0,"FLOOR_PRIMARY","CEIL_NEIGHBOR")</f>
        <v>CEIL_NEIGHBOR</v>
      </c>
      <c r="D229" t="str">
        <f>IF(C229="FLOOR_PRIMARY","yes",IF(G229&lt;&gt;0,"yes","no"))</f>
        <v>yes</v>
      </c>
      <c r="E229">
        <f>MAX(0,INT((B229-1)/Constants!$B$2))</f>
        <v>9</v>
      </c>
      <c r="F229">
        <f>INT(B229*E229/Constants!$B$2)</f>
        <v>85</v>
      </c>
      <c r="G229">
        <f>MOD(B229*E229,Constants!$B$2)</f>
        <v>6</v>
      </c>
      <c r="H229">
        <f>B229+F229+IF(C229="CEIL_NEIGHBOR",1,0)</f>
        <v>200</v>
      </c>
      <c r="I229">
        <f>B229+H229</f>
        <v>314</v>
      </c>
      <c r="J229" t="str">
        <f>B229&amp;"p+"&amp;H229&amp;"n+"&amp;B229&amp;"e"</f>
        <v>114p+200n+114e</v>
      </c>
      <c r="K229" t="str">
        <f>(2*B229+H229)&amp;"u+"&amp;(B229+2*H229)&amp;"d+"&amp;B229&amp;"e"</f>
        <v>428u+514d+114e</v>
      </c>
      <c r="L229">
        <f>B229*Constants!$B$11+(H229-B229)*Constants!$B$12</f>
        <v>1057.7734375</v>
      </c>
      <c r="M229">
        <f>L229*Constants!$B$5</f>
        <v>8462.1875</v>
      </c>
      <c r="N229">
        <f>L229*7</f>
        <v>7404.4140625</v>
      </c>
      <c r="O229" t="str">
        <f>IF(B229&gt;Constants!$B$6-Constants!$B$5,"CONSTANT_FRONTIER_TAIL_CANDIDATE",IF(G229=0,"CONSTANT_STABLE_ANCHOR_LANE",IF(G229=Constants!$B$2/2,"CONSTANT_HALF_WRITE_LANE","CONSTANT_BOUND_LADDER_LANE")))</f>
        <v>CONSTANT_HALF_WRITE_LANE</v>
      </c>
    </row>
    <row r="230">
      <c r="A230">
        <f>ROW()-1</f>
        <v>229</v>
      </c>
      <c r="B230">
        <f>INT((A230-1)/2)+1</f>
        <v>115</v>
      </c>
      <c r="C230" t="str">
        <f>IF(MOD(A230-1,2)=0,"FLOOR_PRIMARY","CEIL_NEIGHBOR")</f>
        <v>FLOOR_PRIMARY</v>
      </c>
      <c r="D230" t="str">
        <f>IF(C230="FLOOR_PRIMARY","yes",IF(G230&lt;&gt;0,"yes","no"))</f>
        <v>yes</v>
      </c>
      <c r="E230">
        <f>MAX(0,INT((B230-1)/Constants!$B$2))</f>
        <v>9</v>
      </c>
      <c r="F230">
        <f>INT(B230*E230/Constants!$B$2)</f>
        <v>86</v>
      </c>
      <c r="G230">
        <f>MOD(B230*E230,Constants!$B$2)</f>
        <v>3</v>
      </c>
      <c r="H230">
        <f>B230+F230+IF(C230="CEIL_NEIGHBOR",1,0)</f>
        <v>201</v>
      </c>
      <c r="I230">
        <f>B230+H230</f>
        <v>316</v>
      </c>
      <c r="J230" t="str">
        <f>B230&amp;"p+"&amp;H230&amp;"n+"&amp;B230&amp;"e"</f>
        <v>115p+201n+115e</v>
      </c>
      <c r="K230" t="str">
        <f>(2*B230+H230)&amp;"u+"&amp;(B230+2*H230)&amp;"d+"&amp;B230&amp;"e"</f>
        <v>431u+517d+115e</v>
      </c>
      <c r="L230">
        <f>B230*Constants!$B$11+(H230-B230)*Constants!$B$12</f>
        <v>1067.040364583333333333333333333333333333333333333333333333333333333333333333333333333333333333333333</v>
      </c>
      <c r="M230">
        <f>L230*Constants!$B$5</f>
        <v>8536.322916666666666666666666666666666666666666666666666666666666666666666666666666666666666666666667</v>
      </c>
      <c r="N230">
        <f>L230*7</f>
        <v>7469.282552083333333333333333333333333333333333333333333333333333333333333333333333333333333333333333</v>
      </c>
      <c r="O230" t="str">
        <f>IF(B230&gt;Constants!$B$6-Constants!$B$5,"CONSTANT_FRONTIER_TAIL_CANDIDATE",IF(G230=0,"CONSTANT_STABLE_ANCHOR_LANE",IF(G230=Constants!$B$2/2,"CONSTANT_HALF_WRITE_LANE","CONSTANT_BOUND_LADDER_LANE")))</f>
        <v>CONSTANT_BOUND_LADDER_LANE</v>
      </c>
    </row>
    <row r="231">
      <c r="A231">
        <f>ROW()-1</f>
        <v>230</v>
      </c>
      <c r="B231">
        <f>INT((A231-1)/2)+1</f>
        <v>115</v>
      </c>
      <c r="C231" t="str">
        <f>IF(MOD(A231-1,2)=0,"FLOOR_PRIMARY","CEIL_NEIGHBOR")</f>
        <v>CEIL_NEIGHBOR</v>
      </c>
      <c r="D231" t="str">
        <f>IF(C231="FLOOR_PRIMARY","yes",IF(G231&lt;&gt;0,"yes","no"))</f>
        <v>yes</v>
      </c>
      <c r="E231">
        <f>MAX(0,INT((B231-1)/Constants!$B$2))</f>
        <v>9</v>
      </c>
      <c r="F231">
        <f>INT(B231*E231/Constants!$B$2)</f>
        <v>86</v>
      </c>
      <c r="G231">
        <f>MOD(B231*E231,Constants!$B$2)</f>
        <v>3</v>
      </c>
      <c r="H231">
        <f>B231+F231+IF(C231="CEIL_NEIGHBOR",1,0)</f>
        <v>202</v>
      </c>
      <c r="I231">
        <f>B231+H231</f>
        <v>317</v>
      </c>
      <c r="J231" t="str">
        <f>B231&amp;"p+"&amp;H231&amp;"n+"&amp;B231&amp;"e"</f>
        <v>115p+202n+115e</v>
      </c>
      <c r="K231" t="str">
        <f>(2*B231+H231)&amp;"u+"&amp;(B231+2*H231)&amp;"d+"&amp;B231&amp;"e"</f>
        <v>432u+519d+115e</v>
      </c>
      <c r="L231">
        <f>B231*Constants!$B$11+(H231-B231)*Constants!$B$12</f>
        <v>1067.055989583333333333333333333333333333333333333333333333333333333333333333333333333333333333333333</v>
      </c>
      <c r="M231">
        <f>L231*Constants!$B$5</f>
        <v>8536.447916666666666666666666666666666666666666666666666666666666666666666666666666666666666666666667</v>
      </c>
      <c r="N231">
        <f>L231*7</f>
        <v>7469.391927083333333333333333333333333333333333333333333333333333333333333333333333333333333333333333</v>
      </c>
      <c r="O231" t="str">
        <f>IF(B231&gt;Constants!$B$6-Constants!$B$5,"CONSTANT_FRONTIER_TAIL_CANDIDATE",IF(G231=0,"CONSTANT_STABLE_ANCHOR_LANE",IF(G231=Constants!$B$2/2,"CONSTANT_HALF_WRITE_LANE","CONSTANT_BOUND_LADDER_LANE")))</f>
        <v>CONSTANT_BOUND_LADDER_LANE</v>
      </c>
    </row>
    <row r="232">
      <c r="A232">
        <f>ROW()-1</f>
        <v>231</v>
      </c>
      <c r="B232">
        <f>INT((A232-1)/2)+1</f>
        <v>116</v>
      </c>
      <c r="C232" t="str">
        <f>IF(MOD(A232-1,2)=0,"FLOOR_PRIMARY","CEIL_NEIGHBOR")</f>
        <v>FLOOR_PRIMARY</v>
      </c>
      <c r="D232" t="str">
        <f>IF(C232="FLOOR_PRIMARY","yes",IF(G232&lt;&gt;0,"yes","no"))</f>
        <v>yes</v>
      </c>
      <c r="E232">
        <f>MAX(0,INT((B232-1)/Constants!$B$2))</f>
        <v>9</v>
      </c>
      <c r="F232">
        <f>INT(B232*E232/Constants!$B$2)</f>
        <v>87</v>
      </c>
      <c r="G232">
        <f>MOD(B232*E232,Constants!$B$2)</f>
        <v>0</v>
      </c>
      <c r="H232">
        <f>B232+F232+IF(C232="CEIL_NEIGHBOR",1,0)</f>
        <v>203</v>
      </c>
      <c r="I232">
        <f>B232+H232</f>
        <v>319</v>
      </c>
      <c r="J232" t="str">
        <f>B232&amp;"p+"&amp;H232&amp;"n+"&amp;B232&amp;"e"</f>
        <v>116p+203n+116e</v>
      </c>
      <c r="K232" t="str">
        <f>(2*B232+H232)&amp;"u+"&amp;(B232+2*H232)&amp;"d+"&amp;B232&amp;"e"</f>
        <v>435u+522d+116e</v>
      </c>
      <c r="L232">
        <f>B232*Constants!$B$11+(H232-B232)*Constants!$B$12</f>
        <v>1076.322916666666666666666666666666666666666666666666666666666666666666666666666666666666666666666667</v>
      </c>
      <c r="M232">
        <f>L232*Constants!$B$5</f>
        <v>8610.583333333333333333333333333333333333333333333333333333333333333333333333333333333333333333333333</v>
      </c>
      <c r="N232">
        <f>L232*7</f>
        <v>7534.260416666666666666666666666666666666666666666666666666666666666666666666666666666666666666666667</v>
      </c>
      <c r="O232" t="str">
        <f>IF(B232&gt;Constants!$B$6-Constants!$B$5,"CONSTANT_FRONTIER_TAIL_CANDIDATE",IF(G232=0,"CONSTANT_STABLE_ANCHOR_LANE",IF(G232=Constants!$B$2/2,"CONSTANT_HALF_WRITE_LANE","CONSTANT_BOUND_LADDER_LANE")))</f>
        <v>CONSTANT_STABLE_ANCHOR_LANE</v>
      </c>
    </row>
    <row r="233">
      <c r="A233">
        <f>ROW()-1</f>
        <v>232</v>
      </c>
      <c r="B233">
        <f>INT((A233-1)/2)+1</f>
        <v>116</v>
      </c>
      <c r="C233" t="str">
        <f>IF(MOD(A233-1,2)=0,"FLOOR_PRIMARY","CEIL_NEIGHBOR")</f>
        <v>CEIL_NEIGHBOR</v>
      </c>
      <c r="D233" t="str">
        <f>IF(C233="FLOOR_PRIMARY","yes",IF(G233&lt;&gt;0,"yes","no"))</f>
        <v>no</v>
      </c>
      <c r="E233">
        <f>MAX(0,INT((B233-1)/Constants!$B$2))</f>
        <v>9</v>
      </c>
      <c r="F233">
        <f>INT(B233*E233/Constants!$B$2)</f>
        <v>87</v>
      </c>
      <c r="G233">
        <f>MOD(B233*E233,Constants!$B$2)</f>
        <v>0</v>
      </c>
      <c r="H233">
        <f>B233+F233+IF(C233="CEIL_NEIGHBOR",1,0)</f>
        <v>204</v>
      </c>
      <c r="I233">
        <f>B233+H233</f>
        <v>320</v>
      </c>
      <c r="J233" t="str">
        <f>B233&amp;"p+"&amp;H233&amp;"n+"&amp;B233&amp;"e"</f>
        <v>116p+204n+116e</v>
      </c>
      <c r="K233" t="str">
        <f>(2*B233+H233)&amp;"u+"&amp;(B233+2*H233)&amp;"d+"&amp;B233&amp;"e"</f>
        <v>436u+524d+116e</v>
      </c>
      <c r="L233">
        <f>B233*Constants!$B$11+(H233-B233)*Constants!$B$12</f>
        <v>1076.338541666666666666666666666666666666666666666666666666666666666666666666666666666666666666666667</v>
      </c>
      <c r="M233">
        <f>L233*Constants!$B$5</f>
        <v>8610.708333333333333333333333333333333333333333333333333333333333333333333333333333333333333333333333</v>
      </c>
      <c r="N233">
        <f>L233*7</f>
        <v>7534.369791666666666666666666666666666666666666666666666666666666666666666666666666666666666666666667</v>
      </c>
      <c r="O233" t="str">
        <f>IF(B233&gt;Constants!$B$6-Constants!$B$5,"CONSTANT_FRONTIER_TAIL_CANDIDATE",IF(G233=0,"CONSTANT_STABLE_ANCHOR_LANE",IF(G233=Constants!$B$2/2,"CONSTANT_HALF_WRITE_LANE","CONSTANT_BOUND_LADDER_LANE")))</f>
        <v>CONSTANT_BOUND_LADDER_LANE</v>
      </c>
    </row>
    <row r="234">
      <c r="A234">
        <f>ROW()-1</f>
        <v>233</v>
      </c>
      <c r="B234">
        <f>INT((A234-1)/2)+1</f>
        <v>117</v>
      </c>
      <c r="C234" t="str">
        <f>IF(MOD(A234-1,2)=0,"FLOOR_PRIMARY","CEIL_NEIGHBOR")</f>
        <v>FLOOR_PRIMARY</v>
      </c>
      <c r="D234" t="str">
        <f>IF(C234="FLOOR_PRIMARY","yes",IF(G234&lt;&gt;0,"yes","no"))</f>
        <v>yes</v>
      </c>
      <c r="E234">
        <f>MAX(0,INT((B234-1)/Constants!$B$2))</f>
        <v>9</v>
      </c>
      <c r="F234">
        <f>INT(B234*E234/Constants!$B$2)</f>
        <v>87</v>
      </c>
      <c r="G234">
        <f>MOD(B234*E234,Constants!$B$2)</f>
        <v>9</v>
      </c>
      <c r="H234">
        <f>B234+F234+IF(C234="CEIL_NEIGHBOR",1,0)</f>
        <v>204</v>
      </c>
      <c r="I234">
        <f>B234+H234</f>
        <v>321</v>
      </c>
      <c r="J234" t="str">
        <f>B234&amp;"p+"&amp;H234&amp;"n+"&amp;B234&amp;"e"</f>
        <v>117p+204n+117e</v>
      </c>
      <c r="K234" t="str">
        <f>(2*B234+H234)&amp;"u+"&amp;(B234+2*H234)&amp;"d+"&amp;B234&amp;"e"</f>
        <v>438u+525d+117e</v>
      </c>
      <c r="L234">
        <f>B234*Constants!$B$11+(H234-B234)*Constants!$B$12</f>
        <v>1085.58984375</v>
      </c>
      <c r="M234">
        <f>L234*Constants!$B$5</f>
        <v>8684.71875</v>
      </c>
      <c r="N234">
        <f>L234*7</f>
        <v>7599.12890625</v>
      </c>
      <c r="O234" t="str">
        <f>IF(B234&gt;Constants!$B$6-Constants!$B$5,"CONSTANT_FRONTIER_TAIL_CANDIDATE",IF(G234=0,"CONSTANT_STABLE_ANCHOR_LANE",IF(G234=Constants!$B$2/2,"CONSTANT_HALF_WRITE_LANE","CONSTANT_BOUND_LADDER_LANE")))</f>
        <v>CONSTANT_BOUND_LADDER_LANE</v>
      </c>
    </row>
    <row r="235">
      <c r="A235">
        <f>ROW()-1</f>
        <v>234</v>
      </c>
      <c r="B235">
        <f>INT((A235-1)/2)+1</f>
        <v>117</v>
      </c>
      <c r="C235" t="str">
        <f>IF(MOD(A235-1,2)=0,"FLOOR_PRIMARY","CEIL_NEIGHBOR")</f>
        <v>CEIL_NEIGHBOR</v>
      </c>
      <c r="D235" t="str">
        <f>IF(C235="FLOOR_PRIMARY","yes",IF(G235&lt;&gt;0,"yes","no"))</f>
        <v>yes</v>
      </c>
      <c r="E235">
        <f>MAX(0,INT((B235-1)/Constants!$B$2))</f>
        <v>9</v>
      </c>
      <c r="F235">
        <f>INT(B235*E235/Constants!$B$2)</f>
        <v>87</v>
      </c>
      <c r="G235">
        <f>MOD(B235*E235,Constants!$B$2)</f>
        <v>9</v>
      </c>
      <c r="H235">
        <f>B235+F235+IF(C235="CEIL_NEIGHBOR",1,0)</f>
        <v>205</v>
      </c>
      <c r="I235">
        <f>B235+H235</f>
        <v>322</v>
      </c>
      <c r="J235" t="str">
        <f>B235&amp;"p+"&amp;H235&amp;"n+"&amp;B235&amp;"e"</f>
        <v>117p+205n+117e</v>
      </c>
      <c r="K235" t="str">
        <f>(2*B235+H235)&amp;"u+"&amp;(B235+2*H235)&amp;"d+"&amp;B235&amp;"e"</f>
        <v>439u+527d+117e</v>
      </c>
      <c r="L235">
        <f>B235*Constants!$B$11+(H235-B235)*Constants!$B$12</f>
        <v>1085.60546875</v>
      </c>
      <c r="M235">
        <f>L235*Constants!$B$5</f>
        <v>8684.84375</v>
      </c>
      <c r="N235">
        <f>L235*7</f>
        <v>7599.23828125</v>
      </c>
      <c r="O235" t="str">
        <f>IF(B235&gt;Constants!$B$6-Constants!$B$5,"CONSTANT_FRONTIER_TAIL_CANDIDATE",IF(G235=0,"CONSTANT_STABLE_ANCHOR_LANE",IF(G235=Constants!$B$2/2,"CONSTANT_HALF_WRITE_LANE","CONSTANT_BOUND_LADDER_LANE")))</f>
        <v>CONSTANT_BOUND_LADDER_LANE</v>
      </c>
    </row>
    <row r="236">
      <c r="A236">
        <f>ROW()-1</f>
        <v>235</v>
      </c>
      <c r="B236">
        <f>INT((A236-1)/2)+1</f>
        <v>118</v>
      </c>
      <c r="C236" t="str">
        <f>IF(MOD(A236-1,2)=0,"FLOOR_PRIMARY","CEIL_NEIGHBOR")</f>
        <v>FLOOR_PRIMARY</v>
      </c>
      <c r="D236" t="str">
        <f>IF(C236="FLOOR_PRIMARY","yes",IF(G236&lt;&gt;0,"yes","no"))</f>
        <v>yes</v>
      </c>
      <c r="E236">
        <f>MAX(0,INT((B236-1)/Constants!$B$2))</f>
        <v>9</v>
      </c>
      <c r="F236">
        <f>INT(B236*E236/Constants!$B$2)</f>
        <v>88</v>
      </c>
      <c r="G236">
        <f>MOD(B236*E236,Constants!$B$2)</f>
        <v>6</v>
      </c>
      <c r="H236">
        <f>B236+F236+IF(C236="CEIL_NEIGHBOR",1,0)</f>
        <v>206</v>
      </c>
      <c r="I236">
        <f>B236+H236</f>
        <v>324</v>
      </c>
      <c r="J236" t="str">
        <f>B236&amp;"p+"&amp;H236&amp;"n+"&amp;B236&amp;"e"</f>
        <v>118p+206n+118e</v>
      </c>
      <c r="K236" t="str">
        <f>(2*B236+H236)&amp;"u+"&amp;(B236+2*H236)&amp;"d+"&amp;B236&amp;"e"</f>
        <v>442u+530d+118e</v>
      </c>
      <c r="L236">
        <f>B236*Constants!$B$11+(H236-B236)*Constants!$B$12</f>
        <v>1094.872395833333333333333333333333333333333333333333333333333333333333333333333333333333333333333333</v>
      </c>
      <c r="M236">
        <f>L236*Constants!$B$5</f>
        <v>8758.979166666666666666666666666666666666666666666666666666666666666666666666666666666666666666666667</v>
      </c>
      <c r="N236">
        <f>L236*7</f>
        <v>7664.106770833333333333333333333333333333333333333333333333333333333333333333333333333333333333333333</v>
      </c>
      <c r="O236" t="str">
        <f>IF(B236&gt;Constants!$B$6-Constants!$B$5,"CONSTANT_FRONTIER_TAIL_CANDIDATE",IF(G236=0,"CONSTANT_STABLE_ANCHOR_LANE",IF(G236=Constants!$B$2/2,"CONSTANT_HALF_WRITE_LANE","CONSTANT_BOUND_LADDER_LANE")))</f>
        <v>CONSTANT_HALF_WRITE_LANE</v>
      </c>
    </row>
    <row r="237">
      <c r="A237">
        <f>ROW()-1</f>
        <v>236</v>
      </c>
      <c r="B237">
        <f>INT((A237-1)/2)+1</f>
        <v>118</v>
      </c>
      <c r="C237" t="str">
        <f>IF(MOD(A237-1,2)=0,"FLOOR_PRIMARY","CEIL_NEIGHBOR")</f>
        <v>CEIL_NEIGHBOR</v>
      </c>
      <c r="D237" t="str">
        <f>IF(C237="FLOOR_PRIMARY","yes",IF(G237&lt;&gt;0,"yes","no"))</f>
        <v>yes</v>
      </c>
      <c r="E237">
        <f>MAX(0,INT((B237-1)/Constants!$B$2))</f>
        <v>9</v>
      </c>
      <c r="F237">
        <f>INT(B237*E237/Constants!$B$2)</f>
        <v>88</v>
      </c>
      <c r="G237">
        <f>MOD(B237*E237,Constants!$B$2)</f>
        <v>6</v>
      </c>
      <c r="H237">
        <f>B237+F237+IF(C237="CEIL_NEIGHBOR",1,0)</f>
        <v>207</v>
      </c>
      <c r="I237">
        <f>B237+H237</f>
        <v>325</v>
      </c>
      <c r="J237" t="str">
        <f>B237&amp;"p+"&amp;H237&amp;"n+"&amp;B237&amp;"e"</f>
        <v>118p+207n+118e</v>
      </c>
      <c r="K237" t="str">
        <f>(2*B237+H237)&amp;"u+"&amp;(B237+2*H237)&amp;"d+"&amp;B237&amp;"e"</f>
        <v>443u+532d+118e</v>
      </c>
      <c r="L237">
        <f>B237*Constants!$B$11+(H237-B237)*Constants!$B$12</f>
        <v>1094.888020833333333333333333333333333333333333333333333333333333333333333333333333333333333333333333</v>
      </c>
      <c r="M237">
        <f>L237*Constants!$B$5</f>
        <v>8759.104166666666666666666666666666666666666666666666666666666666666666666666666666666666666666666667</v>
      </c>
      <c r="N237">
        <f>L237*7</f>
        <v>7664.216145833333333333333333333333333333333333333333333333333333333333333333333333333333333333333333</v>
      </c>
      <c r="O237" t="str">
        <f>IF(B237&gt;Constants!$B$6-Constants!$B$5,"CONSTANT_FRONTIER_TAIL_CANDIDATE",IF(G237=0,"CONSTANT_STABLE_ANCHOR_LANE",IF(G237=Constants!$B$2/2,"CONSTANT_HALF_WRITE_LANE","CONSTANT_BOUND_LADDER_LANE")))</f>
        <v>CONSTANT_HALF_WRITE_LANE</v>
      </c>
    </row>
    <row r="238">
      <c r="A238">
        <f>ROW()-1</f>
        <v>237</v>
      </c>
      <c r="B238">
        <f>INT((A238-1)/2)+1</f>
        <v>119</v>
      </c>
      <c r="C238" t="str">
        <f>IF(MOD(A238-1,2)=0,"FLOOR_PRIMARY","CEIL_NEIGHBOR")</f>
        <v>FLOOR_PRIMARY</v>
      </c>
      <c r="D238" t="str">
        <f>IF(C238="FLOOR_PRIMARY","yes",IF(G238&lt;&gt;0,"yes","no"))</f>
        <v>yes</v>
      </c>
      <c r="E238">
        <f>MAX(0,INT((B238-1)/Constants!$B$2))</f>
        <v>9</v>
      </c>
      <c r="F238">
        <f>INT(B238*E238/Constants!$B$2)</f>
        <v>89</v>
      </c>
      <c r="G238">
        <f>MOD(B238*E238,Constants!$B$2)</f>
        <v>3</v>
      </c>
      <c r="H238">
        <f>B238+F238+IF(C238="CEIL_NEIGHBOR",1,0)</f>
        <v>208</v>
      </c>
      <c r="I238">
        <f>B238+H238</f>
        <v>327</v>
      </c>
      <c r="J238" t="str">
        <f>B238&amp;"p+"&amp;H238&amp;"n+"&amp;B238&amp;"e"</f>
        <v>119p+208n+119e</v>
      </c>
      <c r="K238" t="str">
        <f>(2*B238+H238)&amp;"u+"&amp;(B238+2*H238)&amp;"d+"&amp;B238&amp;"e"</f>
        <v>446u+535d+119e</v>
      </c>
      <c r="L238">
        <f>B238*Constants!$B$11+(H238-B238)*Constants!$B$12</f>
        <v>1104.154947916666666666666666666666666666666666666666666666666666666666666666666666666666666666666667</v>
      </c>
      <c r="M238">
        <f>L238*Constants!$B$5</f>
        <v>8833.239583333333333333333333333333333333333333333333333333333333333333333333333333333333333333333333</v>
      </c>
      <c r="N238">
        <f>L238*7</f>
        <v>7729.084635416666666666666666666666666666666666666666666666666666666666666666666666666666666666666667</v>
      </c>
      <c r="O238" t="str">
        <f>IF(B238&gt;Constants!$B$6-Constants!$B$5,"CONSTANT_FRONTIER_TAIL_CANDIDATE",IF(G238=0,"CONSTANT_STABLE_ANCHOR_LANE",IF(G238=Constants!$B$2/2,"CONSTANT_HALF_WRITE_LANE","CONSTANT_BOUND_LADDER_LANE")))</f>
        <v>CONSTANT_FRONTIER_TAIL_CANDIDATE</v>
      </c>
    </row>
    <row r="239">
      <c r="A239">
        <f>ROW()-1</f>
        <v>238</v>
      </c>
      <c r="B239">
        <f>INT((A239-1)/2)+1</f>
        <v>119</v>
      </c>
      <c r="C239" t="str">
        <f>IF(MOD(A239-1,2)=0,"FLOOR_PRIMARY","CEIL_NEIGHBOR")</f>
        <v>CEIL_NEIGHBOR</v>
      </c>
      <c r="D239" t="str">
        <f>IF(C239="FLOOR_PRIMARY","yes",IF(G239&lt;&gt;0,"yes","no"))</f>
        <v>yes</v>
      </c>
      <c r="E239">
        <f>MAX(0,INT((B239-1)/Constants!$B$2))</f>
        <v>9</v>
      </c>
      <c r="F239">
        <f>INT(B239*E239/Constants!$B$2)</f>
        <v>89</v>
      </c>
      <c r="G239">
        <f>MOD(B239*E239,Constants!$B$2)</f>
        <v>3</v>
      </c>
      <c r="H239">
        <f>B239+F239+IF(C239="CEIL_NEIGHBOR",1,0)</f>
        <v>209</v>
      </c>
      <c r="I239">
        <f>B239+H239</f>
        <v>328</v>
      </c>
      <c r="J239" t="str">
        <f>B239&amp;"p+"&amp;H239&amp;"n+"&amp;B239&amp;"e"</f>
        <v>119p+209n+119e</v>
      </c>
      <c r="K239" t="str">
        <f>(2*B239+H239)&amp;"u+"&amp;(B239+2*H239)&amp;"d+"&amp;B239&amp;"e"</f>
        <v>447u+537d+119e</v>
      </c>
      <c r="L239">
        <f>B239*Constants!$B$11+(H239-B239)*Constants!$B$12</f>
        <v>1104.170572916666666666666666666666666666666666666666666666666666666666666666666666666666666666666667</v>
      </c>
      <c r="M239">
        <f>L239*Constants!$B$5</f>
        <v>8833.364583333333333333333333333333333333333333333333333333333333333333333333333333333333333333333333</v>
      </c>
      <c r="N239">
        <f>L239*7</f>
        <v>7729.194010416666666666666666666666666666666666666666666666666666666666666666666666666666666666666667</v>
      </c>
      <c r="O239" t="str">
        <f>IF(B239&gt;Constants!$B$6-Constants!$B$5,"CONSTANT_FRONTIER_TAIL_CANDIDATE",IF(G239=0,"CONSTANT_STABLE_ANCHOR_LANE",IF(G239=Constants!$B$2/2,"CONSTANT_HALF_WRITE_LANE","CONSTANT_BOUND_LADDER_LANE")))</f>
        <v>CONSTANT_FRONTIER_TAIL_CANDIDATE</v>
      </c>
    </row>
    <row r="240">
      <c r="A240">
        <f>ROW()-1</f>
        <v>239</v>
      </c>
      <c r="B240">
        <f>INT((A240-1)/2)+1</f>
        <v>120</v>
      </c>
      <c r="C240" t="str">
        <f>IF(MOD(A240-1,2)=0,"FLOOR_PRIMARY","CEIL_NEIGHBOR")</f>
        <v>FLOOR_PRIMARY</v>
      </c>
      <c r="D240" t="str">
        <f>IF(C240="FLOOR_PRIMARY","yes",IF(G240&lt;&gt;0,"yes","no"))</f>
        <v>yes</v>
      </c>
      <c r="E240">
        <f>MAX(0,INT((B240-1)/Constants!$B$2))</f>
        <v>9</v>
      </c>
      <c r="F240">
        <f>INT(B240*E240/Constants!$B$2)</f>
        <v>90</v>
      </c>
      <c r="G240">
        <f>MOD(B240*E240,Constants!$B$2)</f>
        <v>0</v>
      </c>
      <c r="H240">
        <f>B240+F240+IF(C240="CEIL_NEIGHBOR",1,0)</f>
        <v>210</v>
      </c>
      <c r="I240">
        <f>B240+H240</f>
        <v>330</v>
      </c>
      <c r="J240" t="str">
        <f>B240&amp;"p+"&amp;H240&amp;"n+"&amp;B240&amp;"e"</f>
        <v>120p+210n+120e</v>
      </c>
      <c r="K240" t="str">
        <f>(2*B240+H240)&amp;"u+"&amp;(B240+2*H240)&amp;"d+"&amp;B240&amp;"e"</f>
        <v>450u+540d+120e</v>
      </c>
      <c r="L240">
        <f>B240*Constants!$B$11+(H240-B240)*Constants!$B$12</f>
        <v>1113.4375</v>
      </c>
      <c r="M240">
        <f>L240*Constants!$B$5</f>
        <v>8907.5</v>
      </c>
      <c r="N240">
        <f>L240*7</f>
        <v>7794.0625</v>
      </c>
      <c r="O240" t="str">
        <f>IF(B240&gt;Constants!$B$6-Constants!$B$5,"CONSTANT_FRONTIER_TAIL_CANDIDATE",IF(G240=0,"CONSTANT_STABLE_ANCHOR_LANE",IF(G240=Constants!$B$2/2,"CONSTANT_HALF_WRITE_LANE","CONSTANT_BOUND_LADDER_LANE")))</f>
        <v>CONSTANT_FRONTIER_TAIL_CANDIDATE</v>
      </c>
    </row>
    <row r="241">
      <c r="A241">
        <f>ROW()-1</f>
        <v>240</v>
      </c>
      <c r="B241">
        <f>INT((A241-1)/2)+1</f>
        <v>120</v>
      </c>
      <c r="C241" t="str">
        <f>IF(MOD(A241-1,2)=0,"FLOOR_PRIMARY","CEIL_NEIGHBOR")</f>
        <v>CEIL_NEIGHBOR</v>
      </c>
      <c r="D241" t="str">
        <f>IF(C241="FLOOR_PRIMARY","yes",IF(G241&lt;&gt;0,"yes","no"))</f>
        <v>no</v>
      </c>
      <c r="E241">
        <f>MAX(0,INT((B241-1)/Constants!$B$2))</f>
        <v>9</v>
      </c>
      <c r="F241">
        <f>INT(B241*E241/Constants!$B$2)</f>
        <v>90</v>
      </c>
      <c r="G241">
        <f>MOD(B241*E241,Constants!$B$2)</f>
        <v>0</v>
      </c>
      <c r="H241">
        <f>B241+F241+IF(C241="CEIL_NEIGHBOR",1,0)</f>
        <v>211</v>
      </c>
      <c r="I241">
        <f>B241+H241</f>
        <v>331</v>
      </c>
      <c r="J241" t="str">
        <f>B241&amp;"p+"&amp;H241&amp;"n+"&amp;B241&amp;"e"</f>
        <v>120p+211n+120e</v>
      </c>
      <c r="K241" t="str">
        <f>(2*B241+H241)&amp;"u+"&amp;(B241+2*H241)&amp;"d+"&amp;B241&amp;"e"</f>
        <v>451u+542d+120e</v>
      </c>
      <c r="L241">
        <f>B241*Constants!$B$11+(H241-B241)*Constants!$B$12</f>
        <v>1113.453125</v>
      </c>
      <c r="M241">
        <f>L241*Constants!$B$5</f>
        <v>8907.625</v>
      </c>
      <c r="N241">
        <f>L241*7</f>
        <v>7794.171875</v>
      </c>
      <c r="O241" t="str">
        <f>IF(B241&gt;Constants!$B$6-Constants!$B$5,"CONSTANT_FRONTIER_TAIL_CANDIDATE",IF(G241=0,"CONSTANT_STABLE_ANCHOR_LANE",IF(G241=Constants!$B$2/2,"CONSTANT_HALF_WRITE_LANE","CONSTANT_BOUND_LADDER_LANE")))</f>
        <v>CONSTANT_FRONTIER_TAIL_CANDIDATE</v>
      </c>
    </row>
    <row r="242">
      <c r="A242">
        <f>ROW()-1</f>
        <v>241</v>
      </c>
      <c r="B242">
        <f>INT((A242-1)/2)+1</f>
        <v>121</v>
      </c>
      <c r="C242" t="str">
        <f>IF(MOD(A242-1,2)=0,"FLOOR_PRIMARY","CEIL_NEIGHBOR")</f>
        <v>FLOOR_PRIMARY</v>
      </c>
      <c r="D242" t="str">
        <f>IF(C242="FLOOR_PRIMARY","yes",IF(G242&lt;&gt;0,"yes","no"))</f>
        <v>yes</v>
      </c>
      <c r="E242">
        <f>MAX(0,INT((B242-1)/Constants!$B$2))</f>
        <v>10</v>
      </c>
      <c r="F242">
        <f>INT(B242*E242/Constants!$B$2)</f>
        <v>100</v>
      </c>
      <c r="G242">
        <f>MOD(B242*E242,Constants!$B$2)</f>
        <v>10</v>
      </c>
      <c r="H242">
        <f>B242+F242+IF(C242="CEIL_NEIGHBOR",1,0)</f>
        <v>221</v>
      </c>
      <c r="I242">
        <f>B242+H242</f>
        <v>342</v>
      </c>
      <c r="J242" t="str">
        <f>B242&amp;"p+"&amp;H242&amp;"n+"&amp;B242&amp;"e"</f>
        <v>121p+221n+121e</v>
      </c>
      <c r="K242" t="str">
        <f>(2*B242+H242)&amp;"u+"&amp;(B242+2*H242)&amp;"d+"&amp;B242&amp;"e"</f>
        <v>463u+563d+121e</v>
      </c>
      <c r="L242">
        <f>B242*Constants!$B$11+(H242-B242)*Constants!$B$12</f>
        <v>1122.860677083333333333333333333333333333333333333333333333333333333333333333333333333333333333333333</v>
      </c>
      <c r="M242">
        <f>L242*Constants!$B$5</f>
        <v>8982.885416666666666666666666666666666666666666666666666666666666666666666666666666666666666666666667</v>
      </c>
      <c r="N242">
        <f>L242*7</f>
        <v>7860.024739583333333333333333333333333333333333333333333333333333333333333333333333333333333333333333</v>
      </c>
      <c r="O242" t="str">
        <f>IF(B242&gt;Constants!$B$6-Constants!$B$5,"CONSTANT_FRONTIER_TAIL_CANDIDATE",IF(G242=0,"CONSTANT_STABLE_ANCHOR_LANE",IF(G242=Constants!$B$2/2,"CONSTANT_HALF_WRITE_LANE","CONSTANT_BOUND_LADDER_LANE")))</f>
        <v>CONSTANT_FRONTIER_TAIL_CANDIDATE</v>
      </c>
    </row>
    <row r="243">
      <c r="A243">
        <f>ROW()-1</f>
        <v>242</v>
      </c>
      <c r="B243">
        <f>INT((A243-1)/2)+1</f>
        <v>121</v>
      </c>
      <c r="C243" t="str">
        <f>IF(MOD(A243-1,2)=0,"FLOOR_PRIMARY","CEIL_NEIGHBOR")</f>
        <v>CEIL_NEIGHBOR</v>
      </c>
      <c r="D243" t="str">
        <f>IF(C243="FLOOR_PRIMARY","yes",IF(G243&lt;&gt;0,"yes","no"))</f>
        <v>yes</v>
      </c>
      <c r="E243">
        <f>MAX(0,INT((B243-1)/Constants!$B$2))</f>
        <v>10</v>
      </c>
      <c r="F243">
        <f>INT(B243*E243/Constants!$B$2)</f>
        <v>100</v>
      </c>
      <c r="G243">
        <f>MOD(B243*E243,Constants!$B$2)</f>
        <v>10</v>
      </c>
      <c r="H243">
        <f>B243+F243+IF(C243="CEIL_NEIGHBOR",1,0)</f>
        <v>222</v>
      </c>
      <c r="I243">
        <f>B243+H243</f>
        <v>343</v>
      </c>
      <c r="J243" t="str">
        <f>B243&amp;"p+"&amp;H243&amp;"n+"&amp;B243&amp;"e"</f>
        <v>121p+222n+121e</v>
      </c>
      <c r="K243" t="str">
        <f>(2*B243+H243)&amp;"u+"&amp;(B243+2*H243)&amp;"d+"&amp;B243&amp;"e"</f>
        <v>464u+565d+121e</v>
      </c>
      <c r="L243">
        <f>B243*Constants!$B$11+(H243-B243)*Constants!$B$12</f>
        <v>1122.876302083333333333333333333333333333333333333333333333333333333333333333333333333333333333333333</v>
      </c>
      <c r="M243">
        <f>L243*Constants!$B$5</f>
        <v>8983.010416666666666666666666666666666666666666666666666666666666666666666666666666666666666666666667</v>
      </c>
      <c r="N243">
        <f>L243*7</f>
        <v>7860.134114583333333333333333333333333333333333333333333333333333333333333333333333333333333333333333</v>
      </c>
      <c r="O243" t="str">
        <f>IF(B243&gt;Constants!$B$6-Constants!$B$5,"CONSTANT_FRONTIER_TAIL_CANDIDATE",IF(G243=0,"CONSTANT_STABLE_ANCHOR_LANE",IF(G243=Constants!$B$2/2,"CONSTANT_HALF_WRITE_LANE","CONSTANT_BOUND_LADDER_LANE")))</f>
        <v>CONSTANT_FRONTIER_TAIL_CANDIDATE</v>
      </c>
    </row>
    <row r="244">
      <c r="A244">
        <f>ROW()-1</f>
        <v>243</v>
      </c>
      <c r="B244">
        <f>INT((A244-1)/2)+1</f>
        <v>122</v>
      </c>
      <c r="C244" t="str">
        <f>IF(MOD(A244-1,2)=0,"FLOOR_PRIMARY","CEIL_NEIGHBOR")</f>
        <v>FLOOR_PRIMARY</v>
      </c>
      <c r="D244" t="str">
        <f>IF(C244="FLOOR_PRIMARY","yes",IF(G244&lt;&gt;0,"yes","no"))</f>
        <v>yes</v>
      </c>
      <c r="E244">
        <f>MAX(0,INT((B244-1)/Constants!$B$2))</f>
        <v>10</v>
      </c>
      <c r="F244">
        <f>INT(B244*E244/Constants!$B$2)</f>
        <v>101</v>
      </c>
      <c r="G244">
        <f>MOD(B244*E244,Constants!$B$2)</f>
        <v>8</v>
      </c>
      <c r="H244">
        <f>B244+F244+IF(C244="CEIL_NEIGHBOR",1,0)</f>
        <v>223</v>
      </c>
      <c r="I244">
        <f>B244+H244</f>
        <v>345</v>
      </c>
      <c r="J244" t="str">
        <f>B244&amp;"p+"&amp;H244&amp;"n+"&amp;B244&amp;"e"</f>
        <v>122p+223n+122e</v>
      </c>
      <c r="K244" t="str">
        <f>(2*B244+H244)&amp;"u+"&amp;(B244+2*H244)&amp;"d+"&amp;B244&amp;"e"</f>
        <v>467u+568d+122e</v>
      </c>
      <c r="L244">
        <f>B244*Constants!$B$11+(H244-B244)*Constants!$B$12</f>
        <v>1132.143229166666666666666666666666666666666666666666666666666666666666666666666666666666666666666667</v>
      </c>
      <c r="M244">
        <f>L244*Constants!$B$5</f>
        <v>9057.145833333333333333333333333333333333333333333333333333333333333333333333333333333333333333333333</v>
      </c>
      <c r="N244">
        <f>L244*7</f>
        <v>7925.002604166666666666666666666666666666666666666666666666666666666666666666666666666666666666666667</v>
      </c>
      <c r="O244" t="str">
        <f>IF(B244&gt;Constants!$B$6-Constants!$B$5,"CONSTANT_FRONTIER_TAIL_CANDIDATE",IF(G244=0,"CONSTANT_STABLE_ANCHOR_LANE",IF(G244=Constants!$B$2/2,"CONSTANT_HALF_WRITE_LANE","CONSTANT_BOUND_LADDER_LANE")))</f>
        <v>CONSTANT_FRONTIER_TAIL_CANDIDATE</v>
      </c>
    </row>
    <row r="245">
      <c r="A245">
        <f>ROW()-1</f>
        <v>244</v>
      </c>
      <c r="B245">
        <f>INT((A245-1)/2)+1</f>
        <v>122</v>
      </c>
      <c r="C245" t="str">
        <f>IF(MOD(A245-1,2)=0,"FLOOR_PRIMARY","CEIL_NEIGHBOR")</f>
        <v>CEIL_NEIGHBOR</v>
      </c>
      <c r="D245" t="str">
        <f>IF(C245="FLOOR_PRIMARY","yes",IF(G245&lt;&gt;0,"yes","no"))</f>
        <v>yes</v>
      </c>
      <c r="E245">
        <f>MAX(0,INT((B245-1)/Constants!$B$2))</f>
        <v>10</v>
      </c>
      <c r="F245">
        <f>INT(B245*E245/Constants!$B$2)</f>
        <v>101</v>
      </c>
      <c r="G245">
        <f>MOD(B245*E245,Constants!$B$2)</f>
        <v>8</v>
      </c>
      <c r="H245">
        <f>B245+F245+IF(C245="CEIL_NEIGHBOR",1,0)</f>
        <v>224</v>
      </c>
      <c r="I245">
        <f>B245+H245</f>
        <v>346</v>
      </c>
      <c r="J245" t="str">
        <f>B245&amp;"p+"&amp;H245&amp;"n+"&amp;B245&amp;"e"</f>
        <v>122p+224n+122e</v>
      </c>
      <c r="K245" t="str">
        <f>(2*B245+H245)&amp;"u+"&amp;(B245+2*H245)&amp;"d+"&amp;B245&amp;"e"</f>
        <v>468u+570d+122e</v>
      </c>
      <c r="L245">
        <f>B245*Constants!$B$11+(H245-B245)*Constants!$B$12</f>
        <v>1132.158854166666666666666666666666666666666666666666666666666666666666666666666666666666666666666667</v>
      </c>
      <c r="M245">
        <f>L245*Constants!$B$5</f>
        <v>9057.270833333333333333333333333333333333333333333333333333333333333333333333333333333333333333333333</v>
      </c>
      <c r="N245">
        <f>L245*7</f>
        <v>7925.111979166666666666666666666666666666666666666666666666666666666666666666666666666666666666666667</v>
      </c>
      <c r="O245" t="str">
        <f>IF(B245&gt;Constants!$B$6-Constants!$B$5,"CONSTANT_FRONTIER_TAIL_CANDIDATE",IF(G245=0,"CONSTANT_STABLE_ANCHOR_LANE",IF(G245=Constants!$B$2/2,"CONSTANT_HALF_WRITE_LANE","CONSTANT_BOUND_LADDER_LANE")))</f>
        <v>CONSTANT_FRONTIER_TAIL_CANDIDATE</v>
      </c>
    </row>
    <row r="246">
      <c r="A246">
        <f>ROW()-1</f>
        <v>245</v>
      </c>
      <c r="B246">
        <f>INT((A246-1)/2)+1</f>
        <v>123</v>
      </c>
      <c r="C246" t="str">
        <f>IF(MOD(A246-1,2)=0,"FLOOR_PRIMARY","CEIL_NEIGHBOR")</f>
        <v>FLOOR_PRIMARY</v>
      </c>
      <c r="D246" t="str">
        <f>IF(C246="FLOOR_PRIMARY","yes",IF(G246&lt;&gt;0,"yes","no"))</f>
        <v>yes</v>
      </c>
      <c r="E246">
        <f>MAX(0,INT((B246-1)/Constants!$B$2))</f>
        <v>10</v>
      </c>
      <c r="F246">
        <f>INT(B246*E246/Constants!$B$2)</f>
        <v>102</v>
      </c>
      <c r="G246">
        <f>MOD(B246*E246,Constants!$B$2)</f>
        <v>6</v>
      </c>
      <c r="H246">
        <f>B246+F246+IF(C246="CEIL_NEIGHBOR",1,0)</f>
        <v>225</v>
      </c>
      <c r="I246">
        <f>B246+H246</f>
        <v>348</v>
      </c>
      <c r="J246" t="str">
        <f>B246&amp;"p+"&amp;H246&amp;"n+"&amp;B246&amp;"e"</f>
        <v>123p+225n+123e</v>
      </c>
      <c r="K246" t="str">
        <f>(2*B246+H246)&amp;"u+"&amp;(B246+2*H246)&amp;"d+"&amp;B246&amp;"e"</f>
        <v>471u+573d+123e</v>
      </c>
      <c r="L246">
        <f>B246*Constants!$B$11+(H246-B246)*Constants!$B$12</f>
        <v>1141.42578125</v>
      </c>
      <c r="M246">
        <f>L246*Constants!$B$5</f>
        <v>9131.40625</v>
      </c>
      <c r="N246">
        <f>L246*7</f>
        <v>7989.98046875</v>
      </c>
      <c r="O246" t="str">
        <f>IF(B246&gt;Constants!$B$6-Constants!$B$5,"CONSTANT_FRONTIER_TAIL_CANDIDATE",IF(G246=0,"CONSTANT_STABLE_ANCHOR_LANE",IF(G246=Constants!$B$2/2,"CONSTANT_HALF_WRITE_LANE","CONSTANT_BOUND_LADDER_LANE")))</f>
        <v>CONSTANT_FRONTIER_TAIL_CANDIDATE</v>
      </c>
    </row>
    <row r="247">
      <c r="A247">
        <f>ROW()-1</f>
        <v>246</v>
      </c>
      <c r="B247">
        <f>INT((A247-1)/2)+1</f>
        <v>123</v>
      </c>
      <c r="C247" t="str">
        <f>IF(MOD(A247-1,2)=0,"FLOOR_PRIMARY","CEIL_NEIGHBOR")</f>
        <v>CEIL_NEIGHBOR</v>
      </c>
      <c r="D247" t="str">
        <f>IF(C247="FLOOR_PRIMARY","yes",IF(G247&lt;&gt;0,"yes","no"))</f>
        <v>yes</v>
      </c>
      <c r="E247">
        <f>MAX(0,INT((B247-1)/Constants!$B$2))</f>
        <v>10</v>
      </c>
      <c r="F247">
        <f>INT(B247*E247/Constants!$B$2)</f>
        <v>102</v>
      </c>
      <c r="G247">
        <f>MOD(B247*E247,Constants!$B$2)</f>
        <v>6</v>
      </c>
      <c r="H247">
        <f>B247+F247+IF(C247="CEIL_NEIGHBOR",1,0)</f>
        <v>226</v>
      </c>
      <c r="I247">
        <f>B247+H247</f>
        <v>349</v>
      </c>
      <c r="J247" t="str">
        <f>B247&amp;"p+"&amp;H247&amp;"n+"&amp;B247&amp;"e"</f>
        <v>123p+226n+123e</v>
      </c>
      <c r="K247" t="str">
        <f>(2*B247+H247)&amp;"u+"&amp;(B247+2*H247)&amp;"d+"&amp;B247&amp;"e"</f>
        <v>472u+575d+123e</v>
      </c>
      <c r="L247">
        <f>B247*Constants!$B$11+(H247-B247)*Constants!$B$12</f>
        <v>1141.44140625</v>
      </c>
      <c r="M247">
        <f>L247*Constants!$B$5</f>
        <v>9131.53125</v>
      </c>
      <c r="N247">
        <f>L247*7</f>
        <v>7990.08984375</v>
      </c>
      <c r="O247" t="str">
        <f>IF(B247&gt;Constants!$B$6-Constants!$B$5,"CONSTANT_FRONTIER_TAIL_CANDIDATE",IF(G247=0,"CONSTANT_STABLE_ANCHOR_LANE",IF(G247=Constants!$B$2/2,"CONSTANT_HALF_WRITE_LANE","CONSTANT_BOUND_LADDER_LANE")))</f>
        <v>CONSTANT_FRONTIER_TAIL_CANDIDATE</v>
      </c>
    </row>
    <row r="248">
      <c r="A248">
        <f>ROW()-1</f>
        <v>247</v>
      </c>
      <c r="B248">
        <f>INT((A248-1)/2)+1</f>
        <v>124</v>
      </c>
      <c r="C248" t="str">
        <f>IF(MOD(A248-1,2)=0,"FLOOR_PRIMARY","CEIL_NEIGHBOR")</f>
        <v>FLOOR_PRIMARY</v>
      </c>
      <c r="D248" t="str">
        <f>IF(C248="FLOOR_PRIMARY","yes",IF(G248&lt;&gt;0,"yes","no"))</f>
        <v>yes</v>
      </c>
      <c r="E248">
        <f>MAX(0,INT((B248-1)/Constants!$B$2))</f>
        <v>10</v>
      </c>
      <c r="F248">
        <f>INT(B248*E248/Constants!$B$2)</f>
        <v>103</v>
      </c>
      <c r="G248">
        <f>MOD(B248*E248,Constants!$B$2)</f>
        <v>4</v>
      </c>
      <c r="H248">
        <f>B248+F248+IF(C248="CEIL_NEIGHBOR",1,0)</f>
        <v>227</v>
      </c>
      <c r="I248">
        <f>B248+H248</f>
        <v>351</v>
      </c>
      <c r="J248" t="str">
        <f>B248&amp;"p+"&amp;H248&amp;"n+"&amp;B248&amp;"e"</f>
        <v>124p+227n+124e</v>
      </c>
      <c r="K248" t="str">
        <f>(2*B248+H248)&amp;"u+"&amp;(B248+2*H248)&amp;"d+"&amp;B248&amp;"e"</f>
        <v>475u+578d+124e</v>
      </c>
      <c r="L248">
        <f>B248*Constants!$B$11+(H248-B248)*Constants!$B$12</f>
        <v>1150.708333333333333333333333333333333333333333333333333333333333333333333333333333333333333333333333</v>
      </c>
      <c r="M248">
        <f>L248*Constants!$B$5</f>
        <v>9205.666666666666666666666666666666666666666666666666666666666666666666666666666666666666666666666667</v>
      </c>
      <c r="N248">
        <f>L248*7</f>
        <v>8054.958333333333333333333333333333333333333333333333333333333333333333333333333333333333333333333333</v>
      </c>
      <c r="O248" t="str">
        <f>IF(B248&gt;Constants!$B$6-Constants!$B$5,"CONSTANT_FRONTIER_TAIL_CANDIDATE",IF(G248=0,"CONSTANT_STABLE_ANCHOR_LANE",IF(G248=Constants!$B$2/2,"CONSTANT_HALF_WRITE_LANE","CONSTANT_BOUND_LADDER_LANE")))</f>
        <v>CONSTANT_FRONTIER_TAIL_CANDIDATE</v>
      </c>
    </row>
    <row r="249">
      <c r="A249">
        <f>ROW()-1</f>
        <v>248</v>
      </c>
      <c r="B249">
        <f>INT((A249-1)/2)+1</f>
        <v>124</v>
      </c>
      <c r="C249" t="str">
        <f>IF(MOD(A249-1,2)=0,"FLOOR_PRIMARY","CEIL_NEIGHBOR")</f>
        <v>CEIL_NEIGHBOR</v>
      </c>
      <c r="D249" t="str">
        <f>IF(C249="FLOOR_PRIMARY","yes",IF(G249&lt;&gt;0,"yes","no"))</f>
        <v>yes</v>
      </c>
      <c r="E249">
        <f>MAX(0,INT((B249-1)/Constants!$B$2))</f>
        <v>10</v>
      </c>
      <c r="F249">
        <f>INT(B249*E249/Constants!$B$2)</f>
        <v>103</v>
      </c>
      <c r="G249">
        <f>MOD(B249*E249,Constants!$B$2)</f>
        <v>4</v>
      </c>
      <c r="H249">
        <f>B249+F249+IF(C249="CEIL_NEIGHBOR",1,0)</f>
        <v>228</v>
      </c>
      <c r="I249">
        <f>B249+H249</f>
        <v>352</v>
      </c>
      <c r="J249" t="str">
        <f>B249&amp;"p+"&amp;H249&amp;"n+"&amp;B249&amp;"e"</f>
        <v>124p+228n+124e</v>
      </c>
      <c r="K249" t="str">
        <f>(2*B249+H249)&amp;"u+"&amp;(B249+2*H249)&amp;"d+"&amp;B249&amp;"e"</f>
        <v>476u+580d+124e</v>
      </c>
      <c r="L249">
        <f>B249*Constants!$B$11+(H249-B249)*Constants!$B$12</f>
        <v>1150.723958333333333333333333333333333333333333333333333333333333333333333333333333333333333333333333</v>
      </c>
      <c r="M249">
        <f>L249*Constants!$B$5</f>
        <v>9205.791666666666666666666666666666666666666666666666666666666666666666666666666666666666666666666667</v>
      </c>
      <c r="N249">
        <f>L249*7</f>
        <v>8055.067708333333333333333333333333333333333333333333333333333333333333333333333333333333333333333333</v>
      </c>
      <c r="O249" t="str">
        <f>IF(B249&gt;Constants!$B$6-Constants!$B$5,"CONSTANT_FRONTIER_TAIL_CANDIDATE",IF(G249=0,"CONSTANT_STABLE_ANCHOR_LANE",IF(G249=Constants!$B$2/2,"CONSTANT_HALF_WRITE_LANE","CONSTANT_BOUND_LADDER_LANE")))</f>
        <v>CONSTANT_FRONTIER_TAIL_CANDIDATE</v>
      </c>
    </row>
    <row r="250">
      <c r="A250">
        <f>ROW()-1</f>
        <v>249</v>
      </c>
      <c r="B250">
        <f>INT((A250-1)/2)+1</f>
        <v>125</v>
      </c>
      <c r="C250" t="str">
        <f>IF(MOD(A250-1,2)=0,"FLOOR_PRIMARY","CEIL_NEIGHBOR")</f>
        <v>FLOOR_PRIMARY</v>
      </c>
      <c r="D250" t="str">
        <f>IF(C250="FLOOR_PRIMARY","yes",IF(G250&lt;&gt;0,"yes","no"))</f>
        <v>yes</v>
      </c>
      <c r="E250">
        <f>MAX(0,INT((B250-1)/Constants!$B$2))</f>
        <v>10</v>
      </c>
      <c r="F250">
        <f>INT(B250*E250/Constants!$B$2)</f>
        <v>104</v>
      </c>
      <c r="G250">
        <f>MOD(B250*E250,Constants!$B$2)</f>
        <v>2</v>
      </c>
      <c r="H250">
        <f>B250+F250+IF(C250="CEIL_NEIGHBOR",1,0)</f>
        <v>229</v>
      </c>
      <c r="I250">
        <f>B250+H250</f>
        <v>354</v>
      </c>
      <c r="J250" t="str">
        <f>B250&amp;"p+"&amp;H250&amp;"n+"&amp;B250&amp;"e"</f>
        <v>125p+229n+125e</v>
      </c>
      <c r="K250" t="str">
        <f>(2*B250+H250)&amp;"u+"&amp;(B250+2*H250)&amp;"d+"&amp;B250&amp;"e"</f>
        <v>479u+583d+125e</v>
      </c>
      <c r="L250">
        <f>B250*Constants!$B$11+(H250-B250)*Constants!$B$12</f>
        <v>1159.990885416666666666666666666666666666666666666666666666666666666666666666666666666666666666666667</v>
      </c>
      <c r="M250">
        <f>L250*Constants!$B$5</f>
        <v>9279.927083333333333333333333333333333333333333333333333333333333333333333333333333333333333333333333</v>
      </c>
      <c r="N250">
        <f>L250*7</f>
        <v>8119.936197916666666666666666666666666666666666666666666666666666666666666666666666666666666666666667</v>
      </c>
      <c r="O250" t="str">
        <f>IF(B250&gt;Constants!$B$6-Constants!$B$5,"CONSTANT_FRONTIER_TAIL_CANDIDATE",IF(G250=0,"CONSTANT_STABLE_ANCHOR_LANE",IF(G250=Constants!$B$2/2,"CONSTANT_HALF_WRITE_LANE","CONSTANT_BOUND_LADDER_LANE")))</f>
        <v>CONSTANT_FRONTIER_TAIL_CANDIDATE</v>
      </c>
    </row>
    <row r="251">
      <c r="A251">
        <f>ROW()-1</f>
        <v>250</v>
      </c>
      <c r="B251">
        <f>INT((A251-1)/2)+1</f>
        <v>125</v>
      </c>
      <c r="C251" t="str">
        <f>IF(MOD(A251-1,2)=0,"FLOOR_PRIMARY","CEIL_NEIGHBOR")</f>
        <v>CEIL_NEIGHBOR</v>
      </c>
      <c r="D251" t="str">
        <f>IF(C251="FLOOR_PRIMARY","yes",IF(G251&lt;&gt;0,"yes","no"))</f>
        <v>yes</v>
      </c>
      <c r="E251">
        <f>MAX(0,INT((B251-1)/Constants!$B$2))</f>
        <v>10</v>
      </c>
      <c r="F251">
        <f>INT(B251*E251/Constants!$B$2)</f>
        <v>104</v>
      </c>
      <c r="G251">
        <f>MOD(B251*E251,Constants!$B$2)</f>
        <v>2</v>
      </c>
      <c r="H251">
        <f>B251+F251+IF(C251="CEIL_NEIGHBOR",1,0)</f>
        <v>230</v>
      </c>
      <c r="I251">
        <f>B251+H251</f>
        <v>355</v>
      </c>
      <c r="J251" t="str">
        <f>B251&amp;"p+"&amp;H251&amp;"n+"&amp;B251&amp;"e"</f>
        <v>125p+230n+125e</v>
      </c>
      <c r="K251" t="str">
        <f>(2*B251+H251)&amp;"u+"&amp;(B251+2*H251)&amp;"d+"&amp;B251&amp;"e"</f>
        <v>480u+585d+125e</v>
      </c>
      <c r="L251">
        <f>B251*Constants!$B$11+(H251-B251)*Constants!$B$12</f>
        <v>1160.006510416666666666666666666666666666666666666666666666666666666666666666666666666666666666666667</v>
      </c>
      <c r="M251">
        <f>L251*Constants!$B$5</f>
        <v>9280.052083333333333333333333333333333333333333333333333333333333333333333333333333333333333333333333</v>
      </c>
      <c r="N251">
        <f>L251*7</f>
        <v>8120.045572916666666666666666666666666666666666666666666666666666666666666666666666666666666666666667</v>
      </c>
      <c r="O251" t="str">
        <f>IF(B251&gt;Constants!$B$6-Constants!$B$5,"CONSTANT_FRONTIER_TAIL_CANDIDATE",IF(G251=0,"CONSTANT_STABLE_ANCHOR_LANE",IF(G251=Constants!$B$2/2,"CONSTANT_HALF_WRITE_LANE","CONSTANT_BOUND_LADDER_LANE")))</f>
        <v>CONSTANT_FRONTIER_TAIL_CANDIDATE</v>
      </c>
    </row>
    <row r="252">
      <c r="A252">
        <f>ROW()-1</f>
        <v>251</v>
      </c>
      <c r="B252">
        <f>INT((A252-1)/2)+1</f>
        <v>126</v>
      </c>
      <c r="C252" t="str">
        <f>IF(MOD(A252-1,2)=0,"FLOOR_PRIMARY","CEIL_NEIGHBOR")</f>
        <v>FLOOR_PRIMARY</v>
      </c>
      <c r="D252" t="str">
        <f>IF(C252="FLOOR_PRIMARY","yes",IF(G252&lt;&gt;0,"yes","no"))</f>
        <v>yes</v>
      </c>
      <c r="E252">
        <f>MAX(0,INT((B252-1)/Constants!$B$2))</f>
        <v>10</v>
      </c>
      <c r="F252">
        <f>INT(B252*E252/Constants!$B$2)</f>
        <v>105</v>
      </c>
      <c r="G252">
        <f>MOD(B252*E252,Constants!$B$2)</f>
        <v>0</v>
      </c>
      <c r="H252">
        <f>B252+F252+IF(C252="CEIL_NEIGHBOR",1,0)</f>
        <v>231</v>
      </c>
      <c r="I252">
        <f>B252+H252</f>
        <v>357</v>
      </c>
      <c r="J252" t="str">
        <f>B252&amp;"p+"&amp;H252&amp;"n+"&amp;B252&amp;"e"</f>
        <v>126p+231n+126e</v>
      </c>
      <c r="K252" t="str">
        <f>(2*B252+H252)&amp;"u+"&amp;(B252+2*H252)&amp;"d+"&amp;B252&amp;"e"</f>
        <v>483u+588d+126e</v>
      </c>
      <c r="L252">
        <f>B252*Constants!$B$11+(H252-B252)*Constants!$B$12</f>
        <v>1169.2734375</v>
      </c>
      <c r="M252">
        <f>L252*Constants!$B$5</f>
        <v>9354.1875</v>
      </c>
      <c r="N252">
        <f>L252*7</f>
        <v>8184.9140625</v>
      </c>
      <c r="O252" t="str">
        <f>IF(B252&gt;Constants!$B$6-Constants!$B$5,"CONSTANT_FRONTIER_TAIL_CANDIDATE",IF(G252=0,"CONSTANT_STABLE_ANCHOR_LANE",IF(G252=Constants!$B$2/2,"CONSTANT_HALF_WRITE_LANE","CONSTANT_BOUND_LADDER_LANE")))</f>
        <v>CONSTANT_FRONTIER_TAIL_CANDIDATE</v>
      </c>
    </row>
    <row r="253">
      <c r="A253">
        <f>ROW()-1</f>
        <v>252</v>
      </c>
      <c r="B253">
        <f>INT((A253-1)/2)+1</f>
        <v>126</v>
      </c>
      <c r="C253" t="str">
        <f>IF(MOD(A253-1,2)=0,"FLOOR_PRIMARY","CEIL_NEIGHBOR")</f>
        <v>CEIL_NEIGHBOR</v>
      </c>
      <c r="D253" t="str">
        <f>IF(C253="FLOOR_PRIMARY","yes",IF(G253&lt;&gt;0,"yes","no"))</f>
        <v>no</v>
      </c>
      <c r="E253">
        <f>MAX(0,INT((B253-1)/Constants!$B$2))</f>
        <v>10</v>
      </c>
      <c r="F253">
        <f>INT(B253*E253/Constants!$B$2)</f>
        <v>105</v>
      </c>
      <c r="G253">
        <f>MOD(B253*E253,Constants!$B$2)</f>
        <v>0</v>
      </c>
      <c r="H253">
        <f>B253+F253+IF(C253="CEIL_NEIGHBOR",1,0)</f>
        <v>232</v>
      </c>
      <c r="I253">
        <f>B253+H253</f>
        <v>358</v>
      </c>
      <c r="J253" t="str">
        <f>B253&amp;"p+"&amp;H253&amp;"n+"&amp;B253&amp;"e"</f>
        <v>126p+232n+126e</v>
      </c>
      <c r="K253" t="str">
        <f>(2*B253+H253)&amp;"u+"&amp;(B253+2*H253)&amp;"d+"&amp;B253&amp;"e"</f>
        <v>484u+590d+126e</v>
      </c>
      <c r="L253">
        <f>B253*Constants!$B$11+(H253-B253)*Constants!$B$12</f>
        <v>1169.2890625</v>
      </c>
      <c r="M253">
        <f>L253*Constants!$B$5</f>
        <v>9354.3125</v>
      </c>
      <c r="N253">
        <f>L253*7</f>
        <v>8185.0234375</v>
      </c>
      <c r="O253" t="str">
        <f>IF(B253&gt;Constants!$B$6-Constants!$B$5,"CONSTANT_FRONTIER_TAIL_CANDIDATE",IF(G253=0,"CONSTANT_STABLE_ANCHOR_LANE",IF(G253=Constants!$B$2/2,"CONSTANT_HALF_WRITE_LANE","CONSTANT_BOUND_LADDER_LANE")))</f>
        <v>CONSTANT_FRONTIER_TAIL_CANDIDATE</v>
      </c>
    </row>
  </sheetData>
  <autoFilter ref="A1:O25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pane ySplit="1" topLeftCell="A2" activePane="bottomLeft" state="frozen"/>
      <selection pane="bottomLeft"/>
    </sheetView>
  </sheetViews>
  <cols>
    <col min="1" max="1" width="28" customWidth="1"/>
    <col min="2" max="2" width="24" customWidth="1"/>
    <col min="3" max="3" width="52" customWidth="1"/>
    <col min="4" max="4" width="24" customWidth="1"/>
    <col min="5" max="5" width="12" customWidth="1"/>
  </cols>
  <sheetData>
    <row r="1">
      <c r="A1" t="inlineStr" s="1">
        <is>
          <t>check</t>
        </is>
      </c>
      <c r="B1" t="inlineStr" s="1">
        <is>
          <t>formula_result</t>
        </is>
      </c>
      <c r="C1" t="inlineStr" s="1">
        <is>
          <t>formula</t>
        </is>
      </c>
      <c r="D1" t="inlineStr" s="1">
        <is>
          <t>expected</t>
        </is>
      </c>
      <c r="E1" t="inlineStr" s="1">
        <is>
          <t>status</t>
        </is>
      </c>
    </row>
    <row r="2">
      <c r="A2" t="inlineStr">
        <is>
          <t>native_capacity</t>
        </is>
      </c>
      <c r="B2">
        <f>Constants!B6</f>
        <v>126</v>
      </c>
      <c r="C2" t="inlineStr">
        <is>
          <t>=Constants!B6</t>
        </is>
      </c>
      <c r="D2" t="inlineStr">
        <is>
          <t>126</t>
        </is>
      </c>
      <c r="E2" t="str">
        <f>IF(B2=D2,"PASS","FAIL")</f>
        <v>PASS</v>
      </c>
    </row>
    <row r="3">
      <c r="A3" t="inlineStr">
        <is>
          <t>shell_capacity_sum</t>
        </is>
      </c>
      <c r="B3">
        <f>SUM(Shells!C2:C9)</f>
        <v>126</v>
      </c>
      <c r="C3" t="inlineStr">
        <is>
          <t>=SUM(Shells!C2:C9)</t>
        </is>
      </c>
      <c r="D3" t="inlineStr">
        <is>
          <t>126</t>
        </is>
      </c>
      <c r="E3" t="str">
        <f>IF(B3=D3,"PASS","FAIL")</f>
        <v>PASS</v>
      </c>
    </row>
    <row r="4">
      <c r="A4" t="inlineStr">
        <is>
          <t>element_rows</t>
        </is>
      </c>
      <c r="B4">
        <f>COUNTA(Elements_126!B2:B127)</f>
        <v>126</v>
      </c>
      <c r="C4" t="inlineStr">
        <is>
          <t>=COUNTA(Elements_126!B2:B127)</t>
        </is>
      </c>
      <c r="D4" t="inlineStr">
        <is>
          <t>126</t>
        </is>
      </c>
      <c r="E4" t="str">
        <f>IF(B4=D4,"PASS","FAIL")</f>
        <v>PASS</v>
      </c>
    </row>
    <row r="5">
      <c r="A5" t="inlineStr">
        <is>
          <t>closed_shell_rows</t>
        </is>
      </c>
      <c r="B5">
        <f>COUNTIF(Elements_126!W2:W127,"CLOSED_SHELL")</f>
        <v>8</v>
      </c>
      <c r="C5" t="inlineStr">
        <is>
          <t>=COUNTIF(Elements_126!W2:W127,"CLOSED_SHELL")</t>
        </is>
      </c>
      <c r="D5" t="inlineStr">
        <is>
          <t>8</t>
        </is>
      </c>
      <c r="E5" t="str">
        <f>IF(B5=D5,"PASS","FAIL")</f>
        <v>PASS</v>
      </c>
    </row>
    <row r="6">
      <c r="A6" t="inlineStr">
        <is>
          <t>frontier_tail_rows</t>
        </is>
      </c>
      <c r="B6">
        <f>COUNTIF(Elements_126!AC2:AC127,"CONSTANT_FRONTIER_TAIL_Z119_Z126")</f>
        <v>8</v>
      </c>
      <c r="C6" t="inlineStr">
        <is>
          <t>=COUNTIF(Elements_126!AC2:AC127,"CONSTANT_FRONTIER_TAIL_Z119_Z126")</t>
        </is>
      </c>
      <c r="D6" t="inlineStr">
        <is>
          <t>8</t>
        </is>
      </c>
      <c r="E6" t="str">
        <f>IF(B6=D6,"PASS","FAIL")</f>
        <v>PASS</v>
      </c>
    </row>
    <row r="7">
      <c r="A7" t="inlineStr">
        <is>
          <t>active_isotope_candidates</t>
        </is>
      </c>
      <c r="B7">
        <f>COUNTIF(Isotope_Candidates!D2:D253,"yes")</f>
        <v>214</v>
      </c>
      <c r="C7" t="inlineStr">
        <is>
          <t>=COUNTIF(Isotope_Candidates!D2:D253,"yes")</t>
        </is>
      </c>
      <c r="D7" t="inlineStr">
        <is>
          <t>214</t>
        </is>
      </c>
      <c r="E7" t="str">
        <f>IF(B7=D7,"PASS","FAIL")</f>
        <v>PASS</v>
      </c>
    </row>
    <row r="8">
      <c r="A8" t="inlineStr">
        <is>
          <t>blank_known_and_card_fields</t>
        </is>
      </c>
      <c r="B8">
        <f>COUNTA(Elements_126!AE2:AH127)</f>
        <v>0</v>
      </c>
      <c r="C8" t="inlineStr">
        <is>
          <t>=COUNTA(Elements_126!AE2:AH127)</t>
        </is>
      </c>
      <c r="D8" t="inlineStr">
        <is>
          <t>0</t>
        </is>
      </c>
      <c r="E8" t="str">
        <f>IF(B8=D8,"PASS","FAIL")</f>
        <v>PASS</v>
      </c>
    </row>
    <row r="9">
      <c r="A9" t="inlineStr">
        <is>
          <t>gold_like_Z79_P</t>
        </is>
      </c>
      <c r="B9" t="str">
        <f>INDEX(Elements_126!Q2:Q127,79)</f>
        <v>79p+118n+79e</v>
      </c>
      <c r="C9" t="inlineStr">
        <is>
          <t>=INDEX(Elements_126!Q2:Q127,79)</t>
        </is>
      </c>
      <c r="D9" t="inlineStr">
        <is>
          <t>79p+118n+79e</t>
        </is>
      </c>
      <c r="E9" t="str">
        <f>IF(B9=D9,"PASS","FAIL")</f>
        <v>PASS</v>
      </c>
    </row>
    <row r="10">
      <c r="A10" t="inlineStr">
        <is>
          <t>gold_like_Z79_G</t>
        </is>
      </c>
      <c r="B10">
        <f>INDEX(Elements_126!Z2:Z127,79)</f>
        <v>732.6966145833333333333333333333333333333333333333333333333333333333333333333333333333333333333333333</v>
      </c>
      <c r="C10" t="inlineStr">
        <is>
          <t>=INDEX(Elements_126!Z2:Z127,79)</t>
        </is>
      </c>
      <c r="D10" t="inlineStr">
        <is>
          <t>732.6966145833333333333333333333333333333333333333333333333333333333333333333333333333333333333333333</t>
        </is>
      </c>
      <c r="E10" t="str">
        <f>IF(B10=D10,"PASS","FAIL")</f>
        <v>PASS</v>
      </c>
    </row>
    <row r="11">
      <c r="A11" t="inlineStr">
        <is>
          <t>gold_like_Z79_GR</t>
        </is>
      </c>
      <c r="B11">
        <f>INDEX(Elements_126!AA2:AA127,79)</f>
        <v>5861.572916666666666666666666666666666666666666666666666666666666666666666666666666666666666666666667</v>
      </c>
      <c r="C11" t="inlineStr">
        <is>
          <t>=INDEX(Elements_126!AA2:AA127,79)</t>
        </is>
      </c>
      <c r="D11" t="inlineStr">
        <is>
          <t>5861.572916666666666666666666666666666666666666666666666666666666666666666666666666666666666666666667</t>
        </is>
      </c>
      <c r="E11" t="str">
        <f>IF(B11=D11,"PASS","FAIL")</f>
        <v>PASS</v>
      </c>
    </row>
  </sheetData>
  <autoFilter ref="A1:E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CR223 Constants-Only Element Formulas</dc:title>
  <dc:creator>Codex</dc:creator>
  <dcterms:created xsi:type="dcterms:W3CDTF">2026-06-21T02:56:05+00:00</dcterms:created>
  <dcterms:modified xsi:type="dcterms:W3CDTF">2026-06-21T02:56:05+00:00</dcterms:modified>
</cp:coreProperties>
</file>