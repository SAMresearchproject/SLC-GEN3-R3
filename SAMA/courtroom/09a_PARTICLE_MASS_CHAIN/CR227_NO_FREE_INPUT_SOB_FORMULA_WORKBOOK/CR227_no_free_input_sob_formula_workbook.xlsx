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ants" sheetId="1" r:id="rId1"/>
    <sheet name="Hidden_Set" sheetId="2" r:id="rId2"/>
    <sheet name="Shells" sheetId="3" r:id="rId3"/>
    <sheet name="SOB_126" sheetId="4" r:id="rId4"/>
    <sheet name="Card_Payloads_126" sheetId="5" r:id="rId5"/>
    <sheet name="Formula_Map" sheetId="6" r:id="rId6"/>
    <sheet name="Checks" sheetId="7" r:id="rId7"/>
  </sheets>
  <calcPr calcId="191029"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C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28" customWidth="1"/>
    <col min="3" max="3" width="34" customWidth="1"/>
    <col min="4" max="4" width="34" customWidth="1"/>
    <col min="5" max="5" width="24" customWidth="1"/>
  </cols>
  <sheetData>
    <row r="1">
      <c r="A1" t="inlineStr" s="1">
        <is>
          <t>Constant</t>
        </is>
      </c>
      <c r="B1" t="inlineStr" s="1">
        <is>
          <t>Value</t>
        </is>
      </c>
      <c r="C1" t="inlineStr" s="1">
        <is>
          <t>Formula</t>
        </is>
      </c>
      <c r="D1" t="inlineStr" s="1">
        <is>
          <t>Role</t>
        </is>
      </c>
      <c r="E1" t="inlineStr" s="1">
        <is>
          <t>Input status</t>
        </is>
      </c>
    </row>
    <row r="2">
      <c r="A2" t="inlineStr">
        <is>
          <t>R</t>
        </is>
      </c>
      <c r="B2">
        <v>12</v>
      </c>
      <c r="C2" t="inlineStr">
        <is>
          <t>declared</t>
        </is>
      </c>
      <c r="D2" t="inlineStr">
        <is>
          <t>radix/native route constant</t>
        </is>
      </c>
      <c r="E2" t="inlineStr">
        <is>
          <t>SEALED_CONSTANT</t>
        </is>
      </c>
    </row>
    <row r="3">
      <c r="A3" t="inlineStr">
        <is>
          <t>D</t>
        </is>
      </c>
      <c r="B3">
        <v>3</v>
      </c>
      <c r="C3" t="inlineStr">
        <is>
          <t>declared</t>
        </is>
      </c>
      <c r="D3" t="inlineStr">
        <is>
          <t>closure depth</t>
        </is>
      </c>
      <c r="E3" t="inlineStr">
        <is>
          <t>SEALED_CONSTANT</t>
        </is>
      </c>
    </row>
    <row r="4">
      <c r="A4" t="inlineStr">
        <is>
          <t>alpha_H</t>
        </is>
      </c>
      <c r="B4">
        <v>2</v>
      </c>
      <c r="C4" t="inlineStr">
        <is>
          <t>declared</t>
        </is>
      </c>
      <c r="D4" t="inlineStr">
        <is>
          <t>hidden-source generator</t>
        </is>
      </c>
      <c r="E4" t="inlineStr">
        <is>
          <t>SEALED_CONSTANT</t>
        </is>
      </c>
    </row>
    <row r="5">
      <c r="A5" t="inlineStr">
        <is>
          <t>split</t>
        </is>
      </c>
      <c r="B5">
        <f>2^B3</f>
        <v>8</v>
      </c>
      <c r="C5" t="inlineStr">
        <is>
          <t>=2^D</t>
        </is>
      </c>
      <c r="D5" t="inlineStr">
        <is>
          <t>carrier split</t>
        </is>
      </c>
      <c r="E5" t="inlineStr">
        <is>
          <t>FORMULA</t>
        </is>
      </c>
    </row>
    <row r="6">
      <c r="A6" t="inlineStr">
        <is>
          <t>R_squared</t>
        </is>
      </c>
      <c r="B6">
        <f>B2^2</f>
        <v>144</v>
      </c>
      <c r="C6" t="inlineStr">
        <is>
          <t>=R^2</t>
        </is>
      </c>
      <c r="D6" t="inlineStr">
        <is>
          <t>full lattice</t>
        </is>
      </c>
      <c r="E6" t="inlineStr">
        <is>
          <t>FORMULA</t>
        </is>
      </c>
    </row>
    <row r="7">
      <c r="A7" t="inlineStr">
        <is>
          <t>native_capacity</t>
        </is>
      </c>
      <c r="B7">
        <f>B6*(1-1/B5)</f>
        <v>126</v>
      </c>
      <c r="C7" t="inlineStr">
        <is>
          <t>=R^2*(1-1/split)</t>
        </is>
      </c>
      <c r="D7" t="inlineStr">
        <is>
          <t>SOB row count</t>
        </is>
      </c>
      <c r="E7" t="inlineStr">
        <is>
          <t>FORMULA</t>
        </is>
      </c>
    </row>
    <row r="8">
      <c r="A8" t="inlineStr">
        <is>
          <t>frontier_start</t>
        </is>
      </c>
      <c r="B8">
        <f>B7-B5+1</f>
        <v>119</v>
      </c>
      <c r="C8" t="inlineStr">
        <is>
          <t>=capacity-split+1</t>
        </is>
      </c>
      <c r="D8" t="inlineStr">
        <is>
          <t>frontier begins</t>
        </is>
      </c>
      <c r="E8" t="inlineStr">
        <is>
          <t>FORMULA</t>
        </is>
      </c>
    </row>
    <row r="9">
      <c r="A9" t="inlineStr">
        <is>
          <t>kappa_floor</t>
        </is>
      </c>
      <c r="B9">
        <f>7117/768</f>
        <v>9.266927083333333</v>
      </c>
      <c r="C9" t="inlineStr">
        <is>
          <t>=7117/768</t>
        </is>
      </c>
      <c r="D9" t="inlineStr">
        <is>
          <t>floor kappa</t>
        </is>
      </c>
      <c r="E9" t="inlineStr">
        <is>
          <t>FORMULA</t>
        </is>
      </c>
    </row>
    <row r="10">
      <c r="A10" t="inlineStr">
        <is>
          <t>neutron_G_unit</t>
        </is>
      </c>
      <c r="B10">
        <f>1/64</f>
        <v>0.015625</v>
      </c>
      <c r="C10" t="inlineStr">
        <is>
          <t>=1/64</t>
        </is>
      </c>
      <c r="D10" t="inlineStr">
        <is>
          <t>neutron excess G unit</t>
        </is>
      </c>
      <c r="E10" t="inlineStr">
        <is>
          <t>FORMULA</t>
        </is>
      </c>
    </row>
    <row r="11">
      <c r="A11" t="inlineStr">
        <is>
          <t>tensor_release_T</t>
        </is>
      </c>
      <c r="B11">
        <f>B6/B5</f>
        <v>18</v>
      </c>
      <c r="C11" t="inlineStr">
        <is>
          <t>=R^2/split</t>
        </is>
      </c>
      <c r="D11" t="inlineStr">
        <is>
          <t>carrier tensor release</t>
        </is>
      </c>
      <c r="E11" t="inlineStr">
        <is>
          <t>FORMULA</t>
        </is>
      </c>
    </row>
    <row r="12">
      <c r="A12" t="inlineStr">
        <is>
          <t>neutral_vector_Zc</t>
        </is>
      </c>
      <c r="B12">
        <f>B3^(B3+1)</f>
        <v>81</v>
      </c>
      <c r="C12" t="inlineStr">
        <is>
          <t>=D^(D+1)</t>
        </is>
      </c>
      <c r="D12" t="inlineStr">
        <is>
          <t>neutral vector carrier</t>
        </is>
      </c>
      <c r="E12" t="inlineStr">
        <is>
          <t>FORMULA</t>
        </is>
      </c>
    </row>
    <row r="13">
      <c r="A13" t="inlineStr">
        <is>
          <t>hidden_sum_H</t>
        </is>
      </c>
      <c r="B13">
        <f>SUM(Hidden_Set!D2:D13)</f>
        <v>45</v>
      </c>
      <c r="C13" t="inlineStr">
        <is>
          <t>=SUM(Hidden_Set!D2:D13)</t>
        </is>
      </c>
      <c r="D13" t="inlineStr">
        <is>
          <t>hidden bigrade sum</t>
        </is>
      </c>
      <c r="E13" t="inlineStr">
        <is>
          <t>FORMULA</t>
        </is>
      </c>
    </row>
    <row r="14">
      <c r="A14" t="inlineStr">
        <is>
          <t>clock_boundary</t>
        </is>
      </c>
      <c r="B14">
        <f>B12+B4</f>
        <v>83</v>
      </c>
      <c r="C14" t="inlineStr">
        <is>
          <t>=neutral_vector_Zc+alpha_H</t>
        </is>
      </c>
      <c r="D14" t="inlineStr">
        <is>
          <t>stable boundary</t>
        </is>
      </c>
      <c r="E14" t="inlineStr">
        <is>
          <t>FORMULA</t>
        </is>
      </c>
    </row>
    <row r="15">
      <c r="A15" t="inlineStr">
        <is>
          <t>clock_hole_1</t>
        </is>
      </c>
      <c r="B15">
        <f>B13-B4</f>
        <v>43</v>
      </c>
      <c r="C15" t="inlineStr">
        <is>
          <t>=hidden_sum_H-alpha_H</t>
        </is>
      </c>
      <c r="D15" t="inlineStr">
        <is>
          <t>first hole</t>
        </is>
      </c>
      <c r="E15" t="inlineStr">
        <is>
          <t>FORMULA</t>
        </is>
      </c>
    </row>
    <row r="16">
      <c r="A16" t="inlineStr">
        <is>
          <t>clock_hole_2</t>
        </is>
      </c>
      <c r="B16">
        <f>B15+B11</f>
        <v>61</v>
      </c>
      <c r="C16" t="inlineStr">
        <is>
          <t>=clock_hole_1+tensor_release_T</t>
        </is>
      </c>
      <c r="D16" t="inlineStr">
        <is>
          <t>tensor-shifted hole</t>
        </is>
      </c>
      <c r="E16" t="inlineStr">
        <is>
          <t>FORMULA</t>
        </is>
      </c>
    </row>
    <row r="17">
      <c r="A17" t="inlineStr">
        <is>
          <t>clock_rule</t>
        </is>
      </c>
      <c r="B17" t="inlineStr">
        <is>
          <t>stable iff Z&lt;=83 and Z not in {43,61}</t>
        </is>
      </c>
      <c r="C17" t="inlineStr">
        <is>
          <t>formula text</t>
        </is>
      </c>
      <c r="D17" t="inlineStr">
        <is>
          <t>CLOCK selector</t>
        </is>
      </c>
      <c r="E17" t="inlineStr">
        <is>
          <t>FORMULA_TEXT</t>
        </is>
      </c>
    </row>
  </sheetData>
  <autoFilter ref="A1:E17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10" customWidth="1"/>
    <col min="3" max="3" width="22" customWidth="1"/>
    <col min="4" max="4" width="14" customWidth="1"/>
    <col min="5" max="5" width="18" customWidth="1"/>
  </cols>
  <sheetData>
    <row r="1">
      <c r="A1" t="inlineStr" s="1">
        <is>
          <t>a</t>
        </is>
      </c>
      <c r="B1" t="inlineStr" s="1">
        <is>
          <t>b</t>
        </is>
      </c>
      <c r="C1" t="inlineStr" s="1">
        <is>
          <t>p=alpha_H^a*D^b</t>
        </is>
      </c>
      <c r="D1" t="inlineStr" s="1">
        <is>
          <t>included_p</t>
        </is>
      </c>
      <c r="E1" t="inlineStr" s="1">
        <is>
          <t>include_rule</t>
        </is>
      </c>
    </row>
    <row r="2">
      <c r="A2">
        <v>0</v>
      </c>
      <c r="B2">
        <v>0</v>
      </c>
      <c r="C2">
        <f>Constants!$B$4^A2*Constants!$B$3^B2</f>
        <v>1</v>
      </c>
      <c r="D2">
        <f>IF(C2&lt;=Constants!$B$2,C2,0)</f>
        <v>1</v>
      </c>
      <c r="E2" t="str">
        <f>IF(C2&lt;=Constants!$B$2,"yes","no")</f>
        <v>yes</v>
      </c>
    </row>
    <row r="3">
      <c r="A3">
        <v>0</v>
      </c>
      <c r="B3">
        <v>1</v>
      </c>
      <c r="C3">
        <f>Constants!$B$4^A3*Constants!$B$3^B3</f>
        <v>3</v>
      </c>
      <c r="D3">
        <f>IF(C3&lt;=Constants!$B$2,C3,0)</f>
        <v>3</v>
      </c>
      <c r="E3" t="str">
        <f>IF(C3&lt;=Constants!$B$2,"yes","no")</f>
        <v>yes</v>
      </c>
    </row>
    <row r="4">
      <c r="A4">
        <v>0</v>
      </c>
      <c r="B4">
        <v>2</v>
      </c>
      <c r="C4">
        <f>Constants!$B$4^A4*Constants!$B$3^B4</f>
        <v>9</v>
      </c>
      <c r="D4">
        <f>IF(C4&lt;=Constants!$B$2,C4,0)</f>
        <v>9</v>
      </c>
      <c r="E4" t="str">
        <f>IF(C4&lt;=Constants!$B$2,"yes","no")</f>
        <v>yes</v>
      </c>
    </row>
    <row r="5">
      <c r="A5">
        <v>1</v>
      </c>
      <c r="B5">
        <v>0</v>
      </c>
      <c r="C5">
        <f>Constants!$B$4^A5*Constants!$B$3^B5</f>
        <v>2</v>
      </c>
      <c r="D5">
        <f>IF(C5&lt;=Constants!$B$2,C5,0)</f>
        <v>2</v>
      </c>
      <c r="E5" t="str">
        <f>IF(C5&lt;=Constants!$B$2,"yes","no")</f>
        <v>yes</v>
      </c>
    </row>
    <row r="6">
      <c r="A6">
        <v>1</v>
      </c>
      <c r="B6">
        <v>1</v>
      </c>
      <c r="C6">
        <f>Constants!$B$4^A6*Constants!$B$3^B6</f>
        <v>6</v>
      </c>
      <c r="D6">
        <f>IF(C6&lt;=Constants!$B$2,C6,0)</f>
        <v>6</v>
      </c>
      <c r="E6" t="str">
        <f>IF(C6&lt;=Constants!$B$2,"yes","no")</f>
        <v>yes</v>
      </c>
    </row>
    <row r="7">
      <c r="A7">
        <v>1</v>
      </c>
      <c r="B7">
        <v>2</v>
      </c>
      <c r="C7">
        <f>Constants!$B$4^A7*Constants!$B$3^B7</f>
        <v>18</v>
      </c>
      <c r="D7">
        <f>IF(C7&lt;=Constants!$B$2,C7,0)</f>
        <v>0</v>
      </c>
      <c r="E7" t="str">
        <f>IF(C7&lt;=Constants!$B$2,"yes","no")</f>
        <v>no</v>
      </c>
    </row>
    <row r="8">
      <c r="A8">
        <v>2</v>
      </c>
      <c r="B8">
        <v>0</v>
      </c>
      <c r="C8">
        <f>Constants!$B$4^A8*Constants!$B$3^B8</f>
        <v>4</v>
      </c>
      <c r="D8">
        <f>IF(C8&lt;=Constants!$B$2,C8,0)</f>
        <v>4</v>
      </c>
      <c r="E8" t="str">
        <f>IF(C8&lt;=Constants!$B$2,"yes","no")</f>
        <v>yes</v>
      </c>
    </row>
    <row r="9">
      <c r="A9">
        <v>2</v>
      </c>
      <c r="B9">
        <v>1</v>
      </c>
      <c r="C9">
        <f>Constants!$B$4^A9*Constants!$B$3^B9</f>
        <v>12</v>
      </c>
      <c r="D9">
        <f>IF(C9&lt;=Constants!$B$2,C9,0)</f>
        <v>12</v>
      </c>
      <c r="E9" t="str">
        <f>IF(C9&lt;=Constants!$B$2,"yes","no")</f>
        <v>yes</v>
      </c>
    </row>
    <row r="10">
      <c r="A10">
        <v>2</v>
      </c>
      <c r="B10">
        <v>2</v>
      </c>
      <c r="C10">
        <f>Constants!$B$4^A10*Constants!$B$3^B10</f>
        <v>36</v>
      </c>
      <c r="D10">
        <f>IF(C10&lt;=Constants!$B$2,C10,0)</f>
        <v>0</v>
      </c>
      <c r="E10" t="str">
        <f>IF(C10&lt;=Constants!$B$2,"yes","no")</f>
        <v>no</v>
      </c>
    </row>
    <row r="11">
      <c r="A11">
        <v>3</v>
      </c>
      <c r="B11">
        <v>0</v>
      </c>
      <c r="C11">
        <f>Constants!$B$4^A11*Constants!$B$3^B11</f>
        <v>8</v>
      </c>
      <c r="D11">
        <f>IF(C11&lt;=Constants!$B$2,C11,0)</f>
        <v>8</v>
      </c>
      <c r="E11" t="str">
        <f>IF(C11&lt;=Constants!$B$2,"yes","no")</f>
        <v>yes</v>
      </c>
    </row>
    <row r="12">
      <c r="A12">
        <v>3</v>
      </c>
      <c r="B12">
        <v>1</v>
      </c>
      <c r="C12">
        <f>Constants!$B$4^A12*Constants!$B$3^B12</f>
        <v>24</v>
      </c>
      <c r="D12">
        <f>IF(C12&lt;=Constants!$B$2,C12,0)</f>
        <v>0</v>
      </c>
      <c r="E12" t="str">
        <f>IF(C12&lt;=Constants!$B$2,"yes","no")</f>
        <v>no</v>
      </c>
    </row>
    <row r="13">
      <c r="A13">
        <v>3</v>
      </c>
      <c r="B13">
        <v>2</v>
      </c>
      <c r="C13">
        <f>Constants!$B$4^A13*Constants!$B$3^B13</f>
        <v>72</v>
      </c>
      <c r="D13">
        <f>IF(C13&lt;=Constants!$B$2,C13,0)</f>
        <v>0</v>
      </c>
      <c r="E13" t="str">
        <f>IF(C13&lt;=Constants!$B$2,"yes","no")</f>
        <v>no</v>
      </c>
    </row>
    <row r="14">
      <c r="A14" t="inlineStr">
        <is>
          <t>hidden_sum_H</t>
        </is>
      </c>
      <c r="D14">
        <f>SUM(D2:D13)</f>
        <v>45</v>
      </c>
      <c r="E14" t="inlineStr">
        <is>
          <t>must equal Constants!B13</t>
        </is>
      </c>
    </row>
  </sheetData>
  <autoFilter ref="A1:E14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cols>
    <col min="1" max="1" width="14" customWidth="1"/>
    <col min="2" max="2" width="12" customWidth="1"/>
    <col min="3" max="3" width="14" customWidth="1"/>
    <col min="4" max="4" width="12" customWidth="1"/>
    <col min="5" max="5" width="12" customWidth="1"/>
    <col min="6" max="6" width="34" customWidth="1"/>
  </cols>
  <sheetData>
    <row r="1">
      <c r="A1" t="inlineStr" s="1">
        <is>
          <t>shell_period</t>
        </is>
      </c>
      <c r="B1" t="inlineStr" s="1">
        <is>
          <t>n</t>
        </is>
      </c>
      <c r="C1" t="inlineStr" s="1">
        <is>
          <t>capacity</t>
        </is>
      </c>
      <c r="D1" t="inlineStr" s="1">
        <is>
          <t>start_Z</t>
        </is>
      </c>
      <c r="E1" t="inlineStr" s="1">
        <is>
          <t>end_Z</t>
        </is>
      </c>
      <c r="F1" t="inlineStr" s="1">
        <is>
          <t>n_formula</t>
        </is>
      </c>
    </row>
    <row r="2">
      <c r="A2">
        <v>1</v>
      </c>
      <c r="B2">
        <f>1</f>
        <v>1</v>
      </c>
      <c r="C2">
        <f>2*B2^2</f>
        <v>2</v>
      </c>
      <c r="D2">
        <f>1</f>
        <v>1</v>
      </c>
      <c r="E2">
        <f>SUM($C$2:C2)</f>
        <v>2</v>
      </c>
      <c r="F2" t="inlineStr">
        <is>
          <t>=1</t>
        </is>
      </c>
    </row>
    <row r="3">
      <c r="A3">
        <v>2</v>
      </c>
      <c r="B3">
        <f>Constants!$B$4</f>
        <v>2</v>
      </c>
      <c r="C3">
        <f>2*B3^2</f>
        <v>8</v>
      </c>
      <c r="D3">
        <f>E2+1</f>
        <v>3</v>
      </c>
      <c r="E3">
        <f>SUM($C$2:C3)</f>
        <v>10</v>
      </c>
      <c r="F3" t="inlineStr">
        <is>
          <t>=Constants!$B$4</t>
        </is>
      </c>
    </row>
    <row r="4">
      <c r="A4">
        <v>3</v>
      </c>
      <c r="B4">
        <f>Constants!$B$3</f>
        <v>3</v>
      </c>
      <c r="C4">
        <f>2*B4^2</f>
        <v>18</v>
      </c>
      <c r="D4">
        <f>E3+1</f>
        <v>11</v>
      </c>
      <c r="E4">
        <f>SUM($C$2:C4)</f>
        <v>28</v>
      </c>
      <c r="F4" t="inlineStr">
        <is>
          <t>=Constants!$B$3</t>
        </is>
      </c>
    </row>
    <row r="5">
      <c r="A5">
        <v>4</v>
      </c>
      <c r="B5">
        <f>Constants!$B$2/Constants!$B$3</f>
        <v>4</v>
      </c>
      <c r="C5">
        <f>2*B5^2</f>
        <v>32</v>
      </c>
      <c r="D5">
        <f>E4+1</f>
        <v>29</v>
      </c>
      <c r="E5">
        <f>SUM($C$2:C5)</f>
        <v>60</v>
      </c>
      <c r="F5" t="inlineStr">
        <is>
          <t>=Constants!$B$2/Constants!$B$3</t>
        </is>
      </c>
    </row>
    <row r="6">
      <c r="A6">
        <v>5</v>
      </c>
      <c r="B6">
        <f>Constants!$B$2/Constants!$B$3</f>
        <v>4</v>
      </c>
      <c r="C6">
        <f>2*B6^2</f>
        <v>32</v>
      </c>
      <c r="D6">
        <f>E5+1</f>
        <v>61</v>
      </c>
      <c r="E6">
        <f>SUM($C$2:C6)</f>
        <v>92</v>
      </c>
      <c r="F6" t="inlineStr">
        <is>
          <t>=Constants!$B$2/Constants!$B$3</t>
        </is>
      </c>
    </row>
    <row r="7">
      <c r="A7">
        <v>6</v>
      </c>
      <c r="B7">
        <f>Constants!$B$3</f>
        <v>3</v>
      </c>
      <c r="C7">
        <f>2*B7^2</f>
        <v>18</v>
      </c>
      <c r="D7">
        <f>E6+1</f>
        <v>93</v>
      </c>
      <c r="E7">
        <f>SUM($C$2:C7)</f>
        <v>110</v>
      </c>
      <c r="F7" t="inlineStr">
        <is>
          <t>=Constants!$B$3</t>
        </is>
      </c>
    </row>
    <row r="8">
      <c r="A8">
        <v>7</v>
      </c>
      <c r="B8">
        <f>Constants!$B$4</f>
        <v>2</v>
      </c>
      <c r="C8">
        <f>2*B8^2</f>
        <v>8</v>
      </c>
      <c r="D8">
        <f>E7+1</f>
        <v>111</v>
      </c>
      <c r="E8">
        <f>SUM($C$2:C8)</f>
        <v>118</v>
      </c>
      <c r="F8" t="inlineStr">
        <is>
          <t>=Constants!$B$4</t>
        </is>
      </c>
    </row>
    <row r="9">
      <c r="A9">
        <v>8</v>
      </c>
      <c r="B9">
        <f>Constants!$B$4</f>
        <v>2</v>
      </c>
      <c r="C9">
        <f>2*B9^2</f>
        <v>8</v>
      </c>
      <c r="D9">
        <f>E8+1</f>
        <v>119</v>
      </c>
      <c r="E9">
        <f>SUM($C$2:C9)</f>
        <v>126</v>
      </c>
      <c r="F9" t="inlineStr">
        <is>
          <t>=Constants!$B$4</t>
        </is>
      </c>
    </row>
  </sheetData>
  <autoFilter ref="A1:F9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2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10" max="10" width="14" customWidth="1"/>
    <col min="11" max="11" width="18" customWidth="1"/>
    <col min="15" max="15" width="22" customWidth="1"/>
    <col min="21" max="21" width="16" customWidth="1"/>
    <col min="23" max="23" width="18" customWidth="1"/>
    <col min="24" max="24" width="18" customWidth="1"/>
    <col min="25" max="25" width="18" customWidth="1"/>
    <col min="26" max="26" width="28" customWidth="1"/>
    <col min="28" max="28" width="24" customWidth="1"/>
    <col min="29" max="29" width="32" customWidth="1"/>
  </cols>
  <sheetData>
    <row r="1">
      <c r="A1" t="inlineStr" s="1">
        <is>
          <t>sob_id</t>
        </is>
      </c>
      <c r="B1" t="inlineStr" s="1">
        <is>
          <t>Z</t>
        </is>
      </c>
      <c r="C1" t="inlineStr" s="1">
        <is>
          <t>N</t>
        </is>
      </c>
      <c r="D1" t="inlineStr" s="1">
        <is>
          <t>A</t>
        </is>
      </c>
      <c r="E1" t="inlineStr" s="1">
        <is>
          <t>radix_cycle</t>
        </is>
      </c>
      <c r="F1" t="inlineStr" s="1">
        <is>
          <t>radix_slot</t>
        </is>
      </c>
      <c r="G1" t="inlineStr" s="1">
        <is>
          <t>selected_depth</t>
        </is>
      </c>
      <c r="H1" t="inlineStr" s="1">
        <is>
          <t>delta_n</t>
        </is>
      </c>
      <c r="I1" t="inlineStr" s="1">
        <is>
          <t>residual_twelfths</t>
        </is>
      </c>
      <c r="J1" t="inlineStr" s="1">
        <is>
          <t>P_subscript</t>
        </is>
      </c>
      <c r="K1" t="inlineStr" s="1">
        <is>
          <t>P_address</t>
        </is>
      </c>
      <c r="L1" t="inlineStr" s="1">
        <is>
          <t>quark_u</t>
        </is>
      </c>
      <c r="M1" t="inlineStr" s="1">
        <is>
          <t>quark_d</t>
        </is>
      </c>
      <c r="N1" t="inlineStr" s="1">
        <is>
          <t>quark_e</t>
        </is>
      </c>
      <c r="O1" t="inlineStr" s="1">
        <is>
          <t>quark_address</t>
        </is>
      </c>
      <c r="P1" t="inlineStr" s="1">
        <is>
          <t>shell_period</t>
        </is>
      </c>
      <c r="Q1" t="inlineStr" s="1">
        <is>
          <t>shell_capacity</t>
        </is>
      </c>
      <c r="R1" t="inlineStr" s="1">
        <is>
          <t>shell_occupancy</t>
        </is>
      </c>
      <c r="S1" t="inlineStr" s="1">
        <is>
          <t>shell_status</t>
        </is>
      </c>
      <c r="T1" t="inlineStr" s="1">
        <is>
          <t>native_lane</t>
        </is>
      </c>
      <c r="U1" t="inlineStr" s="1">
        <is>
          <t>clock_prediction</t>
        </is>
      </c>
      <c r="V1" t="inlineStr" s="1">
        <is>
          <t>kappa_floor</t>
        </is>
      </c>
      <c r="W1" t="inlineStr" s="1">
        <is>
          <t>G(P)</t>
        </is>
      </c>
      <c r="X1" t="inlineStr" s="1">
        <is>
          <t>GR(P)</t>
        </is>
      </c>
      <c r="Y1" t="inlineStr" s="1">
        <is>
          <t>retained_7G</t>
        </is>
      </c>
      <c r="Z1" t="inlineStr" s="1">
        <is>
          <t>light_face</t>
        </is>
      </c>
      <c r="AA1" t="inlineStr" s="1">
        <is>
          <t>action_face</t>
        </is>
      </c>
      <c r="AB1" t="inlineStr" s="1">
        <is>
          <t>bottom_A_line</t>
        </is>
      </c>
      <c r="AC1" t="inlineStr" s="1">
        <is>
          <t>construction_source</t>
        </is>
      </c>
    </row>
    <row r="2">
      <c r="A2" t="str">
        <f>"SOB"&amp;B2</f>
        <v>SOB1</v>
      </c>
      <c r="B2">
        <f>ROW()-1</f>
        <v>1</v>
      </c>
      <c r="C2">
        <f>B2+H2</f>
        <v>1</v>
      </c>
      <c r="D2">
        <f>B2+C2</f>
        <v>2</v>
      </c>
      <c r="E2">
        <f>INT((B2-1)/Constants!$B$2)+1</f>
        <v>1</v>
      </c>
      <c r="F2">
        <f>MOD(B2-1,Constants!$B$2)+1</f>
        <v>1</v>
      </c>
      <c r="G2">
        <f>MAX(0,E2-1)</f>
        <v>0</v>
      </c>
      <c r="H2">
        <f>INT(B2*G2/Constants!$B$2)</f>
        <v>0</v>
      </c>
      <c r="I2">
        <f>MOD(B2*G2,Constants!$B$2)</f>
        <v>0</v>
      </c>
      <c r="J2" t="str">
        <f>"P_"&amp;B2&amp;","&amp;D2</f>
        <v>P_1,2</v>
      </c>
      <c r="K2" t="str">
        <f>B2&amp;"p+"&amp;C2&amp;"n+"&amp;B2&amp;"e"</f>
        <v>1p+1n+1e</v>
      </c>
      <c r="L2">
        <f>2*B2+C2</f>
        <v>3</v>
      </c>
      <c r="M2">
        <f>B2+2*C2</f>
        <v>3</v>
      </c>
      <c r="N2">
        <f>B2</f>
        <v>1</v>
      </c>
      <c r="O2" t="str">
        <f>L2&amp;"u+"&amp;M2&amp;"d+"&amp;N2&amp;"e"</f>
        <v>3u+3d+1e</v>
      </c>
      <c r="P2">
        <f>COUNTIF(Shells!$E$2:$E$9,"&lt;"&amp;B2)+1</f>
        <v>1</v>
      </c>
      <c r="Q2">
        <f>INDEX(Shells!$C$2:$C$9,P2)</f>
        <v>2</v>
      </c>
      <c r="R2">
        <f>B2-IF(P2=1,0,INDEX(Shells!$E$2:$E$9,P2-1))</f>
        <v>1</v>
      </c>
      <c r="S2" t="str">
        <f>IF(R2=Q2,"CLOSED_SHELL","OPEN_SHELL")</f>
        <v>OPEN_SHELL</v>
      </c>
      <c r="T2" t="str">
        <f>IF(B2&gt;=Constants!$B$8,"CONSTANT_FRONTIER_TAIL_CANDIDATE",IF(I2=0,"CONSTANT_STABLE_ANCHOR_LANE",IF(I2=Constants!$B$2/2,"CONSTANT_HALF_WRITE_LANE","CONSTANT_BOUND_LADDER_LANE")))</f>
        <v>CONSTANT_STABLE_ANCHOR_LANE</v>
      </c>
      <c r="U2" t="str">
        <f>IF(B2&gt;=Constants!$B$8,"frontier",IF(AND(B2&lt;=Constants!$B$14,B2&lt;&gt;Constants!$B$15,B2&lt;&gt;Constants!$B$16),"stable","radioactive"))</f>
        <v>stable</v>
      </c>
      <c r="V2">
        <f>Constants!$B$9</f>
        <v>9.266927083333333</v>
      </c>
      <c r="W2">
        <f>B2*Constants!$B$9+(C2-B2)*Constants!$B$10</f>
        <v>9.266927083333333</v>
      </c>
      <c r="X2">
        <f>W2*Constants!$B$5</f>
        <v>74.135416666666667</v>
      </c>
      <c r="Y2">
        <f>W2*7</f>
        <v>64.868489583333333</v>
      </c>
      <c r="Z2" t="str">
        <f>"shell "&amp;P2&amp;" occupancy "&amp;R2&amp;"/"&amp;Q2</f>
        <v>shell 1 occupancy 1/2</v>
      </c>
      <c r="AA2" t="str">
        <f>"closure"</f>
        <v>closure</v>
      </c>
      <c r="AB2" t="str">
        <f>"A=Z+N="&amp;B2&amp;"+"&amp;C2&amp;"="&amp;D2</f>
        <v>2</v>
      </c>
      <c r="AC2" t="str">
        <f>"SAM_CONSTANTS_ONLY_NO_FREE_INPUTS"</f>
        <v>SAM_CONSTANTS_ONLY_NO_FREE_INPUTS</v>
      </c>
    </row>
    <row r="3">
      <c r="A3" t="str">
        <f>"SOB"&amp;B3</f>
        <v>SOB2</v>
      </c>
      <c r="B3">
        <f>ROW()-1</f>
        <v>2</v>
      </c>
      <c r="C3">
        <f>B3+H3</f>
        <v>2</v>
      </c>
      <c r="D3">
        <f>B3+C3</f>
        <v>4</v>
      </c>
      <c r="E3">
        <f>INT((B3-1)/Constants!$B$2)+1</f>
        <v>1</v>
      </c>
      <c r="F3">
        <f>MOD(B3-1,Constants!$B$2)+1</f>
        <v>2</v>
      </c>
      <c r="G3">
        <f>MAX(0,E3-1)</f>
        <v>0</v>
      </c>
      <c r="H3">
        <f>INT(B3*G3/Constants!$B$2)</f>
        <v>0</v>
      </c>
      <c r="I3">
        <f>MOD(B3*G3,Constants!$B$2)</f>
        <v>0</v>
      </c>
      <c r="J3" t="str">
        <f>"P_"&amp;B3&amp;","&amp;D3</f>
        <v>P_2,4</v>
      </c>
      <c r="K3" t="str">
        <f>B3&amp;"p+"&amp;C3&amp;"n+"&amp;B3&amp;"e"</f>
        <v>2p+2n+2e</v>
      </c>
      <c r="L3">
        <f>2*B3+C3</f>
        <v>6</v>
      </c>
      <c r="M3">
        <f>B3+2*C3</f>
        <v>6</v>
      </c>
      <c r="N3">
        <f>B3</f>
        <v>2</v>
      </c>
      <c r="O3" t="str">
        <f>L3&amp;"u+"&amp;M3&amp;"d+"&amp;N3&amp;"e"</f>
        <v>6u+6d+2e</v>
      </c>
      <c r="P3">
        <f>COUNTIF(Shells!$E$2:$E$9,"&lt;"&amp;B3)+1</f>
        <v>1</v>
      </c>
      <c r="Q3">
        <f>INDEX(Shells!$C$2:$C$9,P3)</f>
        <v>2</v>
      </c>
      <c r="R3">
        <f>B3-IF(P3=1,0,INDEX(Shells!$E$2:$E$9,P3-1))</f>
        <v>2</v>
      </c>
      <c r="S3" t="str">
        <f>IF(R3=Q3,"CLOSED_SHELL","OPEN_SHELL")</f>
        <v>CLOSED_SHELL</v>
      </c>
      <c r="T3" t="str">
        <f>IF(B3&gt;=Constants!$B$8,"CONSTANT_FRONTIER_TAIL_CANDIDATE",IF(I3=0,"CONSTANT_STABLE_ANCHOR_LANE",IF(I3=Constants!$B$2/2,"CONSTANT_HALF_WRITE_LANE","CONSTANT_BOUND_LADDER_LANE")))</f>
        <v>CONSTANT_STABLE_ANCHOR_LANE</v>
      </c>
      <c r="U3" t="str">
        <f>IF(B3&gt;=Constants!$B$8,"frontier",IF(AND(B3&lt;=Constants!$B$14,B3&lt;&gt;Constants!$B$15,B3&lt;&gt;Constants!$B$16),"stable","radioactive"))</f>
        <v>stable</v>
      </c>
      <c r="V3">
        <f>Constants!$B$9</f>
        <v>9.266927083333333</v>
      </c>
      <c r="W3">
        <f>B3*Constants!$B$9+(C3-B3)*Constants!$B$10</f>
        <v>18.533854166666667</v>
      </c>
      <c r="X3">
        <f>W3*Constants!$B$5</f>
        <v>148.270833333333333</v>
      </c>
      <c r="Y3">
        <f>W3*7</f>
        <v>129.736979166666667</v>
      </c>
      <c r="Z3" t="str">
        <f>"shell "&amp;P3&amp;" occupancy "&amp;R3&amp;"/"&amp;Q3</f>
        <v>shell 1 occupancy 2/2</v>
      </c>
      <c r="AA3" t="str">
        <f>"closure"</f>
        <v>closure</v>
      </c>
      <c r="AB3" t="str">
        <f>"A=Z+N="&amp;B3&amp;"+"&amp;C3&amp;"="&amp;D3</f>
        <v>4</v>
      </c>
      <c r="AC3" t="str">
        <f>"SAM_CONSTANTS_ONLY_NO_FREE_INPUTS"</f>
        <v>SAM_CONSTANTS_ONLY_NO_FREE_INPUTS</v>
      </c>
    </row>
    <row r="4">
      <c r="A4" t="str">
        <f>"SOB"&amp;B4</f>
        <v>SOB3</v>
      </c>
      <c r="B4">
        <f>ROW()-1</f>
        <v>3</v>
      </c>
      <c r="C4">
        <f>B4+H4</f>
        <v>3</v>
      </c>
      <c r="D4">
        <f>B4+C4</f>
        <v>6</v>
      </c>
      <c r="E4">
        <f>INT((B4-1)/Constants!$B$2)+1</f>
        <v>1</v>
      </c>
      <c r="F4">
        <f>MOD(B4-1,Constants!$B$2)+1</f>
        <v>3</v>
      </c>
      <c r="G4">
        <f>MAX(0,E4-1)</f>
        <v>0</v>
      </c>
      <c r="H4">
        <f>INT(B4*G4/Constants!$B$2)</f>
        <v>0</v>
      </c>
      <c r="I4">
        <f>MOD(B4*G4,Constants!$B$2)</f>
        <v>0</v>
      </c>
      <c r="J4" t="str">
        <f>"P_"&amp;B4&amp;","&amp;D4</f>
        <v>P_3,6</v>
      </c>
      <c r="K4" t="str">
        <f>B4&amp;"p+"&amp;C4&amp;"n+"&amp;B4&amp;"e"</f>
        <v>3p+3n+3e</v>
      </c>
      <c r="L4">
        <f>2*B4+C4</f>
        <v>9</v>
      </c>
      <c r="M4">
        <f>B4+2*C4</f>
        <v>9</v>
      </c>
      <c r="N4">
        <f>B4</f>
        <v>3</v>
      </c>
      <c r="O4" t="str">
        <f>L4&amp;"u+"&amp;M4&amp;"d+"&amp;N4&amp;"e"</f>
        <v>9u+9d+3e</v>
      </c>
      <c r="P4">
        <f>COUNTIF(Shells!$E$2:$E$9,"&lt;"&amp;B4)+1</f>
        <v>2</v>
      </c>
      <c r="Q4">
        <f>INDEX(Shells!$C$2:$C$9,P4)</f>
        <v>8</v>
      </c>
      <c r="R4">
        <f>B4-IF(P4=1,0,INDEX(Shells!$E$2:$E$9,P4-1))</f>
        <v>1</v>
      </c>
      <c r="S4" t="str">
        <f>IF(R4=Q4,"CLOSED_SHELL","OPEN_SHELL")</f>
        <v>OPEN_SHELL</v>
      </c>
      <c r="T4" t="str">
        <f>IF(B4&gt;=Constants!$B$8,"CONSTANT_FRONTIER_TAIL_CANDIDATE",IF(I4=0,"CONSTANT_STABLE_ANCHOR_LANE",IF(I4=Constants!$B$2/2,"CONSTANT_HALF_WRITE_LANE","CONSTANT_BOUND_LADDER_LANE")))</f>
        <v>CONSTANT_STABLE_ANCHOR_LANE</v>
      </c>
      <c r="U4" t="str">
        <f>IF(B4&gt;=Constants!$B$8,"frontier",IF(AND(B4&lt;=Constants!$B$14,B4&lt;&gt;Constants!$B$15,B4&lt;&gt;Constants!$B$16),"stable","radioactive"))</f>
        <v>stable</v>
      </c>
      <c r="V4">
        <f>Constants!$B$9</f>
        <v>9.266927083333333</v>
      </c>
      <c r="W4">
        <f>B4*Constants!$B$9+(C4-B4)*Constants!$B$10</f>
        <v>27.80078125</v>
      </c>
      <c r="X4">
        <f>W4*Constants!$B$5</f>
        <v>222.40625</v>
      </c>
      <c r="Y4">
        <f>W4*7</f>
        <v>194.60546875</v>
      </c>
      <c r="Z4" t="str">
        <f>"shell "&amp;P4&amp;" occupancy "&amp;R4&amp;"/"&amp;Q4</f>
        <v>shell 2 occupancy 1/8</v>
      </c>
      <c r="AA4" t="str">
        <f>"closure"</f>
        <v>closure</v>
      </c>
      <c r="AB4" t="str">
        <f>"A=Z+N="&amp;B4&amp;"+"&amp;C4&amp;"="&amp;D4</f>
        <v>6</v>
      </c>
      <c r="AC4" t="str">
        <f>"SAM_CONSTANTS_ONLY_NO_FREE_INPUTS"</f>
        <v>SAM_CONSTANTS_ONLY_NO_FREE_INPUTS</v>
      </c>
    </row>
    <row r="5">
      <c r="A5" t="str">
        <f>"SOB"&amp;B5</f>
        <v>SOB4</v>
      </c>
      <c r="B5">
        <f>ROW()-1</f>
        <v>4</v>
      </c>
      <c r="C5">
        <f>B5+H5</f>
        <v>4</v>
      </c>
      <c r="D5">
        <f>B5+C5</f>
        <v>8</v>
      </c>
      <c r="E5">
        <f>INT((B5-1)/Constants!$B$2)+1</f>
        <v>1</v>
      </c>
      <c r="F5">
        <f>MOD(B5-1,Constants!$B$2)+1</f>
        <v>4</v>
      </c>
      <c r="G5">
        <f>MAX(0,E5-1)</f>
        <v>0</v>
      </c>
      <c r="H5">
        <f>INT(B5*G5/Constants!$B$2)</f>
        <v>0</v>
      </c>
      <c r="I5">
        <f>MOD(B5*G5,Constants!$B$2)</f>
        <v>0</v>
      </c>
      <c r="J5" t="str">
        <f>"P_"&amp;B5&amp;","&amp;D5</f>
        <v>P_4,8</v>
      </c>
      <c r="K5" t="str">
        <f>B5&amp;"p+"&amp;C5&amp;"n+"&amp;B5&amp;"e"</f>
        <v>4p+4n+4e</v>
      </c>
      <c r="L5">
        <f>2*B5+C5</f>
        <v>12</v>
      </c>
      <c r="M5">
        <f>B5+2*C5</f>
        <v>12</v>
      </c>
      <c r="N5">
        <f>B5</f>
        <v>4</v>
      </c>
      <c r="O5" t="str">
        <f>L5&amp;"u+"&amp;M5&amp;"d+"&amp;N5&amp;"e"</f>
        <v>12u+12d+4e</v>
      </c>
      <c r="P5">
        <f>COUNTIF(Shells!$E$2:$E$9,"&lt;"&amp;B5)+1</f>
        <v>2</v>
      </c>
      <c r="Q5">
        <f>INDEX(Shells!$C$2:$C$9,P5)</f>
        <v>8</v>
      </c>
      <c r="R5">
        <f>B5-IF(P5=1,0,INDEX(Shells!$E$2:$E$9,P5-1))</f>
        <v>2</v>
      </c>
      <c r="S5" t="str">
        <f>IF(R5=Q5,"CLOSED_SHELL","OPEN_SHELL")</f>
        <v>OPEN_SHELL</v>
      </c>
      <c r="T5" t="str">
        <f>IF(B5&gt;=Constants!$B$8,"CONSTANT_FRONTIER_TAIL_CANDIDATE",IF(I5=0,"CONSTANT_STABLE_ANCHOR_LANE",IF(I5=Constants!$B$2/2,"CONSTANT_HALF_WRITE_LANE","CONSTANT_BOUND_LADDER_LANE")))</f>
        <v>CONSTANT_STABLE_ANCHOR_LANE</v>
      </c>
      <c r="U5" t="str">
        <f>IF(B5&gt;=Constants!$B$8,"frontier",IF(AND(B5&lt;=Constants!$B$14,B5&lt;&gt;Constants!$B$15,B5&lt;&gt;Constants!$B$16),"stable","radioactive"))</f>
        <v>stable</v>
      </c>
      <c r="V5">
        <f>Constants!$B$9</f>
        <v>9.266927083333333</v>
      </c>
      <c r="W5">
        <f>B5*Constants!$B$9+(C5-B5)*Constants!$B$10</f>
        <v>37.067708333333333</v>
      </c>
      <c r="X5">
        <f>W5*Constants!$B$5</f>
        <v>296.541666666666667</v>
      </c>
      <c r="Y5">
        <f>W5*7</f>
        <v>259.473958333333333</v>
      </c>
      <c r="Z5" t="str">
        <f>"shell "&amp;P5&amp;" occupancy "&amp;R5&amp;"/"&amp;Q5</f>
        <v>shell 2 occupancy 2/8</v>
      </c>
      <c r="AA5" t="str">
        <f>"closure"</f>
        <v>closure</v>
      </c>
      <c r="AB5" t="str">
        <f>"A=Z+N="&amp;B5&amp;"+"&amp;C5&amp;"="&amp;D5</f>
        <v>8</v>
      </c>
      <c r="AC5" t="str">
        <f>"SAM_CONSTANTS_ONLY_NO_FREE_INPUTS"</f>
        <v>SAM_CONSTANTS_ONLY_NO_FREE_INPUTS</v>
      </c>
    </row>
    <row r="6">
      <c r="A6" t="str">
        <f>"SOB"&amp;B6</f>
        <v>SOB5</v>
      </c>
      <c r="B6">
        <f>ROW()-1</f>
        <v>5</v>
      </c>
      <c r="C6">
        <f>B6+H6</f>
        <v>5</v>
      </c>
      <c r="D6">
        <f>B6+C6</f>
        <v>10</v>
      </c>
      <c r="E6">
        <f>INT((B6-1)/Constants!$B$2)+1</f>
        <v>1</v>
      </c>
      <c r="F6">
        <f>MOD(B6-1,Constants!$B$2)+1</f>
        <v>5</v>
      </c>
      <c r="G6">
        <f>MAX(0,E6-1)</f>
        <v>0</v>
      </c>
      <c r="H6">
        <f>INT(B6*G6/Constants!$B$2)</f>
        <v>0</v>
      </c>
      <c r="I6">
        <f>MOD(B6*G6,Constants!$B$2)</f>
        <v>0</v>
      </c>
      <c r="J6" t="str">
        <f>"P_"&amp;B6&amp;","&amp;D6</f>
        <v>P_5,10</v>
      </c>
      <c r="K6" t="str">
        <f>B6&amp;"p+"&amp;C6&amp;"n+"&amp;B6&amp;"e"</f>
        <v>5p+5n+5e</v>
      </c>
      <c r="L6">
        <f>2*B6+C6</f>
        <v>15</v>
      </c>
      <c r="M6">
        <f>B6+2*C6</f>
        <v>15</v>
      </c>
      <c r="N6">
        <f>B6</f>
        <v>5</v>
      </c>
      <c r="O6" t="str">
        <f>L6&amp;"u+"&amp;M6&amp;"d+"&amp;N6&amp;"e"</f>
        <v>15u+15d+5e</v>
      </c>
      <c r="P6">
        <f>COUNTIF(Shells!$E$2:$E$9,"&lt;"&amp;B6)+1</f>
        <v>2</v>
      </c>
      <c r="Q6">
        <f>INDEX(Shells!$C$2:$C$9,P6)</f>
        <v>8</v>
      </c>
      <c r="R6">
        <f>B6-IF(P6=1,0,INDEX(Shells!$E$2:$E$9,P6-1))</f>
        <v>3</v>
      </c>
      <c r="S6" t="str">
        <f>IF(R6=Q6,"CLOSED_SHELL","OPEN_SHELL")</f>
        <v>OPEN_SHELL</v>
      </c>
      <c r="T6" t="str">
        <f>IF(B6&gt;=Constants!$B$8,"CONSTANT_FRONTIER_TAIL_CANDIDATE",IF(I6=0,"CONSTANT_STABLE_ANCHOR_LANE",IF(I6=Constants!$B$2/2,"CONSTANT_HALF_WRITE_LANE","CONSTANT_BOUND_LADDER_LANE")))</f>
        <v>CONSTANT_STABLE_ANCHOR_LANE</v>
      </c>
      <c r="U6" t="str">
        <f>IF(B6&gt;=Constants!$B$8,"frontier",IF(AND(B6&lt;=Constants!$B$14,B6&lt;&gt;Constants!$B$15,B6&lt;&gt;Constants!$B$16),"stable","radioactive"))</f>
        <v>stable</v>
      </c>
      <c r="V6">
        <f>Constants!$B$9</f>
        <v>9.266927083333333</v>
      </c>
      <c r="W6">
        <f>B6*Constants!$B$9+(C6-B6)*Constants!$B$10</f>
        <v>46.334635416666667</v>
      </c>
      <c r="X6">
        <f>W6*Constants!$B$5</f>
        <v>370.677083333333333</v>
      </c>
      <c r="Y6">
        <f>W6*7</f>
        <v>324.342447916666667</v>
      </c>
      <c r="Z6" t="str">
        <f>"shell "&amp;P6&amp;" occupancy "&amp;R6&amp;"/"&amp;Q6</f>
        <v>shell 2 occupancy 3/8</v>
      </c>
      <c r="AA6" t="str">
        <f>"closure"</f>
        <v>closure</v>
      </c>
      <c r="AB6" t="str">
        <f>"A=Z+N="&amp;B6&amp;"+"&amp;C6&amp;"="&amp;D6</f>
        <v>10</v>
      </c>
      <c r="AC6" t="str">
        <f>"SAM_CONSTANTS_ONLY_NO_FREE_INPUTS"</f>
        <v>SAM_CONSTANTS_ONLY_NO_FREE_INPUTS</v>
      </c>
    </row>
    <row r="7">
      <c r="A7" t="str">
        <f>"SOB"&amp;B7</f>
        <v>SOB6</v>
      </c>
      <c r="B7">
        <f>ROW()-1</f>
        <v>6</v>
      </c>
      <c r="C7">
        <f>B7+H7</f>
        <v>6</v>
      </c>
      <c r="D7">
        <f>B7+C7</f>
        <v>12</v>
      </c>
      <c r="E7">
        <f>INT((B7-1)/Constants!$B$2)+1</f>
        <v>1</v>
      </c>
      <c r="F7">
        <f>MOD(B7-1,Constants!$B$2)+1</f>
        <v>6</v>
      </c>
      <c r="G7">
        <f>MAX(0,E7-1)</f>
        <v>0</v>
      </c>
      <c r="H7">
        <f>INT(B7*G7/Constants!$B$2)</f>
        <v>0</v>
      </c>
      <c r="I7">
        <f>MOD(B7*G7,Constants!$B$2)</f>
        <v>0</v>
      </c>
      <c r="J7" t="str">
        <f>"P_"&amp;B7&amp;","&amp;D7</f>
        <v>P_6,12</v>
      </c>
      <c r="K7" t="str">
        <f>B7&amp;"p+"&amp;C7&amp;"n+"&amp;B7&amp;"e"</f>
        <v>6p+6n+6e</v>
      </c>
      <c r="L7">
        <f>2*B7+C7</f>
        <v>18</v>
      </c>
      <c r="M7">
        <f>B7+2*C7</f>
        <v>18</v>
      </c>
      <c r="N7">
        <f>B7</f>
        <v>6</v>
      </c>
      <c r="O7" t="str">
        <f>L7&amp;"u+"&amp;M7&amp;"d+"&amp;N7&amp;"e"</f>
        <v>18u+18d+6e</v>
      </c>
      <c r="P7">
        <f>COUNTIF(Shells!$E$2:$E$9,"&lt;"&amp;B7)+1</f>
        <v>2</v>
      </c>
      <c r="Q7">
        <f>INDEX(Shells!$C$2:$C$9,P7)</f>
        <v>8</v>
      </c>
      <c r="R7">
        <f>B7-IF(P7=1,0,INDEX(Shells!$E$2:$E$9,P7-1))</f>
        <v>4</v>
      </c>
      <c r="S7" t="str">
        <f>IF(R7=Q7,"CLOSED_SHELL","OPEN_SHELL")</f>
        <v>OPEN_SHELL</v>
      </c>
      <c r="T7" t="str">
        <f>IF(B7&gt;=Constants!$B$8,"CONSTANT_FRONTIER_TAIL_CANDIDATE",IF(I7=0,"CONSTANT_STABLE_ANCHOR_LANE",IF(I7=Constants!$B$2/2,"CONSTANT_HALF_WRITE_LANE","CONSTANT_BOUND_LADDER_LANE")))</f>
        <v>CONSTANT_STABLE_ANCHOR_LANE</v>
      </c>
      <c r="U7" t="str">
        <f>IF(B7&gt;=Constants!$B$8,"frontier",IF(AND(B7&lt;=Constants!$B$14,B7&lt;&gt;Constants!$B$15,B7&lt;&gt;Constants!$B$16),"stable","radioactive"))</f>
        <v>stable</v>
      </c>
      <c r="V7">
        <f>Constants!$B$9</f>
        <v>9.266927083333333</v>
      </c>
      <c r="W7">
        <f>B7*Constants!$B$9+(C7-B7)*Constants!$B$10</f>
        <v>55.6015625</v>
      </c>
      <c r="X7">
        <f>W7*Constants!$B$5</f>
        <v>444.8125</v>
      </c>
      <c r="Y7">
        <f>W7*7</f>
        <v>389.2109375</v>
      </c>
      <c r="Z7" t="str">
        <f>"shell "&amp;P7&amp;" occupancy "&amp;R7&amp;"/"&amp;Q7</f>
        <v>shell 2 occupancy 4/8</v>
      </c>
      <c r="AA7" t="str">
        <f>"closure"</f>
        <v>closure</v>
      </c>
      <c r="AB7" t="str">
        <f>"A=Z+N="&amp;B7&amp;"+"&amp;C7&amp;"="&amp;D7</f>
        <v>12</v>
      </c>
      <c r="AC7" t="str">
        <f>"SAM_CONSTANTS_ONLY_NO_FREE_INPUTS"</f>
        <v>SAM_CONSTANTS_ONLY_NO_FREE_INPUTS</v>
      </c>
    </row>
    <row r="8">
      <c r="A8" t="str">
        <f>"SOB"&amp;B8</f>
        <v>SOB7</v>
      </c>
      <c r="B8">
        <f>ROW()-1</f>
        <v>7</v>
      </c>
      <c r="C8">
        <f>B8+H8</f>
        <v>7</v>
      </c>
      <c r="D8">
        <f>B8+C8</f>
        <v>14</v>
      </c>
      <c r="E8">
        <f>INT((B8-1)/Constants!$B$2)+1</f>
        <v>1</v>
      </c>
      <c r="F8">
        <f>MOD(B8-1,Constants!$B$2)+1</f>
        <v>7</v>
      </c>
      <c r="G8">
        <f>MAX(0,E8-1)</f>
        <v>0</v>
      </c>
      <c r="H8">
        <f>INT(B8*G8/Constants!$B$2)</f>
        <v>0</v>
      </c>
      <c r="I8">
        <f>MOD(B8*G8,Constants!$B$2)</f>
        <v>0</v>
      </c>
      <c r="J8" t="str">
        <f>"P_"&amp;B8&amp;","&amp;D8</f>
        <v>P_7,14</v>
      </c>
      <c r="K8" t="str">
        <f>B8&amp;"p+"&amp;C8&amp;"n+"&amp;B8&amp;"e"</f>
        <v>7p+7n+7e</v>
      </c>
      <c r="L8">
        <f>2*B8+C8</f>
        <v>21</v>
      </c>
      <c r="M8">
        <f>B8+2*C8</f>
        <v>21</v>
      </c>
      <c r="N8">
        <f>B8</f>
        <v>7</v>
      </c>
      <c r="O8" t="str">
        <f>L8&amp;"u+"&amp;M8&amp;"d+"&amp;N8&amp;"e"</f>
        <v>21u+21d+7e</v>
      </c>
      <c r="P8">
        <f>COUNTIF(Shells!$E$2:$E$9,"&lt;"&amp;B8)+1</f>
        <v>2</v>
      </c>
      <c r="Q8">
        <f>INDEX(Shells!$C$2:$C$9,P8)</f>
        <v>8</v>
      </c>
      <c r="R8">
        <f>B8-IF(P8=1,0,INDEX(Shells!$E$2:$E$9,P8-1))</f>
        <v>5</v>
      </c>
      <c r="S8" t="str">
        <f>IF(R8=Q8,"CLOSED_SHELL","OPEN_SHELL")</f>
        <v>OPEN_SHELL</v>
      </c>
      <c r="T8" t="str">
        <f>IF(B8&gt;=Constants!$B$8,"CONSTANT_FRONTIER_TAIL_CANDIDATE",IF(I8=0,"CONSTANT_STABLE_ANCHOR_LANE",IF(I8=Constants!$B$2/2,"CONSTANT_HALF_WRITE_LANE","CONSTANT_BOUND_LADDER_LANE")))</f>
        <v>CONSTANT_STABLE_ANCHOR_LANE</v>
      </c>
      <c r="U8" t="str">
        <f>IF(B8&gt;=Constants!$B$8,"frontier",IF(AND(B8&lt;=Constants!$B$14,B8&lt;&gt;Constants!$B$15,B8&lt;&gt;Constants!$B$16),"stable","radioactive"))</f>
        <v>stable</v>
      </c>
      <c r="V8">
        <f>Constants!$B$9</f>
        <v>9.266927083333333</v>
      </c>
      <c r="W8">
        <f>B8*Constants!$B$9+(C8-B8)*Constants!$B$10</f>
        <v>64.868489583333333</v>
      </c>
      <c r="X8">
        <f>W8*Constants!$B$5</f>
        <v>518.947916666666667</v>
      </c>
      <c r="Y8">
        <f>W8*7</f>
        <v>454.079427083333333</v>
      </c>
      <c r="Z8" t="str">
        <f>"shell "&amp;P8&amp;" occupancy "&amp;R8&amp;"/"&amp;Q8</f>
        <v>shell 2 occupancy 5/8</v>
      </c>
      <c r="AA8" t="str">
        <f>"closure"</f>
        <v>closure</v>
      </c>
      <c r="AB8" t="str">
        <f>"A=Z+N="&amp;B8&amp;"+"&amp;C8&amp;"="&amp;D8</f>
        <v>14</v>
      </c>
      <c r="AC8" t="str">
        <f>"SAM_CONSTANTS_ONLY_NO_FREE_INPUTS"</f>
        <v>SAM_CONSTANTS_ONLY_NO_FREE_INPUTS</v>
      </c>
    </row>
    <row r="9">
      <c r="A9" t="str">
        <f>"SOB"&amp;B9</f>
        <v>SOB8</v>
      </c>
      <c r="B9">
        <f>ROW()-1</f>
        <v>8</v>
      </c>
      <c r="C9">
        <f>B9+H9</f>
        <v>8</v>
      </c>
      <c r="D9">
        <f>B9+C9</f>
        <v>16</v>
      </c>
      <c r="E9">
        <f>INT((B9-1)/Constants!$B$2)+1</f>
        <v>1</v>
      </c>
      <c r="F9">
        <f>MOD(B9-1,Constants!$B$2)+1</f>
        <v>8</v>
      </c>
      <c r="G9">
        <f>MAX(0,E9-1)</f>
        <v>0</v>
      </c>
      <c r="H9">
        <f>INT(B9*G9/Constants!$B$2)</f>
        <v>0</v>
      </c>
      <c r="I9">
        <f>MOD(B9*G9,Constants!$B$2)</f>
        <v>0</v>
      </c>
      <c r="J9" t="str">
        <f>"P_"&amp;B9&amp;","&amp;D9</f>
        <v>P_8,16</v>
      </c>
      <c r="K9" t="str">
        <f>B9&amp;"p+"&amp;C9&amp;"n+"&amp;B9&amp;"e"</f>
        <v>8p+8n+8e</v>
      </c>
      <c r="L9">
        <f>2*B9+C9</f>
        <v>24</v>
      </c>
      <c r="M9">
        <f>B9+2*C9</f>
        <v>24</v>
      </c>
      <c r="N9">
        <f>B9</f>
        <v>8</v>
      </c>
      <c r="O9" t="str">
        <f>L9&amp;"u+"&amp;M9&amp;"d+"&amp;N9&amp;"e"</f>
        <v>24u+24d+8e</v>
      </c>
      <c r="P9">
        <f>COUNTIF(Shells!$E$2:$E$9,"&lt;"&amp;B9)+1</f>
        <v>2</v>
      </c>
      <c r="Q9">
        <f>INDEX(Shells!$C$2:$C$9,P9)</f>
        <v>8</v>
      </c>
      <c r="R9">
        <f>B9-IF(P9=1,0,INDEX(Shells!$E$2:$E$9,P9-1))</f>
        <v>6</v>
      </c>
      <c r="S9" t="str">
        <f>IF(R9=Q9,"CLOSED_SHELL","OPEN_SHELL")</f>
        <v>OPEN_SHELL</v>
      </c>
      <c r="T9" t="str">
        <f>IF(B9&gt;=Constants!$B$8,"CONSTANT_FRONTIER_TAIL_CANDIDATE",IF(I9=0,"CONSTANT_STABLE_ANCHOR_LANE",IF(I9=Constants!$B$2/2,"CONSTANT_HALF_WRITE_LANE","CONSTANT_BOUND_LADDER_LANE")))</f>
        <v>CONSTANT_STABLE_ANCHOR_LANE</v>
      </c>
      <c r="U9" t="str">
        <f>IF(B9&gt;=Constants!$B$8,"frontier",IF(AND(B9&lt;=Constants!$B$14,B9&lt;&gt;Constants!$B$15,B9&lt;&gt;Constants!$B$16),"stable","radioactive"))</f>
        <v>stable</v>
      </c>
      <c r="V9">
        <f>Constants!$B$9</f>
        <v>9.266927083333333</v>
      </c>
      <c r="W9">
        <f>B9*Constants!$B$9+(C9-B9)*Constants!$B$10</f>
        <v>74.135416666666667</v>
      </c>
      <c r="X9">
        <f>W9*Constants!$B$5</f>
        <v>593.083333333333333</v>
      </c>
      <c r="Y9">
        <f>W9*7</f>
        <v>518.947916666666667</v>
      </c>
      <c r="Z9" t="str">
        <f>"shell "&amp;P9&amp;" occupancy "&amp;R9&amp;"/"&amp;Q9</f>
        <v>shell 2 occupancy 6/8</v>
      </c>
      <c r="AA9" t="str">
        <f>"closure"</f>
        <v>closure</v>
      </c>
      <c r="AB9" t="str">
        <f>"A=Z+N="&amp;B9&amp;"+"&amp;C9&amp;"="&amp;D9</f>
        <v>16</v>
      </c>
      <c r="AC9" t="str">
        <f>"SAM_CONSTANTS_ONLY_NO_FREE_INPUTS"</f>
        <v>SAM_CONSTANTS_ONLY_NO_FREE_INPUTS</v>
      </c>
    </row>
    <row r="10">
      <c r="A10" t="str">
        <f>"SOB"&amp;B10</f>
        <v>SOB9</v>
      </c>
      <c r="B10">
        <f>ROW()-1</f>
        <v>9</v>
      </c>
      <c r="C10">
        <f>B10+H10</f>
        <v>9</v>
      </c>
      <c r="D10">
        <f>B10+C10</f>
        <v>18</v>
      </c>
      <c r="E10">
        <f>INT((B10-1)/Constants!$B$2)+1</f>
        <v>1</v>
      </c>
      <c r="F10">
        <f>MOD(B10-1,Constants!$B$2)+1</f>
        <v>9</v>
      </c>
      <c r="G10">
        <f>MAX(0,E10-1)</f>
        <v>0</v>
      </c>
      <c r="H10">
        <f>INT(B10*G10/Constants!$B$2)</f>
        <v>0</v>
      </c>
      <c r="I10">
        <f>MOD(B10*G10,Constants!$B$2)</f>
        <v>0</v>
      </c>
      <c r="J10" t="str">
        <f>"P_"&amp;B10&amp;","&amp;D10</f>
        <v>P_9,18</v>
      </c>
      <c r="K10" t="str">
        <f>B10&amp;"p+"&amp;C10&amp;"n+"&amp;B10&amp;"e"</f>
        <v>9p+9n+9e</v>
      </c>
      <c r="L10">
        <f>2*B10+C10</f>
        <v>27</v>
      </c>
      <c r="M10">
        <f>B10+2*C10</f>
        <v>27</v>
      </c>
      <c r="N10">
        <f>B10</f>
        <v>9</v>
      </c>
      <c r="O10" t="str">
        <f>L10&amp;"u+"&amp;M10&amp;"d+"&amp;N10&amp;"e"</f>
        <v>27u+27d+9e</v>
      </c>
      <c r="P10">
        <f>COUNTIF(Shells!$E$2:$E$9,"&lt;"&amp;B10)+1</f>
        <v>2</v>
      </c>
      <c r="Q10">
        <f>INDEX(Shells!$C$2:$C$9,P10)</f>
        <v>8</v>
      </c>
      <c r="R10">
        <f>B10-IF(P10=1,0,INDEX(Shells!$E$2:$E$9,P10-1))</f>
        <v>7</v>
      </c>
      <c r="S10" t="str">
        <f>IF(R10=Q10,"CLOSED_SHELL","OPEN_SHELL")</f>
        <v>OPEN_SHELL</v>
      </c>
      <c r="T10" t="str">
        <f>IF(B10&gt;=Constants!$B$8,"CONSTANT_FRONTIER_TAIL_CANDIDATE",IF(I10=0,"CONSTANT_STABLE_ANCHOR_LANE",IF(I10=Constants!$B$2/2,"CONSTANT_HALF_WRITE_LANE","CONSTANT_BOUND_LADDER_LANE")))</f>
        <v>CONSTANT_STABLE_ANCHOR_LANE</v>
      </c>
      <c r="U10" t="str">
        <f>IF(B10&gt;=Constants!$B$8,"frontier",IF(AND(B10&lt;=Constants!$B$14,B10&lt;&gt;Constants!$B$15,B10&lt;&gt;Constants!$B$16),"stable","radioactive"))</f>
        <v>stable</v>
      </c>
      <c r="V10">
        <f>Constants!$B$9</f>
        <v>9.266927083333333</v>
      </c>
      <c r="W10">
        <f>B10*Constants!$B$9+(C10-B10)*Constants!$B$10</f>
        <v>83.40234375</v>
      </c>
      <c r="X10">
        <f>W10*Constants!$B$5</f>
        <v>667.21875</v>
      </c>
      <c r="Y10">
        <f>W10*7</f>
        <v>583.81640625</v>
      </c>
      <c r="Z10" t="str">
        <f>"shell "&amp;P10&amp;" occupancy "&amp;R10&amp;"/"&amp;Q10</f>
        <v>shell 2 occupancy 7/8</v>
      </c>
      <c r="AA10" t="str">
        <f>"closure"</f>
        <v>closure</v>
      </c>
      <c r="AB10" t="str">
        <f>"A=Z+N="&amp;B10&amp;"+"&amp;C10&amp;"="&amp;D10</f>
        <v>18</v>
      </c>
      <c r="AC10" t="str">
        <f>"SAM_CONSTANTS_ONLY_NO_FREE_INPUTS"</f>
        <v>SAM_CONSTANTS_ONLY_NO_FREE_INPUTS</v>
      </c>
    </row>
    <row r="11">
      <c r="A11" t="str">
        <f>"SOB"&amp;B11</f>
        <v>SOB10</v>
      </c>
      <c r="B11">
        <f>ROW()-1</f>
        <v>10</v>
      </c>
      <c r="C11">
        <f>B11+H11</f>
        <v>10</v>
      </c>
      <c r="D11">
        <f>B11+C11</f>
        <v>20</v>
      </c>
      <c r="E11">
        <f>INT((B11-1)/Constants!$B$2)+1</f>
        <v>1</v>
      </c>
      <c r="F11">
        <f>MOD(B11-1,Constants!$B$2)+1</f>
        <v>10</v>
      </c>
      <c r="G11">
        <f>MAX(0,E11-1)</f>
        <v>0</v>
      </c>
      <c r="H11">
        <f>INT(B11*G11/Constants!$B$2)</f>
        <v>0</v>
      </c>
      <c r="I11">
        <f>MOD(B11*G11,Constants!$B$2)</f>
        <v>0</v>
      </c>
      <c r="J11" t="str">
        <f>"P_"&amp;B11&amp;","&amp;D11</f>
        <v>P_10,20</v>
      </c>
      <c r="K11" t="str">
        <f>B11&amp;"p+"&amp;C11&amp;"n+"&amp;B11&amp;"e"</f>
        <v>10p+10n+10e</v>
      </c>
      <c r="L11">
        <f>2*B11+C11</f>
        <v>30</v>
      </c>
      <c r="M11">
        <f>B11+2*C11</f>
        <v>30</v>
      </c>
      <c r="N11">
        <f>B11</f>
        <v>10</v>
      </c>
      <c r="O11" t="str">
        <f>L11&amp;"u+"&amp;M11&amp;"d+"&amp;N11&amp;"e"</f>
        <v>30u+30d+10e</v>
      </c>
      <c r="P11">
        <f>COUNTIF(Shells!$E$2:$E$9,"&lt;"&amp;B11)+1</f>
        <v>2</v>
      </c>
      <c r="Q11">
        <f>INDEX(Shells!$C$2:$C$9,P11)</f>
        <v>8</v>
      </c>
      <c r="R11">
        <f>B11-IF(P11=1,0,INDEX(Shells!$E$2:$E$9,P11-1))</f>
        <v>8</v>
      </c>
      <c r="S11" t="str">
        <f>IF(R11=Q11,"CLOSED_SHELL","OPEN_SHELL")</f>
        <v>CLOSED_SHELL</v>
      </c>
      <c r="T11" t="str">
        <f>IF(B11&gt;=Constants!$B$8,"CONSTANT_FRONTIER_TAIL_CANDIDATE",IF(I11=0,"CONSTANT_STABLE_ANCHOR_LANE",IF(I11=Constants!$B$2/2,"CONSTANT_HALF_WRITE_LANE","CONSTANT_BOUND_LADDER_LANE")))</f>
        <v>CONSTANT_STABLE_ANCHOR_LANE</v>
      </c>
      <c r="U11" t="str">
        <f>IF(B11&gt;=Constants!$B$8,"frontier",IF(AND(B11&lt;=Constants!$B$14,B11&lt;&gt;Constants!$B$15,B11&lt;&gt;Constants!$B$16),"stable","radioactive"))</f>
        <v>stable</v>
      </c>
      <c r="V11">
        <f>Constants!$B$9</f>
        <v>9.266927083333333</v>
      </c>
      <c r="W11">
        <f>B11*Constants!$B$9+(C11-B11)*Constants!$B$10</f>
        <v>92.669270833333333</v>
      </c>
      <c r="X11">
        <f>W11*Constants!$B$5</f>
        <v>741.354166666666667</v>
      </c>
      <c r="Y11">
        <f>W11*7</f>
        <v>648.684895833333333</v>
      </c>
      <c r="Z11" t="str">
        <f>"shell "&amp;P11&amp;" occupancy "&amp;R11&amp;"/"&amp;Q11</f>
        <v>shell 2 occupancy 8/8</v>
      </c>
      <c r="AA11" t="str">
        <f>"closure"</f>
        <v>closure</v>
      </c>
      <c r="AB11" t="str">
        <f>"A=Z+N="&amp;B11&amp;"+"&amp;C11&amp;"="&amp;D11</f>
        <v>20</v>
      </c>
      <c r="AC11" t="str">
        <f>"SAM_CONSTANTS_ONLY_NO_FREE_INPUTS"</f>
        <v>SAM_CONSTANTS_ONLY_NO_FREE_INPUTS</v>
      </c>
    </row>
    <row r="12">
      <c r="A12" t="str">
        <f>"SOB"&amp;B12</f>
        <v>SOB11</v>
      </c>
      <c r="B12">
        <f>ROW()-1</f>
        <v>11</v>
      </c>
      <c r="C12">
        <f>B12+H12</f>
        <v>11</v>
      </c>
      <c r="D12">
        <f>B12+C12</f>
        <v>22</v>
      </c>
      <c r="E12">
        <f>INT((B12-1)/Constants!$B$2)+1</f>
        <v>1</v>
      </c>
      <c r="F12">
        <f>MOD(B12-1,Constants!$B$2)+1</f>
        <v>11</v>
      </c>
      <c r="G12">
        <f>MAX(0,E12-1)</f>
        <v>0</v>
      </c>
      <c r="H12">
        <f>INT(B12*G12/Constants!$B$2)</f>
        <v>0</v>
      </c>
      <c r="I12">
        <f>MOD(B12*G12,Constants!$B$2)</f>
        <v>0</v>
      </c>
      <c r="J12" t="str">
        <f>"P_"&amp;B12&amp;","&amp;D12</f>
        <v>P_11,22</v>
      </c>
      <c r="K12" t="str">
        <f>B12&amp;"p+"&amp;C12&amp;"n+"&amp;B12&amp;"e"</f>
        <v>11p+11n+11e</v>
      </c>
      <c r="L12">
        <f>2*B12+C12</f>
        <v>33</v>
      </c>
      <c r="M12">
        <f>B12+2*C12</f>
        <v>33</v>
      </c>
      <c r="N12">
        <f>B12</f>
        <v>11</v>
      </c>
      <c r="O12" t="str">
        <f>L12&amp;"u+"&amp;M12&amp;"d+"&amp;N12&amp;"e"</f>
        <v>33u+33d+11e</v>
      </c>
      <c r="P12">
        <f>COUNTIF(Shells!$E$2:$E$9,"&lt;"&amp;B12)+1</f>
        <v>3</v>
      </c>
      <c r="Q12">
        <f>INDEX(Shells!$C$2:$C$9,P12)</f>
        <v>18</v>
      </c>
      <c r="R12">
        <f>B12-IF(P12=1,0,INDEX(Shells!$E$2:$E$9,P12-1))</f>
        <v>1</v>
      </c>
      <c r="S12" t="str">
        <f>IF(R12=Q12,"CLOSED_SHELL","OPEN_SHELL")</f>
        <v>OPEN_SHELL</v>
      </c>
      <c r="T12" t="str">
        <f>IF(B12&gt;=Constants!$B$8,"CONSTANT_FRONTIER_TAIL_CANDIDATE",IF(I12=0,"CONSTANT_STABLE_ANCHOR_LANE",IF(I12=Constants!$B$2/2,"CONSTANT_HALF_WRITE_LANE","CONSTANT_BOUND_LADDER_LANE")))</f>
        <v>CONSTANT_STABLE_ANCHOR_LANE</v>
      </c>
      <c r="U12" t="str">
        <f>IF(B12&gt;=Constants!$B$8,"frontier",IF(AND(B12&lt;=Constants!$B$14,B12&lt;&gt;Constants!$B$15,B12&lt;&gt;Constants!$B$16),"stable","radioactive"))</f>
        <v>stable</v>
      </c>
      <c r="V12">
        <f>Constants!$B$9</f>
        <v>9.266927083333333</v>
      </c>
      <c r="W12">
        <f>B12*Constants!$B$9+(C12-B12)*Constants!$B$10</f>
        <v>101.936197916666667</v>
      </c>
      <c r="X12">
        <f>W12*Constants!$B$5</f>
        <v>815.489583333333333</v>
      </c>
      <c r="Y12">
        <f>W12*7</f>
        <v>713.553385416666667</v>
      </c>
      <c r="Z12" t="str">
        <f>"shell "&amp;P12&amp;" occupancy "&amp;R12&amp;"/"&amp;Q12</f>
        <v>shell 3 occupancy 1/18</v>
      </c>
      <c r="AA12" t="str">
        <f>"closure"</f>
        <v>closure</v>
      </c>
      <c r="AB12" t="str">
        <f>"A=Z+N="&amp;B12&amp;"+"&amp;C12&amp;"="&amp;D12</f>
        <v>22</v>
      </c>
      <c r="AC12" t="str">
        <f>"SAM_CONSTANTS_ONLY_NO_FREE_INPUTS"</f>
        <v>SAM_CONSTANTS_ONLY_NO_FREE_INPUTS</v>
      </c>
    </row>
    <row r="13">
      <c r="A13" t="str">
        <f>"SOB"&amp;B13</f>
        <v>SOB12</v>
      </c>
      <c r="B13">
        <f>ROW()-1</f>
        <v>12</v>
      </c>
      <c r="C13">
        <f>B13+H13</f>
        <v>12</v>
      </c>
      <c r="D13">
        <f>B13+C13</f>
        <v>24</v>
      </c>
      <c r="E13">
        <f>INT((B13-1)/Constants!$B$2)+1</f>
        <v>1</v>
      </c>
      <c r="F13">
        <f>MOD(B13-1,Constants!$B$2)+1</f>
        <v>12</v>
      </c>
      <c r="G13">
        <f>MAX(0,E13-1)</f>
        <v>0</v>
      </c>
      <c r="H13">
        <f>INT(B13*G13/Constants!$B$2)</f>
        <v>0</v>
      </c>
      <c r="I13">
        <f>MOD(B13*G13,Constants!$B$2)</f>
        <v>0</v>
      </c>
      <c r="J13" t="str">
        <f>"P_"&amp;B13&amp;","&amp;D13</f>
        <v>P_12,24</v>
      </c>
      <c r="K13" t="str">
        <f>B13&amp;"p+"&amp;C13&amp;"n+"&amp;B13&amp;"e"</f>
        <v>12p+12n+12e</v>
      </c>
      <c r="L13">
        <f>2*B13+C13</f>
        <v>36</v>
      </c>
      <c r="M13">
        <f>B13+2*C13</f>
        <v>36</v>
      </c>
      <c r="N13">
        <f>B13</f>
        <v>12</v>
      </c>
      <c r="O13" t="str">
        <f>L13&amp;"u+"&amp;M13&amp;"d+"&amp;N13&amp;"e"</f>
        <v>36u+36d+12e</v>
      </c>
      <c r="P13">
        <f>COUNTIF(Shells!$E$2:$E$9,"&lt;"&amp;B13)+1</f>
        <v>3</v>
      </c>
      <c r="Q13">
        <f>INDEX(Shells!$C$2:$C$9,P13)</f>
        <v>18</v>
      </c>
      <c r="R13">
        <f>B13-IF(P13=1,0,INDEX(Shells!$E$2:$E$9,P13-1))</f>
        <v>2</v>
      </c>
      <c r="S13" t="str">
        <f>IF(R13=Q13,"CLOSED_SHELL","OPEN_SHELL")</f>
        <v>OPEN_SHELL</v>
      </c>
      <c r="T13" t="str">
        <f>IF(B13&gt;=Constants!$B$8,"CONSTANT_FRONTIER_TAIL_CANDIDATE",IF(I13=0,"CONSTANT_STABLE_ANCHOR_LANE",IF(I13=Constants!$B$2/2,"CONSTANT_HALF_WRITE_LANE","CONSTANT_BOUND_LADDER_LANE")))</f>
        <v>CONSTANT_STABLE_ANCHOR_LANE</v>
      </c>
      <c r="U13" t="str">
        <f>IF(B13&gt;=Constants!$B$8,"frontier",IF(AND(B13&lt;=Constants!$B$14,B13&lt;&gt;Constants!$B$15,B13&lt;&gt;Constants!$B$16),"stable","radioactive"))</f>
        <v>stable</v>
      </c>
      <c r="V13">
        <f>Constants!$B$9</f>
        <v>9.266927083333333</v>
      </c>
      <c r="W13">
        <f>B13*Constants!$B$9+(C13-B13)*Constants!$B$10</f>
        <v>111.203125</v>
      </c>
      <c r="X13">
        <f>W13*Constants!$B$5</f>
        <v>889.625</v>
      </c>
      <c r="Y13">
        <f>W13*7</f>
        <v>778.421875</v>
      </c>
      <c r="Z13" t="str">
        <f>"shell "&amp;P13&amp;" occupancy "&amp;R13&amp;"/"&amp;Q13</f>
        <v>shell 3 occupancy 2/18</v>
      </c>
      <c r="AA13" t="str">
        <f>"closure"</f>
        <v>closure</v>
      </c>
      <c r="AB13" t="str">
        <f>"A=Z+N="&amp;B13&amp;"+"&amp;C13&amp;"="&amp;D13</f>
        <v>24</v>
      </c>
      <c r="AC13" t="str">
        <f>"SAM_CONSTANTS_ONLY_NO_FREE_INPUTS"</f>
        <v>SAM_CONSTANTS_ONLY_NO_FREE_INPUTS</v>
      </c>
    </row>
    <row r="14">
      <c r="A14" t="str">
        <f>"SOB"&amp;B14</f>
        <v>SOB13</v>
      </c>
      <c r="B14">
        <f>ROW()-1</f>
        <v>13</v>
      </c>
      <c r="C14">
        <f>B14+H14</f>
        <v>14</v>
      </c>
      <c r="D14">
        <f>B14+C14</f>
        <v>27</v>
      </c>
      <c r="E14">
        <f>INT((B14-1)/Constants!$B$2)+1</f>
        <v>2</v>
      </c>
      <c r="F14">
        <f>MOD(B14-1,Constants!$B$2)+1</f>
        <v>1</v>
      </c>
      <c r="G14">
        <f>MAX(0,E14-1)</f>
        <v>1</v>
      </c>
      <c r="H14">
        <f>INT(B14*G14/Constants!$B$2)</f>
        <v>1</v>
      </c>
      <c r="I14">
        <f>MOD(B14*G14,Constants!$B$2)</f>
        <v>1</v>
      </c>
      <c r="J14" t="str">
        <f>"P_"&amp;B14&amp;","&amp;D14</f>
        <v>P_13,27</v>
      </c>
      <c r="K14" t="str">
        <f>B14&amp;"p+"&amp;C14&amp;"n+"&amp;B14&amp;"e"</f>
        <v>13p+14n+13e</v>
      </c>
      <c r="L14">
        <f>2*B14+C14</f>
        <v>40</v>
      </c>
      <c r="M14">
        <f>B14+2*C14</f>
        <v>41</v>
      </c>
      <c r="N14">
        <f>B14</f>
        <v>13</v>
      </c>
      <c r="O14" t="str">
        <f>L14&amp;"u+"&amp;M14&amp;"d+"&amp;N14&amp;"e"</f>
        <v>40u+41d+13e</v>
      </c>
      <c r="P14">
        <f>COUNTIF(Shells!$E$2:$E$9,"&lt;"&amp;B14)+1</f>
        <v>3</v>
      </c>
      <c r="Q14">
        <f>INDEX(Shells!$C$2:$C$9,P14)</f>
        <v>18</v>
      </c>
      <c r="R14">
        <f>B14-IF(P14=1,0,INDEX(Shells!$E$2:$E$9,P14-1))</f>
        <v>3</v>
      </c>
      <c r="S14" t="str">
        <f>IF(R14=Q14,"CLOSED_SHELL","OPEN_SHELL")</f>
        <v>OPEN_SHELL</v>
      </c>
      <c r="T14" t="str">
        <f>IF(B14&gt;=Constants!$B$8,"CONSTANT_FRONTIER_TAIL_CANDIDATE",IF(I14=0,"CONSTANT_STABLE_ANCHOR_LANE",IF(I14=Constants!$B$2/2,"CONSTANT_HALF_WRITE_LANE","CONSTANT_BOUND_LADDER_LANE")))</f>
        <v>CONSTANT_BOUND_LADDER_LANE</v>
      </c>
      <c r="U14" t="str">
        <f>IF(B14&gt;=Constants!$B$8,"frontier",IF(AND(B14&lt;=Constants!$B$14,B14&lt;&gt;Constants!$B$15,B14&lt;&gt;Constants!$B$16),"stable","radioactive"))</f>
        <v>stable</v>
      </c>
      <c r="V14">
        <f>Constants!$B$9</f>
        <v>9.266927083333333</v>
      </c>
      <c r="W14">
        <f>B14*Constants!$B$9+(C14-B14)*Constants!$B$10</f>
        <v>120.485677083333333</v>
      </c>
      <c r="X14">
        <f>W14*Constants!$B$5</f>
        <v>963.885416666666667</v>
      </c>
      <c r="Y14">
        <f>W14*7</f>
        <v>843.399739583333333</v>
      </c>
      <c r="Z14" t="str">
        <f>"shell "&amp;P14&amp;" occupancy "&amp;R14&amp;"/"&amp;Q14</f>
        <v>shell 3 occupancy 3/18</v>
      </c>
      <c r="AA14" t="str">
        <f>"closure"</f>
        <v>closure</v>
      </c>
      <c r="AB14" t="str">
        <f>"A=Z+N="&amp;B14&amp;"+"&amp;C14&amp;"="&amp;D14</f>
        <v>27</v>
      </c>
      <c r="AC14" t="str">
        <f>"SAM_CONSTANTS_ONLY_NO_FREE_INPUTS"</f>
        <v>SAM_CONSTANTS_ONLY_NO_FREE_INPUTS</v>
      </c>
    </row>
    <row r="15">
      <c r="A15" t="str">
        <f>"SOB"&amp;B15</f>
        <v>SOB14</v>
      </c>
      <c r="B15">
        <f>ROW()-1</f>
        <v>14</v>
      </c>
      <c r="C15">
        <f>B15+H15</f>
        <v>15</v>
      </c>
      <c r="D15">
        <f>B15+C15</f>
        <v>29</v>
      </c>
      <c r="E15">
        <f>INT((B15-1)/Constants!$B$2)+1</f>
        <v>2</v>
      </c>
      <c r="F15">
        <f>MOD(B15-1,Constants!$B$2)+1</f>
        <v>2</v>
      </c>
      <c r="G15">
        <f>MAX(0,E15-1)</f>
        <v>1</v>
      </c>
      <c r="H15">
        <f>INT(B15*G15/Constants!$B$2)</f>
        <v>1</v>
      </c>
      <c r="I15">
        <f>MOD(B15*G15,Constants!$B$2)</f>
        <v>2</v>
      </c>
      <c r="J15" t="str">
        <f>"P_"&amp;B15&amp;","&amp;D15</f>
        <v>P_14,29</v>
      </c>
      <c r="K15" t="str">
        <f>B15&amp;"p+"&amp;C15&amp;"n+"&amp;B15&amp;"e"</f>
        <v>14p+15n+14e</v>
      </c>
      <c r="L15">
        <f>2*B15+C15</f>
        <v>43</v>
      </c>
      <c r="M15">
        <f>B15+2*C15</f>
        <v>44</v>
      </c>
      <c r="N15">
        <f>B15</f>
        <v>14</v>
      </c>
      <c r="O15" t="str">
        <f>L15&amp;"u+"&amp;M15&amp;"d+"&amp;N15&amp;"e"</f>
        <v>43u+44d+14e</v>
      </c>
      <c r="P15">
        <f>COUNTIF(Shells!$E$2:$E$9,"&lt;"&amp;B15)+1</f>
        <v>3</v>
      </c>
      <c r="Q15">
        <f>INDEX(Shells!$C$2:$C$9,P15)</f>
        <v>18</v>
      </c>
      <c r="R15">
        <f>B15-IF(P15=1,0,INDEX(Shells!$E$2:$E$9,P15-1))</f>
        <v>4</v>
      </c>
      <c r="S15" t="str">
        <f>IF(R15=Q15,"CLOSED_SHELL","OPEN_SHELL")</f>
        <v>OPEN_SHELL</v>
      </c>
      <c r="T15" t="str">
        <f>IF(B15&gt;=Constants!$B$8,"CONSTANT_FRONTIER_TAIL_CANDIDATE",IF(I15=0,"CONSTANT_STABLE_ANCHOR_LANE",IF(I15=Constants!$B$2/2,"CONSTANT_HALF_WRITE_LANE","CONSTANT_BOUND_LADDER_LANE")))</f>
        <v>CONSTANT_BOUND_LADDER_LANE</v>
      </c>
      <c r="U15" t="str">
        <f>IF(B15&gt;=Constants!$B$8,"frontier",IF(AND(B15&lt;=Constants!$B$14,B15&lt;&gt;Constants!$B$15,B15&lt;&gt;Constants!$B$16),"stable","radioactive"))</f>
        <v>stable</v>
      </c>
      <c r="V15">
        <f>Constants!$B$9</f>
        <v>9.266927083333333</v>
      </c>
      <c r="W15">
        <f>B15*Constants!$B$9+(C15-B15)*Constants!$B$10</f>
        <v>129.752604166666667</v>
      </c>
      <c r="X15">
        <f>W15*Constants!$B$5</f>
        <v>1038.020833333333333</v>
      </c>
      <c r="Y15">
        <f>W15*7</f>
        <v>908.268229166666667</v>
      </c>
      <c r="Z15" t="str">
        <f>"shell "&amp;P15&amp;" occupancy "&amp;R15&amp;"/"&amp;Q15</f>
        <v>shell 3 occupancy 4/18</v>
      </c>
      <c r="AA15" t="str">
        <f>"closure"</f>
        <v>closure</v>
      </c>
      <c r="AB15" t="str">
        <f>"A=Z+N="&amp;B15&amp;"+"&amp;C15&amp;"="&amp;D15</f>
        <v>29</v>
      </c>
      <c r="AC15" t="str">
        <f>"SAM_CONSTANTS_ONLY_NO_FREE_INPUTS"</f>
        <v>SAM_CONSTANTS_ONLY_NO_FREE_INPUTS</v>
      </c>
    </row>
    <row r="16">
      <c r="A16" t="str">
        <f>"SOB"&amp;B16</f>
        <v>SOB15</v>
      </c>
      <c r="B16">
        <f>ROW()-1</f>
        <v>15</v>
      </c>
      <c r="C16">
        <f>B16+H16</f>
        <v>16</v>
      </c>
      <c r="D16">
        <f>B16+C16</f>
        <v>31</v>
      </c>
      <c r="E16">
        <f>INT((B16-1)/Constants!$B$2)+1</f>
        <v>2</v>
      </c>
      <c r="F16">
        <f>MOD(B16-1,Constants!$B$2)+1</f>
        <v>3</v>
      </c>
      <c r="G16">
        <f>MAX(0,E16-1)</f>
        <v>1</v>
      </c>
      <c r="H16">
        <f>INT(B16*G16/Constants!$B$2)</f>
        <v>1</v>
      </c>
      <c r="I16">
        <f>MOD(B16*G16,Constants!$B$2)</f>
        <v>3</v>
      </c>
      <c r="J16" t="str">
        <f>"P_"&amp;B16&amp;","&amp;D16</f>
        <v>P_15,31</v>
      </c>
      <c r="K16" t="str">
        <f>B16&amp;"p+"&amp;C16&amp;"n+"&amp;B16&amp;"e"</f>
        <v>15p+16n+15e</v>
      </c>
      <c r="L16">
        <f>2*B16+C16</f>
        <v>46</v>
      </c>
      <c r="M16">
        <f>B16+2*C16</f>
        <v>47</v>
      </c>
      <c r="N16">
        <f>B16</f>
        <v>15</v>
      </c>
      <c r="O16" t="str">
        <f>L16&amp;"u+"&amp;M16&amp;"d+"&amp;N16&amp;"e"</f>
        <v>46u+47d+15e</v>
      </c>
      <c r="P16">
        <f>COUNTIF(Shells!$E$2:$E$9,"&lt;"&amp;B16)+1</f>
        <v>3</v>
      </c>
      <c r="Q16">
        <f>INDEX(Shells!$C$2:$C$9,P16)</f>
        <v>18</v>
      </c>
      <c r="R16">
        <f>B16-IF(P16=1,0,INDEX(Shells!$E$2:$E$9,P16-1))</f>
        <v>5</v>
      </c>
      <c r="S16" t="str">
        <f>IF(R16=Q16,"CLOSED_SHELL","OPEN_SHELL")</f>
        <v>OPEN_SHELL</v>
      </c>
      <c r="T16" t="str">
        <f>IF(B16&gt;=Constants!$B$8,"CONSTANT_FRONTIER_TAIL_CANDIDATE",IF(I16=0,"CONSTANT_STABLE_ANCHOR_LANE",IF(I16=Constants!$B$2/2,"CONSTANT_HALF_WRITE_LANE","CONSTANT_BOUND_LADDER_LANE")))</f>
        <v>CONSTANT_BOUND_LADDER_LANE</v>
      </c>
      <c r="U16" t="str">
        <f>IF(B16&gt;=Constants!$B$8,"frontier",IF(AND(B16&lt;=Constants!$B$14,B16&lt;&gt;Constants!$B$15,B16&lt;&gt;Constants!$B$16),"stable","radioactive"))</f>
        <v>stable</v>
      </c>
      <c r="V16">
        <f>Constants!$B$9</f>
        <v>9.266927083333333</v>
      </c>
      <c r="W16">
        <f>B16*Constants!$B$9+(C16-B16)*Constants!$B$10</f>
        <v>139.01953125</v>
      </c>
      <c r="X16">
        <f>W16*Constants!$B$5</f>
        <v>1112.15625</v>
      </c>
      <c r="Y16">
        <f>W16*7</f>
        <v>973.13671875</v>
      </c>
      <c r="Z16" t="str">
        <f>"shell "&amp;P16&amp;" occupancy "&amp;R16&amp;"/"&amp;Q16</f>
        <v>shell 3 occupancy 5/18</v>
      </c>
      <c r="AA16" t="str">
        <f>"closure"</f>
        <v>closure</v>
      </c>
      <c r="AB16" t="str">
        <f>"A=Z+N="&amp;B16&amp;"+"&amp;C16&amp;"="&amp;D16</f>
        <v>31</v>
      </c>
      <c r="AC16" t="str">
        <f>"SAM_CONSTANTS_ONLY_NO_FREE_INPUTS"</f>
        <v>SAM_CONSTANTS_ONLY_NO_FREE_INPUTS</v>
      </c>
    </row>
    <row r="17">
      <c r="A17" t="str">
        <f>"SOB"&amp;B17</f>
        <v>SOB16</v>
      </c>
      <c r="B17">
        <f>ROW()-1</f>
        <v>16</v>
      </c>
      <c r="C17">
        <f>B17+H17</f>
        <v>17</v>
      </c>
      <c r="D17">
        <f>B17+C17</f>
        <v>33</v>
      </c>
      <c r="E17">
        <f>INT((B17-1)/Constants!$B$2)+1</f>
        <v>2</v>
      </c>
      <c r="F17">
        <f>MOD(B17-1,Constants!$B$2)+1</f>
        <v>4</v>
      </c>
      <c r="G17">
        <f>MAX(0,E17-1)</f>
        <v>1</v>
      </c>
      <c r="H17">
        <f>INT(B17*G17/Constants!$B$2)</f>
        <v>1</v>
      </c>
      <c r="I17">
        <f>MOD(B17*G17,Constants!$B$2)</f>
        <v>4</v>
      </c>
      <c r="J17" t="str">
        <f>"P_"&amp;B17&amp;","&amp;D17</f>
        <v>P_16,33</v>
      </c>
      <c r="K17" t="str">
        <f>B17&amp;"p+"&amp;C17&amp;"n+"&amp;B17&amp;"e"</f>
        <v>16p+17n+16e</v>
      </c>
      <c r="L17">
        <f>2*B17+C17</f>
        <v>49</v>
      </c>
      <c r="M17">
        <f>B17+2*C17</f>
        <v>50</v>
      </c>
      <c r="N17">
        <f>B17</f>
        <v>16</v>
      </c>
      <c r="O17" t="str">
        <f>L17&amp;"u+"&amp;M17&amp;"d+"&amp;N17&amp;"e"</f>
        <v>49u+50d+16e</v>
      </c>
      <c r="P17">
        <f>COUNTIF(Shells!$E$2:$E$9,"&lt;"&amp;B17)+1</f>
        <v>3</v>
      </c>
      <c r="Q17">
        <f>INDEX(Shells!$C$2:$C$9,P17)</f>
        <v>18</v>
      </c>
      <c r="R17">
        <f>B17-IF(P17=1,0,INDEX(Shells!$E$2:$E$9,P17-1))</f>
        <v>6</v>
      </c>
      <c r="S17" t="str">
        <f>IF(R17=Q17,"CLOSED_SHELL","OPEN_SHELL")</f>
        <v>OPEN_SHELL</v>
      </c>
      <c r="T17" t="str">
        <f>IF(B17&gt;=Constants!$B$8,"CONSTANT_FRONTIER_TAIL_CANDIDATE",IF(I17=0,"CONSTANT_STABLE_ANCHOR_LANE",IF(I17=Constants!$B$2/2,"CONSTANT_HALF_WRITE_LANE","CONSTANT_BOUND_LADDER_LANE")))</f>
        <v>CONSTANT_BOUND_LADDER_LANE</v>
      </c>
      <c r="U17" t="str">
        <f>IF(B17&gt;=Constants!$B$8,"frontier",IF(AND(B17&lt;=Constants!$B$14,B17&lt;&gt;Constants!$B$15,B17&lt;&gt;Constants!$B$16),"stable","radioactive"))</f>
        <v>stable</v>
      </c>
      <c r="V17">
        <f>Constants!$B$9</f>
        <v>9.266927083333333</v>
      </c>
      <c r="W17">
        <f>B17*Constants!$B$9+(C17-B17)*Constants!$B$10</f>
        <v>148.286458333333333</v>
      </c>
      <c r="X17">
        <f>W17*Constants!$B$5</f>
        <v>1186.291666666666667</v>
      </c>
      <c r="Y17">
        <f>W17*7</f>
        <v>1038.005208333333333</v>
      </c>
      <c r="Z17" t="str">
        <f>"shell "&amp;P17&amp;" occupancy "&amp;R17&amp;"/"&amp;Q17</f>
        <v>shell 3 occupancy 6/18</v>
      </c>
      <c r="AA17" t="str">
        <f>"closure"</f>
        <v>closure</v>
      </c>
      <c r="AB17" t="str">
        <f>"A=Z+N="&amp;B17&amp;"+"&amp;C17&amp;"="&amp;D17</f>
        <v>33</v>
      </c>
      <c r="AC17" t="str">
        <f>"SAM_CONSTANTS_ONLY_NO_FREE_INPUTS"</f>
        <v>SAM_CONSTANTS_ONLY_NO_FREE_INPUTS</v>
      </c>
    </row>
    <row r="18">
      <c r="A18" t="str">
        <f>"SOB"&amp;B18</f>
        <v>SOB17</v>
      </c>
      <c r="B18">
        <f>ROW()-1</f>
        <v>17</v>
      </c>
      <c r="C18">
        <f>B18+H18</f>
        <v>18</v>
      </c>
      <c r="D18">
        <f>B18+C18</f>
        <v>35</v>
      </c>
      <c r="E18">
        <f>INT((B18-1)/Constants!$B$2)+1</f>
        <v>2</v>
      </c>
      <c r="F18">
        <f>MOD(B18-1,Constants!$B$2)+1</f>
        <v>5</v>
      </c>
      <c r="G18">
        <f>MAX(0,E18-1)</f>
        <v>1</v>
      </c>
      <c r="H18">
        <f>INT(B18*G18/Constants!$B$2)</f>
        <v>1</v>
      </c>
      <c r="I18">
        <f>MOD(B18*G18,Constants!$B$2)</f>
        <v>5</v>
      </c>
      <c r="J18" t="str">
        <f>"P_"&amp;B18&amp;","&amp;D18</f>
        <v>P_17,35</v>
      </c>
      <c r="K18" t="str">
        <f>B18&amp;"p+"&amp;C18&amp;"n+"&amp;B18&amp;"e"</f>
        <v>17p+18n+17e</v>
      </c>
      <c r="L18">
        <f>2*B18+C18</f>
        <v>52</v>
      </c>
      <c r="M18">
        <f>B18+2*C18</f>
        <v>53</v>
      </c>
      <c r="N18">
        <f>B18</f>
        <v>17</v>
      </c>
      <c r="O18" t="str">
        <f>L18&amp;"u+"&amp;M18&amp;"d+"&amp;N18&amp;"e"</f>
        <v>52u+53d+17e</v>
      </c>
      <c r="P18">
        <f>COUNTIF(Shells!$E$2:$E$9,"&lt;"&amp;B18)+1</f>
        <v>3</v>
      </c>
      <c r="Q18">
        <f>INDEX(Shells!$C$2:$C$9,P18)</f>
        <v>18</v>
      </c>
      <c r="R18">
        <f>B18-IF(P18=1,0,INDEX(Shells!$E$2:$E$9,P18-1))</f>
        <v>7</v>
      </c>
      <c r="S18" t="str">
        <f>IF(R18=Q18,"CLOSED_SHELL","OPEN_SHELL")</f>
        <v>OPEN_SHELL</v>
      </c>
      <c r="T18" t="str">
        <f>IF(B18&gt;=Constants!$B$8,"CONSTANT_FRONTIER_TAIL_CANDIDATE",IF(I18=0,"CONSTANT_STABLE_ANCHOR_LANE",IF(I18=Constants!$B$2/2,"CONSTANT_HALF_WRITE_LANE","CONSTANT_BOUND_LADDER_LANE")))</f>
        <v>CONSTANT_BOUND_LADDER_LANE</v>
      </c>
      <c r="U18" t="str">
        <f>IF(B18&gt;=Constants!$B$8,"frontier",IF(AND(B18&lt;=Constants!$B$14,B18&lt;&gt;Constants!$B$15,B18&lt;&gt;Constants!$B$16),"stable","radioactive"))</f>
        <v>stable</v>
      </c>
      <c r="V18">
        <f>Constants!$B$9</f>
        <v>9.266927083333333</v>
      </c>
      <c r="W18">
        <f>B18*Constants!$B$9+(C18-B18)*Constants!$B$10</f>
        <v>157.553385416666667</v>
      </c>
      <c r="X18">
        <f>W18*Constants!$B$5</f>
        <v>1260.427083333333333</v>
      </c>
      <c r="Y18">
        <f>W18*7</f>
        <v>1102.873697916666667</v>
      </c>
      <c r="Z18" t="str">
        <f>"shell "&amp;P18&amp;" occupancy "&amp;R18&amp;"/"&amp;Q18</f>
        <v>shell 3 occupancy 7/18</v>
      </c>
      <c r="AA18" t="str">
        <f>"closure"</f>
        <v>closure</v>
      </c>
      <c r="AB18" t="str">
        <f>"A=Z+N="&amp;B18&amp;"+"&amp;C18&amp;"="&amp;D18</f>
        <v>35</v>
      </c>
      <c r="AC18" t="str">
        <f>"SAM_CONSTANTS_ONLY_NO_FREE_INPUTS"</f>
        <v>SAM_CONSTANTS_ONLY_NO_FREE_INPUTS</v>
      </c>
    </row>
    <row r="19">
      <c r="A19" t="str">
        <f>"SOB"&amp;B19</f>
        <v>SOB18</v>
      </c>
      <c r="B19">
        <f>ROW()-1</f>
        <v>18</v>
      </c>
      <c r="C19">
        <f>B19+H19</f>
        <v>19</v>
      </c>
      <c r="D19">
        <f>B19+C19</f>
        <v>37</v>
      </c>
      <c r="E19">
        <f>INT((B19-1)/Constants!$B$2)+1</f>
        <v>2</v>
      </c>
      <c r="F19">
        <f>MOD(B19-1,Constants!$B$2)+1</f>
        <v>6</v>
      </c>
      <c r="G19">
        <f>MAX(0,E19-1)</f>
        <v>1</v>
      </c>
      <c r="H19">
        <f>INT(B19*G19/Constants!$B$2)</f>
        <v>1</v>
      </c>
      <c r="I19">
        <f>MOD(B19*G19,Constants!$B$2)</f>
        <v>6</v>
      </c>
      <c r="J19" t="str">
        <f>"P_"&amp;B19&amp;","&amp;D19</f>
        <v>P_18,37</v>
      </c>
      <c r="K19" t="str">
        <f>B19&amp;"p+"&amp;C19&amp;"n+"&amp;B19&amp;"e"</f>
        <v>18p+19n+18e</v>
      </c>
      <c r="L19">
        <f>2*B19+C19</f>
        <v>55</v>
      </c>
      <c r="M19">
        <f>B19+2*C19</f>
        <v>56</v>
      </c>
      <c r="N19">
        <f>B19</f>
        <v>18</v>
      </c>
      <c r="O19" t="str">
        <f>L19&amp;"u+"&amp;M19&amp;"d+"&amp;N19&amp;"e"</f>
        <v>55u+56d+18e</v>
      </c>
      <c r="P19">
        <f>COUNTIF(Shells!$E$2:$E$9,"&lt;"&amp;B19)+1</f>
        <v>3</v>
      </c>
      <c r="Q19">
        <f>INDEX(Shells!$C$2:$C$9,P19)</f>
        <v>18</v>
      </c>
      <c r="R19">
        <f>B19-IF(P19=1,0,INDEX(Shells!$E$2:$E$9,P19-1))</f>
        <v>8</v>
      </c>
      <c r="S19" t="str">
        <f>IF(R19=Q19,"CLOSED_SHELL","OPEN_SHELL")</f>
        <v>OPEN_SHELL</v>
      </c>
      <c r="T19" t="str">
        <f>IF(B19&gt;=Constants!$B$8,"CONSTANT_FRONTIER_TAIL_CANDIDATE",IF(I19=0,"CONSTANT_STABLE_ANCHOR_LANE",IF(I19=Constants!$B$2/2,"CONSTANT_HALF_WRITE_LANE","CONSTANT_BOUND_LADDER_LANE")))</f>
        <v>CONSTANT_HALF_WRITE_LANE</v>
      </c>
      <c r="U19" t="str">
        <f>IF(B19&gt;=Constants!$B$8,"frontier",IF(AND(B19&lt;=Constants!$B$14,B19&lt;&gt;Constants!$B$15,B19&lt;&gt;Constants!$B$16),"stable","radioactive"))</f>
        <v>stable</v>
      </c>
      <c r="V19">
        <f>Constants!$B$9</f>
        <v>9.266927083333333</v>
      </c>
      <c r="W19">
        <f>B19*Constants!$B$9+(C19-B19)*Constants!$B$10</f>
        <v>166.8203125</v>
      </c>
      <c r="X19">
        <f>W19*Constants!$B$5</f>
        <v>1334.5625</v>
      </c>
      <c r="Y19">
        <f>W19*7</f>
        <v>1167.7421875</v>
      </c>
      <c r="Z19" t="str">
        <f>"shell "&amp;P19&amp;" occupancy "&amp;R19&amp;"/"&amp;Q19</f>
        <v>shell 3 occupancy 8/18</v>
      </c>
      <c r="AA19" t="str">
        <f>"closure"</f>
        <v>closure</v>
      </c>
      <c r="AB19" t="str">
        <f>"A=Z+N="&amp;B19&amp;"+"&amp;C19&amp;"="&amp;D19</f>
        <v>37</v>
      </c>
      <c r="AC19" t="str">
        <f>"SAM_CONSTANTS_ONLY_NO_FREE_INPUTS"</f>
        <v>SAM_CONSTANTS_ONLY_NO_FREE_INPUTS</v>
      </c>
    </row>
    <row r="20">
      <c r="A20" t="str">
        <f>"SOB"&amp;B20</f>
        <v>SOB19</v>
      </c>
      <c r="B20">
        <f>ROW()-1</f>
        <v>19</v>
      </c>
      <c r="C20">
        <f>B20+H20</f>
        <v>20</v>
      </c>
      <c r="D20">
        <f>B20+C20</f>
        <v>39</v>
      </c>
      <c r="E20">
        <f>INT((B20-1)/Constants!$B$2)+1</f>
        <v>2</v>
      </c>
      <c r="F20">
        <f>MOD(B20-1,Constants!$B$2)+1</f>
        <v>7</v>
      </c>
      <c r="G20">
        <f>MAX(0,E20-1)</f>
        <v>1</v>
      </c>
      <c r="H20">
        <f>INT(B20*G20/Constants!$B$2)</f>
        <v>1</v>
      </c>
      <c r="I20">
        <f>MOD(B20*G20,Constants!$B$2)</f>
        <v>7</v>
      </c>
      <c r="J20" t="str">
        <f>"P_"&amp;B20&amp;","&amp;D20</f>
        <v>P_19,39</v>
      </c>
      <c r="K20" t="str">
        <f>B20&amp;"p+"&amp;C20&amp;"n+"&amp;B20&amp;"e"</f>
        <v>19p+20n+19e</v>
      </c>
      <c r="L20">
        <f>2*B20+C20</f>
        <v>58</v>
      </c>
      <c r="M20">
        <f>B20+2*C20</f>
        <v>59</v>
      </c>
      <c r="N20">
        <f>B20</f>
        <v>19</v>
      </c>
      <c r="O20" t="str">
        <f>L20&amp;"u+"&amp;M20&amp;"d+"&amp;N20&amp;"e"</f>
        <v>58u+59d+19e</v>
      </c>
      <c r="P20">
        <f>COUNTIF(Shells!$E$2:$E$9,"&lt;"&amp;B20)+1</f>
        <v>3</v>
      </c>
      <c r="Q20">
        <f>INDEX(Shells!$C$2:$C$9,P20)</f>
        <v>18</v>
      </c>
      <c r="R20">
        <f>B20-IF(P20=1,0,INDEX(Shells!$E$2:$E$9,P20-1))</f>
        <v>9</v>
      </c>
      <c r="S20" t="str">
        <f>IF(R20=Q20,"CLOSED_SHELL","OPEN_SHELL")</f>
        <v>OPEN_SHELL</v>
      </c>
      <c r="T20" t="str">
        <f>IF(B20&gt;=Constants!$B$8,"CONSTANT_FRONTIER_TAIL_CANDIDATE",IF(I20=0,"CONSTANT_STABLE_ANCHOR_LANE",IF(I20=Constants!$B$2/2,"CONSTANT_HALF_WRITE_LANE","CONSTANT_BOUND_LADDER_LANE")))</f>
        <v>CONSTANT_BOUND_LADDER_LANE</v>
      </c>
      <c r="U20" t="str">
        <f>IF(B20&gt;=Constants!$B$8,"frontier",IF(AND(B20&lt;=Constants!$B$14,B20&lt;&gt;Constants!$B$15,B20&lt;&gt;Constants!$B$16),"stable","radioactive"))</f>
        <v>stable</v>
      </c>
      <c r="V20">
        <f>Constants!$B$9</f>
        <v>9.266927083333333</v>
      </c>
      <c r="W20">
        <f>B20*Constants!$B$9+(C20-B20)*Constants!$B$10</f>
        <v>176.087239583333333</v>
      </c>
      <c r="X20">
        <f>W20*Constants!$B$5</f>
        <v>1408.697916666666667</v>
      </c>
      <c r="Y20">
        <f>W20*7</f>
        <v>1232.610677083333333</v>
      </c>
      <c r="Z20" t="str">
        <f>"shell "&amp;P20&amp;" occupancy "&amp;R20&amp;"/"&amp;Q20</f>
        <v>shell 3 occupancy 9/18</v>
      </c>
      <c r="AA20" t="str">
        <f>"closure"</f>
        <v>closure</v>
      </c>
      <c r="AB20" t="str">
        <f>"A=Z+N="&amp;B20&amp;"+"&amp;C20&amp;"="&amp;D20</f>
        <v>39</v>
      </c>
      <c r="AC20" t="str">
        <f>"SAM_CONSTANTS_ONLY_NO_FREE_INPUTS"</f>
        <v>SAM_CONSTANTS_ONLY_NO_FREE_INPUTS</v>
      </c>
    </row>
    <row r="21">
      <c r="A21" t="str">
        <f>"SOB"&amp;B21</f>
        <v>SOB20</v>
      </c>
      <c r="B21">
        <f>ROW()-1</f>
        <v>20</v>
      </c>
      <c r="C21">
        <f>B21+H21</f>
        <v>21</v>
      </c>
      <c r="D21">
        <f>B21+C21</f>
        <v>41</v>
      </c>
      <c r="E21">
        <f>INT((B21-1)/Constants!$B$2)+1</f>
        <v>2</v>
      </c>
      <c r="F21">
        <f>MOD(B21-1,Constants!$B$2)+1</f>
        <v>8</v>
      </c>
      <c r="G21">
        <f>MAX(0,E21-1)</f>
        <v>1</v>
      </c>
      <c r="H21">
        <f>INT(B21*G21/Constants!$B$2)</f>
        <v>1</v>
      </c>
      <c r="I21">
        <f>MOD(B21*G21,Constants!$B$2)</f>
        <v>8</v>
      </c>
      <c r="J21" t="str">
        <f>"P_"&amp;B21&amp;","&amp;D21</f>
        <v>P_20,41</v>
      </c>
      <c r="K21" t="str">
        <f>B21&amp;"p+"&amp;C21&amp;"n+"&amp;B21&amp;"e"</f>
        <v>20p+21n+20e</v>
      </c>
      <c r="L21">
        <f>2*B21+C21</f>
        <v>61</v>
      </c>
      <c r="M21">
        <f>B21+2*C21</f>
        <v>62</v>
      </c>
      <c r="N21">
        <f>B21</f>
        <v>20</v>
      </c>
      <c r="O21" t="str">
        <f>L21&amp;"u+"&amp;M21&amp;"d+"&amp;N21&amp;"e"</f>
        <v>61u+62d+20e</v>
      </c>
      <c r="P21">
        <f>COUNTIF(Shells!$E$2:$E$9,"&lt;"&amp;B21)+1</f>
        <v>3</v>
      </c>
      <c r="Q21">
        <f>INDEX(Shells!$C$2:$C$9,P21)</f>
        <v>18</v>
      </c>
      <c r="R21">
        <f>B21-IF(P21=1,0,INDEX(Shells!$E$2:$E$9,P21-1))</f>
        <v>10</v>
      </c>
      <c r="S21" t="str">
        <f>IF(R21=Q21,"CLOSED_SHELL","OPEN_SHELL")</f>
        <v>OPEN_SHELL</v>
      </c>
      <c r="T21" t="str">
        <f>IF(B21&gt;=Constants!$B$8,"CONSTANT_FRONTIER_TAIL_CANDIDATE",IF(I21=0,"CONSTANT_STABLE_ANCHOR_LANE",IF(I21=Constants!$B$2/2,"CONSTANT_HALF_WRITE_LANE","CONSTANT_BOUND_LADDER_LANE")))</f>
        <v>CONSTANT_BOUND_LADDER_LANE</v>
      </c>
      <c r="U21" t="str">
        <f>IF(B21&gt;=Constants!$B$8,"frontier",IF(AND(B21&lt;=Constants!$B$14,B21&lt;&gt;Constants!$B$15,B21&lt;&gt;Constants!$B$16),"stable","radioactive"))</f>
        <v>stable</v>
      </c>
      <c r="V21">
        <f>Constants!$B$9</f>
        <v>9.266927083333333</v>
      </c>
      <c r="W21">
        <f>B21*Constants!$B$9+(C21-B21)*Constants!$B$10</f>
        <v>185.354166666666667</v>
      </c>
      <c r="X21">
        <f>W21*Constants!$B$5</f>
        <v>1482.833333333333333</v>
      </c>
      <c r="Y21">
        <f>W21*7</f>
        <v>1297.479166666666667</v>
      </c>
      <c r="Z21" t="str">
        <f>"shell "&amp;P21&amp;" occupancy "&amp;R21&amp;"/"&amp;Q21</f>
        <v>shell 3 occupancy 10/18</v>
      </c>
      <c r="AA21" t="str">
        <f>"closure"</f>
        <v>closure</v>
      </c>
      <c r="AB21" t="str">
        <f>"A=Z+N="&amp;B21&amp;"+"&amp;C21&amp;"="&amp;D21</f>
        <v>41</v>
      </c>
      <c r="AC21" t="str">
        <f>"SAM_CONSTANTS_ONLY_NO_FREE_INPUTS"</f>
        <v>SAM_CONSTANTS_ONLY_NO_FREE_INPUTS</v>
      </c>
    </row>
    <row r="22">
      <c r="A22" t="str">
        <f>"SOB"&amp;B22</f>
        <v>SOB21</v>
      </c>
      <c r="B22">
        <f>ROW()-1</f>
        <v>21</v>
      </c>
      <c r="C22">
        <f>B22+H22</f>
        <v>22</v>
      </c>
      <c r="D22">
        <f>B22+C22</f>
        <v>43</v>
      </c>
      <c r="E22">
        <f>INT((B22-1)/Constants!$B$2)+1</f>
        <v>2</v>
      </c>
      <c r="F22">
        <f>MOD(B22-1,Constants!$B$2)+1</f>
        <v>9</v>
      </c>
      <c r="G22">
        <f>MAX(0,E22-1)</f>
        <v>1</v>
      </c>
      <c r="H22">
        <f>INT(B22*G22/Constants!$B$2)</f>
        <v>1</v>
      </c>
      <c r="I22">
        <f>MOD(B22*G22,Constants!$B$2)</f>
        <v>9</v>
      </c>
      <c r="J22" t="str">
        <f>"P_"&amp;B22&amp;","&amp;D22</f>
        <v>P_21,43</v>
      </c>
      <c r="K22" t="str">
        <f>B22&amp;"p+"&amp;C22&amp;"n+"&amp;B22&amp;"e"</f>
        <v>21p+22n+21e</v>
      </c>
      <c r="L22">
        <f>2*B22+C22</f>
        <v>64</v>
      </c>
      <c r="M22">
        <f>B22+2*C22</f>
        <v>65</v>
      </c>
      <c r="N22">
        <f>B22</f>
        <v>21</v>
      </c>
      <c r="O22" t="str">
        <f>L22&amp;"u+"&amp;M22&amp;"d+"&amp;N22&amp;"e"</f>
        <v>64u+65d+21e</v>
      </c>
      <c r="P22">
        <f>COUNTIF(Shells!$E$2:$E$9,"&lt;"&amp;B22)+1</f>
        <v>3</v>
      </c>
      <c r="Q22">
        <f>INDEX(Shells!$C$2:$C$9,P22)</f>
        <v>18</v>
      </c>
      <c r="R22">
        <f>B22-IF(P22=1,0,INDEX(Shells!$E$2:$E$9,P22-1))</f>
        <v>11</v>
      </c>
      <c r="S22" t="str">
        <f>IF(R22=Q22,"CLOSED_SHELL","OPEN_SHELL")</f>
        <v>OPEN_SHELL</v>
      </c>
      <c r="T22" t="str">
        <f>IF(B22&gt;=Constants!$B$8,"CONSTANT_FRONTIER_TAIL_CANDIDATE",IF(I22=0,"CONSTANT_STABLE_ANCHOR_LANE",IF(I22=Constants!$B$2/2,"CONSTANT_HALF_WRITE_LANE","CONSTANT_BOUND_LADDER_LANE")))</f>
        <v>CONSTANT_BOUND_LADDER_LANE</v>
      </c>
      <c r="U22" t="str">
        <f>IF(B22&gt;=Constants!$B$8,"frontier",IF(AND(B22&lt;=Constants!$B$14,B22&lt;&gt;Constants!$B$15,B22&lt;&gt;Constants!$B$16),"stable","radioactive"))</f>
        <v>stable</v>
      </c>
      <c r="V22">
        <f>Constants!$B$9</f>
        <v>9.266927083333333</v>
      </c>
      <c r="W22">
        <f>B22*Constants!$B$9+(C22-B22)*Constants!$B$10</f>
        <v>194.62109375</v>
      </c>
      <c r="X22">
        <f>W22*Constants!$B$5</f>
        <v>1556.96875</v>
      </c>
      <c r="Y22">
        <f>W22*7</f>
        <v>1362.34765625</v>
      </c>
      <c r="Z22" t="str">
        <f>"shell "&amp;P22&amp;" occupancy "&amp;R22&amp;"/"&amp;Q22</f>
        <v>shell 3 occupancy 11/18</v>
      </c>
      <c r="AA22" t="str">
        <f>"closure"</f>
        <v>closure</v>
      </c>
      <c r="AB22" t="str">
        <f>"A=Z+N="&amp;B22&amp;"+"&amp;C22&amp;"="&amp;D22</f>
        <v>43</v>
      </c>
      <c r="AC22" t="str">
        <f>"SAM_CONSTANTS_ONLY_NO_FREE_INPUTS"</f>
        <v>SAM_CONSTANTS_ONLY_NO_FREE_INPUTS</v>
      </c>
    </row>
    <row r="23">
      <c r="A23" t="str">
        <f>"SOB"&amp;B23</f>
        <v>SOB22</v>
      </c>
      <c r="B23">
        <f>ROW()-1</f>
        <v>22</v>
      </c>
      <c r="C23">
        <f>B23+H23</f>
        <v>23</v>
      </c>
      <c r="D23">
        <f>B23+C23</f>
        <v>45</v>
      </c>
      <c r="E23">
        <f>INT((B23-1)/Constants!$B$2)+1</f>
        <v>2</v>
      </c>
      <c r="F23">
        <f>MOD(B23-1,Constants!$B$2)+1</f>
        <v>10</v>
      </c>
      <c r="G23">
        <f>MAX(0,E23-1)</f>
        <v>1</v>
      </c>
      <c r="H23">
        <f>INT(B23*G23/Constants!$B$2)</f>
        <v>1</v>
      </c>
      <c r="I23">
        <f>MOD(B23*G23,Constants!$B$2)</f>
        <v>10</v>
      </c>
      <c r="J23" t="str">
        <f>"P_"&amp;B23&amp;","&amp;D23</f>
        <v>P_22,45</v>
      </c>
      <c r="K23" t="str">
        <f>B23&amp;"p+"&amp;C23&amp;"n+"&amp;B23&amp;"e"</f>
        <v>22p+23n+22e</v>
      </c>
      <c r="L23">
        <f>2*B23+C23</f>
        <v>67</v>
      </c>
      <c r="M23">
        <f>B23+2*C23</f>
        <v>68</v>
      </c>
      <c r="N23">
        <f>B23</f>
        <v>22</v>
      </c>
      <c r="O23" t="str">
        <f>L23&amp;"u+"&amp;M23&amp;"d+"&amp;N23&amp;"e"</f>
        <v>67u+68d+22e</v>
      </c>
      <c r="P23">
        <f>COUNTIF(Shells!$E$2:$E$9,"&lt;"&amp;B23)+1</f>
        <v>3</v>
      </c>
      <c r="Q23">
        <f>INDEX(Shells!$C$2:$C$9,P23)</f>
        <v>18</v>
      </c>
      <c r="R23">
        <f>B23-IF(P23=1,0,INDEX(Shells!$E$2:$E$9,P23-1))</f>
        <v>12</v>
      </c>
      <c r="S23" t="str">
        <f>IF(R23=Q23,"CLOSED_SHELL","OPEN_SHELL")</f>
        <v>OPEN_SHELL</v>
      </c>
      <c r="T23" t="str">
        <f>IF(B23&gt;=Constants!$B$8,"CONSTANT_FRONTIER_TAIL_CANDIDATE",IF(I23=0,"CONSTANT_STABLE_ANCHOR_LANE",IF(I23=Constants!$B$2/2,"CONSTANT_HALF_WRITE_LANE","CONSTANT_BOUND_LADDER_LANE")))</f>
        <v>CONSTANT_BOUND_LADDER_LANE</v>
      </c>
      <c r="U23" t="str">
        <f>IF(B23&gt;=Constants!$B$8,"frontier",IF(AND(B23&lt;=Constants!$B$14,B23&lt;&gt;Constants!$B$15,B23&lt;&gt;Constants!$B$16),"stable","radioactive"))</f>
        <v>stable</v>
      </c>
      <c r="V23">
        <f>Constants!$B$9</f>
        <v>9.266927083333333</v>
      </c>
      <c r="W23">
        <f>B23*Constants!$B$9+(C23-B23)*Constants!$B$10</f>
        <v>203.888020833333333</v>
      </c>
      <c r="X23">
        <f>W23*Constants!$B$5</f>
        <v>1631.104166666666667</v>
      </c>
      <c r="Y23">
        <f>W23*7</f>
        <v>1427.216145833333333</v>
      </c>
      <c r="Z23" t="str">
        <f>"shell "&amp;P23&amp;" occupancy "&amp;R23&amp;"/"&amp;Q23</f>
        <v>shell 3 occupancy 12/18</v>
      </c>
      <c r="AA23" t="str">
        <f>"closure"</f>
        <v>closure</v>
      </c>
      <c r="AB23" t="str">
        <f>"A=Z+N="&amp;B23&amp;"+"&amp;C23&amp;"="&amp;D23</f>
        <v>45</v>
      </c>
      <c r="AC23" t="str">
        <f>"SAM_CONSTANTS_ONLY_NO_FREE_INPUTS"</f>
        <v>SAM_CONSTANTS_ONLY_NO_FREE_INPUTS</v>
      </c>
    </row>
    <row r="24">
      <c r="A24" t="str">
        <f>"SOB"&amp;B24</f>
        <v>SOB23</v>
      </c>
      <c r="B24">
        <f>ROW()-1</f>
        <v>23</v>
      </c>
      <c r="C24">
        <f>B24+H24</f>
        <v>24</v>
      </c>
      <c r="D24">
        <f>B24+C24</f>
        <v>47</v>
      </c>
      <c r="E24">
        <f>INT((B24-1)/Constants!$B$2)+1</f>
        <v>2</v>
      </c>
      <c r="F24">
        <f>MOD(B24-1,Constants!$B$2)+1</f>
        <v>11</v>
      </c>
      <c r="G24">
        <f>MAX(0,E24-1)</f>
        <v>1</v>
      </c>
      <c r="H24">
        <f>INT(B24*G24/Constants!$B$2)</f>
        <v>1</v>
      </c>
      <c r="I24">
        <f>MOD(B24*G24,Constants!$B$2)</f>
        <v>11</v>
      </c>
      <c r="J24" t="str">
        <f>"P_"&amp;B24&amp;","&amp;D24</f>
        <v>P_23,47</v>
      </c>
      <c r="K24" t="str">
        <f>B24&amp;"p+"&amp;C24&amp;"n+"&amp;B24&amp;"e"</f>
        <v>23p+24n+23e</v>
      </c>
      <c r="L24">
        <f>2*B24+C24</f>
        <v>70</v>
      </c>
      <c r="M24">
        <f>B24+2*C24</f>
        <v>71</v>
      </c>
      <c r="N24">
        <f>B24</f>
        <v>23</v>
      </c>
      <c r="O24" t="str">
        <f>L24&amp;"u+"&amp;M24&amp;"d+"&amp;N24&amp;"e"</f>
        <v>70u+71d+23e</v>
      </c>
      <c r="P24">
        <f>COUNTIF(Shells!$E$2:$E$9,"&lt;"&amp;B24)+1</f>
        <v>3</v>
      </c>
      <c r="Q24">
        <f>INDEX(Shells!$C$2:$C$9,P24)</f>
        <v>18</v>
      </c>
      <c r="R24">
        <f>B24-IF(P24=1,0,INDEX(Shells!$E$2:$E$9,P24-1))</f>
        <v>13</v>
      </c>
      <c r="S24" t="str">
        <f>IF(R24=Q24,"CLOSED_SHELL","OPEN_SHELL")</f>
        <v>OPEN_SHELL</v>
      </c>
      <c r="T24" t="str">
        <f>IF(B24&gt;=Constants!$B$8,"CONSTANT_FRONTIER_TAIL_CANDIDATE",IF(I24=0,"CONSTANT_STABLE_ANCHOR_LANE",IF(I24=Constants!$B$2/2,"CONSTANT_HALF_WRITE_LANE","CONSTANT_BOUND_LADDER_LANE")))</f>
        <v>CONSTANT_BOUND_LADDER_LANE</v>
      </c>
      <c r="U24" t="str">
        <f>IF(B24&gt;=Constants!$B$8,"frontier",IF(AND(B24&lt;=Constants!$B$14,B24&lt;&gt;Constants!$B$15,B24&lt;&gt;Constants!$B$16),"stable","radioactive"))</f>
        <v>stable</v>
      </c>
      <c r="V24">
        <f>Constants!$B$9</f>
        <v>9.266927083333333</v>
      </c>
      <c r="W24">
        <f>B24*Constants!$B$9+(C24-B24)*Constants!$B$10</f>
        <v>213.154947916666667</v>
      </c>
      <c r="X24">
        <f>W24*Constants!$B$5</f>
        <v>1705.239583333333333</v>
      </c>
      <c r="Y24">
        <f>W24*7</f>
        <v>1492.084635416666667</v>
      </c>
      <c r="Z24" t="str">
        <f>"shell "&amp;P24&amp;" occupancy "&amp;R24&amp;"/"&amp;Q24</f>
        <v>shell 3 occupancy 13/18</v>
      </c>
      <c r="AA24" t="str">
        <f>"closure"</f>
        <v>closure</v>
      </c>
      <c r="AB24" t="str">
        <f>"A=Z+N="&amp;B24&amp;"+"&amp;C24&amp;"="&amp;D24</f>
        <v>47</v>
      </c>
      <c r="AC24" t="str">
        <f>"SAM_CONSTANTS_ONLY_NO_FREE_INPUTS"</f>
        <v>SAM_CONSTANTS_ONLY_NO_FREE_INPUTS</v>
      </c>
    </row>
    <row r="25">
      <c r="A25" t="str">
        <f>"SOB"&amp;B25</f>
        <v>SOB24</v>
      </c>
      <c r="B25">
        <f>ROW()-1</f>
        <v>24</v>
      </c>
      <c r="C25">
        <f>B25+H25</f>
        <v>26</v>
      </c>
      <c r="D25">
        <f>B25+C25</f>
        <v>50</v>
      </c>
      <c r="E25">
        <f>INT((B25-1)/Constants!$B$2)+1</f>
        <v>2</v>
      </c>
      <c r="F25">
        <f>MOD(B25-1,Constants!$B$2)+1</f>
        <v>12</v>
      </c>
      <c r="G25">
        <f>MAX(0,E25-1)</f>
        <v>1</v>
      </c>
      <c r="H25">
        <f>INT(B25*G25/Constants!$B$2)</f>
        <v>2</v>
      </c>
      <c r="I25">
        <f>MOD(B25*G25,Constants!$B$2)</f>
        <v>0</v>
      </c>
      <c r="J25" t="str">
        <f>"P_"&amp;B25&amp;","&amp;D25</f>
        <v>P_24,50</v>
      </c>
      <c r="K25" t="str">
        <f>B25&amp;"p+"&amp;C25&amp;"n+"&amp;B25&amp;"e"</f>
        <v>24p+26n+24e</v>
      </c>
      <c r="L25">
        <f>2*B25+C25</f>
        <v>74</v>
      </c>
      <c r="M25">
        <f>B25+2*C25</f>
        <v>76</v>
      </c>
      <c r="N25">
        <f>B25</f>
        <v>24</v>
      </c>
      <c r="O25" t="str">
        <f>L25&amp;"u+"&amp;M25&amp;"d+"&amp;N25&amp;"e"</f>
        <v>74u+76d+24e</v>
      </c>
      <c r="P25">
        <f>COUNTIF(Shells!$E$2:$E$9,"&lt;"&amp;B25)+1</f>
        <v>3</v>
      </c>
      <c r="Q25">
        <f>INDEX(Shells!$C$2:$C$9,P25)</f>
        <v>18</v>
      </c>
      <c r="R25">
        <f>B25-IF(P25=1,0,INDEX(Shells!$E$2:$E$9,P25-1))</f>
        <v>14</v>
      </c>
      <c r="S25" t="str">
        <f>IF(R25=Q25,"CLOSED_SHELL","OPEN_SHELL")</f>
        <v>OPEN_SHELL</v>
      </c>
      <c r="T25" t="str">
        <f>IF(B25&gt;=Constants!$B$8,"CONSTANT_FRONTIER_TAIL_CANDIDATE",IF(I25=0,"CONSTANT_STABLE_ANCHOR_LANE",IF(I25=Constants!$B$2/2,"CONSTANT_HALF_WRITE_LANE","CONSTANT_BOUND_LADDER_LANE")))</f>
        <v>CONSTANT_STABLE_ANCHOR_LANE</v>
      </c>
      <c r="U25" t="str">
        <f>IF(B25&gt;=Constants!$B$8,"frontier",IF(AND(B25&lt;=Constants!$B$14,B25&lt;&gt;Constants!$B$15,B25&lt;&gt;Constants!$B$16),"stable","radioactive"))</f>
        <v>stable</v>
      </c>
      <c r="V25">
        <f>Constants!$B$9</f>
        <v>9.266927083333333</v>
      </c>
      <c r="W25">
        <f>B25*Constants!$B$9+(C25-B25)*Constants!$B$10</f>
        <v>222.4375</v>
      </c>
      <c r="X25">
        <f>W25*Constants!$B$5</f>
        <v>1779.5</v>
      </c>
      <c r="Y25">
        <f>W25*7</f>
        <v>1557.0625</v>
      </c>
      <c r="Z25" t="str">
        <f>"shell "&amp;P25&amp;" occupancy "&amp;R25&amp;"/"&amp;Q25</f>
        <v>shell 3 occupancy 14/18</v>
      </c>
      <c r="AA25" t="str">
        <f>"closure"</f>
        <v>closure</v>
      </c>
      <c r="AB25" t="str">
        <f>"A=Z+N="&amp;B25&amp;"+"&amp;C25&amp;"="&amp;D25</f>
        <v>50</v>
      </c>
      <c r="AC25" t="str">
        <f>"SAM_CONSTANTS_ONLY_NO_FREE_INPUTS"</f>
        <v>SAM_CONSTANTS_ONLY_NO_FREE_INPUTS</v>
      </c>
    </row>
    <row r="26">
      <c r="A26" t="str">
        <f>"SOB"&amp;B26</f>
        <v>SOB25</v>
      </c>
      <c r="B26">
        <f>ROW()-1</f>
        <v>25</v>
      </c>
      <c r="C26">
        <f>B26+H26</f>
        <v>29</v>
      </c>
      <c r="D26">
        <f>B26+C26</f>
        <v>54</v>
      </c>
      <c r="E26">
        <f>INT((B26-1)/Constants!$B$2)+1</f>
        <v>3</v>
      </c>
      <c r="F26">
        <f>MOD(B26-1,Constants!$B$2)+1</f>
        <v>1</v>
      </c>
      <c r="G26">
        <f>MAX(0,E26-1)</f>
        <v>2</v>
      </c>
      <c r="H26">
        <f>INT(B26*G26/Constants!$B$2)</f>
        <v>4</v>
      </c>
      <c r="I26">
        <f>MOD(B26*G26,Constants!$B$2)</f>
        <v>2</v>
      </c>
      <c r="J26" t="str">
        <f>"P_"&amp;B26&amp;","&amp;D26</f>
        <v>P_25,54</v>
      </c>
      <c r="K26" t="str">
        <f>B26&amp;"p+"&amp;C26&amp;"n+"&amp;B26&amp;"e"</f>
        <v>25p+29n+25e</v>
      </c>
      <c r="L26">
        <f>2*B26+C26</f>
        <v>79</v>
      </c>
      <c r="M26">
        <f>B26+2*C26</f>
        <v>83</v>
      </c>
      <c r="N26">
        <f>B26</f>
        <v>25</v>
      </c>
      <c r="O26" t="str">
        <f>L26&amp;"u+"&amp;M26&amp;"d+"&amp;N26&amp;"e"</f>
        <v>79u+83d+25e</v>
      </c>
      <c r="P26">
        <f>COUNTIF(Shells!$E$2:$E$9,"&lt;"&amp;B26)+1</f>
        <v>3</v>
      </c>
      <c r="Q26">
        <f>INDEX(Shells!$C$2:$C$9,P26)</f>
        <v>18</v>
      </c>
      <c r="R26">
        <f>B26-IF(P26=1,0,INDEX(Shells!$E$2:$E$9,P26-1))</f>
        <v>15</v>
      </c>
      <c r="S26" t="str">
        <f>IF(R26=Q26,"CLOSED_SHELL","OPEN_SHELL")</f>
        <v>OPEN_SHELL</v>
      </c>
      <c r="T26" t="str">
        <f>IF(B26&gt;=Constants!$B$8,"CONSTANT_FRONTIER_TAIL_CANDIDATE",IF(I26=0,"CONSTANT_STABLE_ANCHOR_LANE",IF(I26=Constants!$B$2/2,"CONSTANT_HALF_WRITE_LANE","CONSTANT_BOUND_LADDER_LANE")))</f>
        <v>CONSTANT_BOUND_LADDER_LANE</v>
      </c>
      <c r="U26" t="str">
        <f>IF(B26&gt;=Constants!$B$8,"frontier",IF(AND(B26&lt;=Constants!$B$14,B26&lt;&gt;Constants!$B$15,B26&lt;&gt;Constants!$B$16),"stable","radioactive"))</f>
        <v>stable</v>
      </c>
      <c r="V26">
        <f>Constants!$B$9</f>
        <v>9.266927083333333</v>
      </c>
      <c r="W26">
        <f>B26*Constants!$B$9+(C26-B26)*Constants!$B$10</f>
        <v>231.735677083333333</v>
      </c>
      <c r="X26">
        <f>W26*Constants!$B$5</f>
        <v>1853.885416666666667</v>
      </c>
      <c r="Y26">
        <f>W26*7</f>
        <v>1622.149739583333333</v>
      </c>
      <c r="Z26" t="str">
        <f>"shell "&amp;P26&amp;" occupancy "&amp;R26&amp;"/"&amp;Q26</f>
        <v>shell 3 occupancy 15/18</v>
      </c>
      <c r="AA26" t="str">
        <f>"closure"</f>
        <v>closure</v>
      </c>
      <c r="AB26" t="str">
        <f>"A=Z+N="&amp;B26&amp;"+"&amp;C26&amp;"="&amp;D26</f>
        <v>54</v>
      </c>
      <c r="AC26" t="str">
        <f>"SAM_CONSTANTS_ONLY_NO_FREE_INPUTS"</f>
        <v>SAM_CONSTANTS_ONLY_NO_FREE_INPUTS</v>
      </c>
    </row>
    <row r="27">
      <c r="A27" t="str">
        <f>"SOB"&amp;B27</f>
        <v>SOB26</v>
      </c>
      <c r="B27">
        <f>ROW()-1</f>
        <v>26</v>
      </c>
      <c r="C27">
        <f>B27+H27</f>
        <v>30</v>
      </c>
      <c r="D27">
        <f>B27+C27</f>
        <v>56</v>
      </c>
      <c r="E27">
        <f>INT((B27-1)/Constants!$B$2)+1</f>
        <v>3</v>
      </c>
      <c r="F27">
        <f>MOD(B27-1,Constants!$B$2)+1</f>
        <v>2</v>
      </c>
      <c r="G27">
        <f>MAX(0,E27-1)</f>
        <v>2</v>
      </c>
      <c r="H27">
        <f>INT(B27*G27/Constants!$B$2)</f>
        <v>4</v>
      </c>
      <c r="I27">
        <f>MOD(B27*G27,Constants!$B$2)</f>
        <v>4</v>
      </c>
      <c r="J27" t="str">
        <f>"P_"&amp;B27&amp;","&amp;D27</f>
        <v>P_26,56</v>
      </c>
      <c r="K27" t="str">
        <f>B27&amp;"p+"&amp;C27&amp;"n+"&amp;B27&amp;"e"</f>
        <v>26p+30n+26e</v>
      </c>
      <c r="L27">
        <f>2*B27+C27</f>
        <v>82</v>
      </c>
      <c r="M27">
        <f>B27+2*C27</f>
        <v>86</v>
      </c>
      <c r="N27">
        <f>B27</f>
        <v>26</v>
      </c>
      <c r="O27" t="str">
        <f>L27&amp;"u+"&amp;M27&amp;"d+"&amp;N27&amp;"e"</f>
        <v>82u+86d+26e</v>
      </c>
      <c r="P27">
        <f>COUNTIF(Shells!$E$2:$E$9,"&lt;"&amp;B27)+1</f>
        <v>3</v>
      </c>
      <c r="Q27">
        <f>INDEX(Shells!$C$2:$C$9,P27)</f>
        <v>18</v>
      </c>
      <c r="R27">
        <f>B27-IF(P27=1,0,INDEX(Shells!$E$2:$E$9,P27-1))</f>
        <v>16</v>
      </c>
      <c r="S27" t="str">
        <f>IF(R27=Q27,"CLOSED_SHELL","OPEN_SHELL")</f>
        <v>OPEN_SHELL</v>
      </c>
      <c r="T27" t="str">
        <f>IF(B27&gt;=Constants!$B$8,"CONSTANT_FRONTIER_TAIL_CANDIDATE",IF(I27=0,"CONSTANT_STABLE_ANCHOR_LANE",IF(I27=Constants!$B$2/2,"CONSTANT_HALF_WRITE_LANE","CONSTANT_BOUND_LADDER_LANE")))</f>
        <v>CONSTANT_BOUND_LADDER_LANE</v>
      </c>
      <c r="U27" t="str">
        <f>IF(B27&gt;=Constants!$B$8,"frontier",IF(AND(B27&lt;=Constants!$B$14,B27&lt;&gt;Constants!$B$15,B27&lt;&gt;Constants!$B$16),"stable","radioactive"))</f>
        <v>stable</v>
      </c>
      <c r="V27">
        <f>Constants!$B$9</f>
        <v>9.266927083333333</v>
      </c>
      <c r="W27">
        <f>B27*Constants!$B$9+(C27-B27)*Constants!$B$10</f>
        <v>241.002604166666667</v>
      </c>
      <c r="X27">
        <f>W27*Constants!$B$5</f>
        <v>1928.020833333333333</v>
      </c>
      <c r="Y27">
        <f>W27*7</f>
        <v>1687.018229166666667</v>
      </c>
      <c r="Z27" t="str">
        <f>"shell "&amp;P27&amp;" occupancy "&amp;R27&amp;"/"&amp;Q27</f>
        <v>shell 3 occupancy 16/18</v>
      </c>
      <c r="AA27" t="str">
        <f>"closure"</f>
        <v>closure</v>
      </c>
      <c r="AB27" t="str">
        <f>"A=Z+N="&amp;B27&amp;"+"&amp;C27&amp;"="&amp;D27</f>
        <v>56</v>
      </c>
      <c r="AC27" t="str">
        <f>"SAM_CONSTANTS_ONLY_NO_FREE_INPUTS"</f>
        <v>SAM_CONSTANTS_ONLY_NO_FREE_INPUTS</v>
      </c>
    </row>
    <row r="28">
      <c r="A28" t="str">
        <f>"SOB"&amp;B28</f>
        <v>SOB27</v>
      </c>
      <c r="B28">
        <f>ROW()-1</f>
        <v>27</v>
      </c>
      <c r="C28">
        <f>B28+H28</f>
        <v>31</v>
      </c>
      <c r="D28">
        <f>B28+C28</f>
        <v>58</v>
      </c>
      <c r="E28">
        <f>INT((B28-1)/Constants!$B$2)+1</f>
        <v>3</v>
      </c>
      <c r="F28">
        <f>MOD(B28-1,Constants!$B$2)+1</f>
        <v>3</v>
      </c>
      <c r="G28">
        <f>MAX(0,E28-1)</f>
        <v>2</v>
      </c>
      <c r="H28">
        <f>INT(B28*G28/Constants!$B$2)</f>
        <v>4</v>
      </c>
      <c r="I28">
        <f>MOD(B28*G28,Constants!$B$2)</f>
        <v>6</v>
      </c>
      <c r="J28" t="str">
        <f>"P_"&amp;B28&amp;","&amp;D28</f>
        <v>P_27,58</v>
      </c>
      <c r="K28" t="str">
        <f>B28&amp;"p+"&amp;C28&amp;"n+"&amp;B28&amp;"e"</f>
        <v>27p+31n+27e</v>
      </c>
      <c r="L28">
        <f>2*B28+C28</f>
        <v>85</v>
      </c>
      <c r="M28">
        <f>B28+2*C28</f>
        <v>89</v>
      </c>
      <c r="N28">
        <f>B28</f>
        <v>27</v>
      </c>
      <c r="O28" t="str">
        <f>L28&amp;"u+"&amp;M28&amp;"d+"&amp;N28&amp;"e"</f>
        <v>85u+89d+27e</v>
      </c>
      <c r="P28">
        <f>COUNTIF(Shells!$E$2:$E$9,"&lt;"&amp;B28)+1</f>
        <v>3</v>
      </c>
      <c r="Q28">
        <f>INDEX(Shells!$C$2:$C$9,P28)</f>
        <v>18</v>
      </c>
      <c r="R28">
        <f>B28-IF(P28=1,0,INDEX(Shells!$E$2:$E$9,P28-1))</f>
        <v>17</v>
      </c>
      <c r="S28" t="str">
        <f>IF(R28=Q28,"CLOSED_SHELL","OPEN_SHELL")</f>
        <v>OPEN_SHELL</v>
      </c>
      <c r="T28" t="str">
        <f>IF(B28&gt;=Constants!$B$8,"CONSTANT_FRONTIER_TAIL_CANDIDATE",IF(I28=0,"CONSTANT_STABLE_ANCHOR_LANE",IF(I28=Constants!$B$2/2,"CONSTANT_HALF_WRITE_LANE","CONSTANT_BOUND_LADDER_LANE")))</f>
        <v>CONSTANT_HALF_WRITE_LANE</v>
      </c>
      <c r="U28" t="str">
        <f>IF(B28&gt;=Constants!$B$8,"frontier",IF(AND(B28&lt;=Constants!$B$14,B28&lt;&gt;Constants!$B$15,B28&lt;&gt;Constants!$B$16),"stable","radioactive"))</f>
        <v>stable</v>
      </c>
      <c r="V28">
        <f>Constants!$B$9</f>
        <v>9.266927083333333</v>
      </c>
      <c r="W28">
        <f>B28*Constants!$B$9+(C28-B28)*Constants!$B$10</f>
        <v>250.26953125</v>
      </c>
      <c r="X28">
        <f>W28*Constants!$B$5</f>
        <v>2002.15625</v>
      </c>
      <c r="Y28">
        <f>W28*7</f>
        <v>1751.88671875</v>
      </c>
      <c r="Z28" t="str">
        <f>"shell "&amp;P28&amp;" occupancy "&amp;R28&amp;"/"&amp;Q28</f>
        <v>shell 3 occupancy 17/18</v>
      </c>
      <c r="AA28" t="str">
        <f>"closure"</f>
        <v>closure</v>
      </c>
      <c r="AB28" t="str">
        <f>"A=Z+N="&amp;B28&amp;"+"&amp;C28&amp;"="&amp;D28</f>
        <v>58</v>
      </c>
      <c r="AC28" t="str">
        <f>"SAM_CONSTANTS_ONLY_NO_FREE_INPUTS"</f>
        <v>SAM_CONSTANTS_ONLY_NO_FREE_INPUTS</v>
      </c>
    </row>
    <row r="29">
      <c r="A29" t="str">
        <f>"SOB"&amp;B29</f>
        <v>SOB28</v>
      </c>
      <c r="B29">
        <f>ROW()-1</f>
        <v>28</v>
      </c>
      <c r="C29">
        <f>B29+H29</f>
        <v>32</v>
      </c>
      <c r="D29">
        <f>B29+C29</f>
        <v>60</v>
      </c>
      <c r="E29">
        <f>INT((B29-1)/Constants!$B$2)+1</f>
        <v>3</v>
      </c>
      <c r="F29">
        <f>MOD(B29-1,Constants!$B$2)+1</f>
        <v>4</v>
      </c>
      <c r="G29">
        <f>MAX(0,E29-1)</f>
        <v>2</v>
      </c>
      <c r="H29">
        <f>INT(B29*G29/Constants!$B$2)</f>
        <v>4</v>
      </c>
      <c r="I29">
        <f>MOD(B29*G29,Constants!$B$2)</f>
        <v>8</v>
      </c>
      <c r="J29" t="str">
        <f>"P_"&amp;B29&amp;","&amp;D29</f>
        <v>P_28,60</v>
      </c>
      <c r="K29" t="str">
        <f>B29&amp;"p+"&amp;C29&amp;"n+"&amp;B29&amp;"e"</f>
        <v>28p+32n+28e</v>
      </c>
      <c r="L29">
        <f>2*B29+C29</f>
        <v>88</v>
      </c>
      <c r="M29">
        <f>B29+2*C29</f>
        <v>92</v>
      </c>
      <c r="N29">
        <f>B29</f>
        <v>28</v>
      </c>
      <c r="O29" t="str">
        <f>L29&amp;"u+"&amp;M29&amp;"d+"&amp;N29&amp;"e"</f>
        <v>88u+92d+28e</v>
      </c>
      <c r="P29">
        <f>COUNTIF(Shells!$E$2:$E$9,"&lt;"&amp;B29)+1</f>
        <v>3</v>
      </c>
      <c r="Q29">
        <f>INDEX(Shells!$C$2:$C$9,P29)</f>
        <v>18</v>
      </c>
      <c r="R29">
        <f>B29-IF(P29=1,0,INDEX(Shells!$E$2:$E$9,P29-1))</f>
        <v>18</v>
      </c>
      <c r="S29" t="str">
        <f>IF(R29=Q29,"CLOSED_SHELL","OPEN_SHELL")</f>
        <v>CLOSED_SHELL</v>
      </c>
      <c r="T29" t="str">
        <f>IF(B29&gt;=Constants!$B$8,"CONSTANT_FRONTIER_TAIL_CANDIDATE",IF(I29=0,"CONSTANT_STABLE_ANCHOR_LANE",IF(I29=Constants!$B$2/2,"CONSTANT_HALF_WRITE_LANE","CONSTANT_BOUND_LADDER_LANE")))</f>
        <v>CONSTANT_BOUND_LADDER_LANE</v>
      </c>
      <c r="U29" t="str">
        <f>IF(B29&gt;=Constants!$B$8,"frontier",IF(AND(B29&lt;=Constants!$B$14,B29&lt;&gt;Constants!$B$15,B29&lt;&gt;Constants!$B$16),"stable","radioactive"))</f>
        <v>stable</v>
      </c>
      <c r="V29">
        <f>Constants!$B$9</f>
        <v>9.266927083333333</v>
      </c>
      <c r="W29">
        <f>B29*Constants!$B$9+(C29-B29)*Constants!$B$10</f>
        <v>259.536458333333333</v>
      </c>
      <c r="X29">
        <f>W29*Constants!$B$5</f>
        <v>2076.291666666666667</v>
      </c>
      <c r="Y29">
        <f>W29*7</f>
        <v>1816.755208333333333</v>
      </c>
      <c r="Z29" t="str">
        <f>"shell "&amp;P29&amp;" occupancy "&amp;R29&amp;"/"&amp;Q29</f>
        <v>shell 3 occupancy 18/18</v>
      </c>
      <c r="AA29" t="str">
        <f>"closure"</f>
        <v>closure</v>
      </c>
      <c r="AB29" t="str">
        <f>"A=Z+N="&amp;B29&amp;"+"&amp;C29&amp;"="&amp;D29</f>
        <v>60</v>
      </c>
      <c r="AC29" t="str">
        <f>"SAM_CONSTANTS_ONLY_NO_FREE_INPUTS"</f>
        <v>SAM_CONSTANTS_ONLY_NO_FREE_INPUTS</v>
      </c>
    </row>
    <row r="30">
      <c r="A30" t="str">
        <f>"SOB"&amp;B30</f>
        <v>SOB29</v>
      </c>
      <c r="B30">
        <f>ROW()-1</f>
        <v>29</v>
      </c>
      <c r="C30">
        <f>B30+H30</f>
        <v>33</v>
      </c>
      <c r="D30">
        <f>B30+C30</f>
        <v>62</v>
      </c>
      <c r="E30">
        <f>INT((B30-1)/Constants!$B$2)+1</f>
        <v>3</v>
      </c>
      <c r="F30">
        <f>MOD(B30-1,Constants!$B$2)+1</f>
        <v>5</v>
      </c>
      <c r="G30">
        <f>MAX(0,E30-1)</f>
        <v>2</v>
      </c>
      <c r="H30">
        <f>INT(B30*G30/Constants!$B$2)</f>
        <v>4</v>
      </c>
      <c r="I30">
        <f>MOD(B30*G30,Constants!$B$2)</f>
        <v>10</v>
      </c>
      <c r="J30" t="str">
        <f>"P_"&amp;B30&amp;","&amp;D30</f>
        <v>P_29,62</v>
      </c>
      <c r="K30" t="str">
        <f>B30&amp;"p+"&amp;C30&amp;"n+"&amp;B30&amp;"e"</f>
        <v>29p+33n+29e</v>
      </c>
      <c r="L30">
        <f>2*B30+C30</f>
        <v>91</v>
      </c>
      <c r="M30">
        <f>B30+2*C30</f>
        <v>95</v>
      </c>
      <c r="N30">
        <f>B30</f>
        <v>29</v>
      </c>
      <c r="O30" t="str">
        <f>L30&amp;"u+"&amp;M30&amp;"d+"&amp;N30&amp;"e"</f>
        <v>91u+95d+29e</v>
      </c>
      <c r="P30">
        <f>COUNTIF(Shells!$E$2:$E$9,"&lt;"&amp;B30)+1</f>
        <v>4</v>
      </c>
      <c r="Q30">
        <f>INDEX(Shells!$C$2:$C$9,P30)</f>
        <v>32</v>
      </c>
      <c r="R30">
        <f>B30-IF(P30=1,0,INDEX(Shells!$E$2:$E$9,P30-1))</f>
        <v>1</v>
      </c>
      <c r="S30" t="str">
        <f>IF(R30=Q30,"CLOSED_SHELL","OPEN_SHELL")</f>
        <v>OPEN_SHELL</v>
      </c>
      <c r="T30" t="str">
        <f>IF(B30&gt;=Constants!$B$8,"CONSTANT_FRONTIER_TAIL_CANDIDATE",IF(I30=0,"CONSTANT_STABLE_ANCHOR_LANE",IF(I30=Constants!$B$2/2,"CONSTANT_HALF_WRITE_LANE","CONSTANT_BOUND_LADDER_LANE")))</f>
        <v>CONSTANT_BOUND_LADDER_LANE</v>
      </c>
      <c r="U30" t="str">
        <f>IF(B30&gt;=Constants!$B$8,"frontier",IF(AND(B30&lt;=Constants!$B$14,B30&lt;&gt;Constants!$B$15,B30&lt;&gt;Constants!$B$16),"stable","radioactive"))</f>
        <v>stable</v>
      </c>
      <c r="V30">
        <f>Constants!$B$9</f>
        <v>9.266927083333333</v>
      </c>
      <c r="W30">
        <f>B30*Constants!$B$9+(C30-B30)*Constants!$B$10</f>
        <v>268.803385416666667</v>
      </c>
      <c r="X30">
        <f>W30*Constants!$B$5</f>
        <v>2150.427083333333333</v>
      </c>
      <c r="Y30">
        <f>W30*7</f>
        <v>1881.623697916666667</v>
      </c>
      <c r="Z30" t="str">
        <f>"shell "&amp;P30&amp;" occupancy "&amp;R30&amp;"/"&amp;Q30</f>
        <v>shell 4 occupancy 1/32</v>
      </c>
      <c r="AA30" t="str">
        <f>"closure"</f>
        <v>closure</v>
      </c>
      <c r="AB30" t="str">
        <f>"A=Z+N="&amp;B30&amp;"+"&amp;C30&amp;"="&amp;D30</f>
        <v>62</v>
      </c>
      <c r="AC30" t="str">
        <f>"SAM_CONSTANTS_ONLY_NO_FREE_INPUTS"</f>
        <v>SAM_CONSTANTS_ONLY_NO_FREE_INPUTS</v>
      </c>
    </row>
    <row r="31">
      <c r="A31" t="str">
        <f>"SOB"&amp;B31</f>
        <v>SOB30</v>
      </c>
      <c r="B31">
        <f>ROW()-1</f>
        <v>30</v>
      </c>
      <c r="C31">
        <f>B31+H31</f>
        <v>35</v>
      </c>
      <c r="D31">
        <f>B31+C31</f>
        <v>65</v>
      </c>
      <c r="E31">
        <f>INT((B31-1)/Constants!$B$2)+1</f>
        <v>3</v>
      </c>
      <c r="F31">
        <f>MOD(B31-1,Constants!$B$2)+1</f>
        <v>6</v>
      </c>
      <c r="G31">
        <f>MAX(0,E31-1)</f>
        <v>2</v>
      </c>
      <c r="H31">
        <f>INT(B31*G31/Constants!$B$2)</f>
        <v>5</v>
      </c>
      <c r="I31">
        <f>MOD(B31*G31,Constants!$B$2)</f>
        <v>0</v>
      </c>
      <c r="J31" t="str">
        <f>"P_"&amp;B31&amp;","&amp;D31</f>
        <v>P_30,65</v>
      </c>
      <c r="K31" t="str">
        <f>B31&amp;"p+"&amp;C31&amp;"n+"&amp;B31&amp;"e"</f>
        <v>30p+35n+30e</v>
      </c>
      <c r="L31">
        <f>2*B31+C31</f>
        <v>95</v>
      </c>
      <c r="M31">
        <f>B31+2*C31</f>
        <v>100</v>
      </c>
      <c r="N31">
        <f>B31</f>
        <v>30</v>
      </c>
      <c r="O31" t="str">
        <f>L31&amp;"u+"&amp;M31&amp;"d+"&amp;N31&amp;"e"</f>
        <v>95u+100d+30e</v>
      </c>
      <c r="P31">
        <f>COUNTIF(Shells!$E$2:$E$9,"&lt;"&amp;B31)+1</f>
        <v>4</v>
      </c>
      <c r="Q31">
        <f>INDEX(Shells!$C$2:$C$9,P31)</f>
        <v>32</v>
      </c>
      <c r="R31">
        <f>B31-IF(P31=1,0,INDEX(Shells!$E$2:$E$9,P31-1))</f>
        <v>2</v>
      </c>
      <c r="S31" t="str">
        <f>IF(R31=Q31,"CLOSED_SHELL","OPEN_SHELL")</f>
        <v>OPEN_SHELL</v>
      </c>
      <c r="T31" t="str">
        <f>IF(B31&gt;=Constants!$B$8,"CONSTANT_FRONTIER_TAIL_CANDIDATE",IF(I31=0,"CONSTANT_STABLE_ANCHOR_LANE",IF(I31=Constants!$B$2/2,"CONSTANT_HALF_WRITE_LANE","CONSTANT_BOUND_LADDER_LANE")))</f>
        <v>CONSTANT_STABLE_ANCHOR_LANE</v>
      </c>
      <c r="U31" t="str">
        <f>IF(B31&gt;=Constants!$B$8,"frontier",IF(AND(B31&lt;=Constants!$B$14,B31&lt;&gt;Constants!$B$15,B31&lt;&gt;Constants!$B$16),"stable","radioactive"))</f>
        <v>stable</v>
      </c>
      <c r="V31">
        <f>Constants!$B$9</f>
        <v>9.266927083333333</v>
      </c>
      <c r="W31">
        <f>B31*Constants!$B$9+(C31-B31)*Constants!$B$10</f>
        <v>278.0859375</v>
      </c>
      <c r="X31">
        <f>W31*Constants!$B$5</f>
        <v>2224.6875</v>
      </c>
      <c r="Y31">
        <f>W31*7</f>
        <v>1946.6015625</v>
      </c>
      <c r="Z31" t="str">
        <f>"shell "&amp;P31&amp;" occupancy "&amp;R31&amp;"/"&amp;Q31</f>
        <v>shell 4 occupancy 2/32</v>
      </c>
      <c r="AA31" t="str">
        <f>"closure"</f>
        <v>closure</v>
      </c>
      <c r="AB31" t="str">
        <f>"A=Z+N="&amp;B31&amp;"+"&amp;C31&amp;"="&amp;D31</f>
        <v>65</v>
      </c>
      <c r="AC31" t="str">
        <f>"SAM_CONSTANTS_ONLY_NO_FREE_INPUTS"</f>
        <v>SAM_CONSTANTS_ONLY_NO_FREE_INPUTS</v>
      </c>
    </row>
    <row r="32">
      <c r="A32" t="str">
        <f>"SOB"&amp;B32</f>
        <v>SOB31</v>
      </c>
      <c r="B32">
        <f>ROW()-1</f>
        <v>31</v>
      </c>
      <c r="C32">
        <f>B32+H32</f>
        <v>36</v>
      </c>
      <c r="D32">
        <f>B32+C32</f>
        <v>67</v>
      </c>
      <c r="E32">
        <f>INT((B32-1)/Constants!$B$2)+1</f>
        <v>3</v>
      </c>
      <c r="F32">
        <f>MOD(B32-1,Constants!$B$2)+1</f>
        <v>7</v>
      </c>
      <c r="G32">
        <f>MAX(0,E32-1)</f>
        <v>2</v>
      </c>
      <c r="H32">
        <f>INT(B32*G32/Constants!$B$2)</f>
        <v>5</v>
      </c>
      <c r="I32">
        <f>MOD(B32*G32,Constants!$B$2)</f>
        <v>2</v>
      </c>
      <c r="J32" t="str">
        <f>"P_"&amp;B32&amp;","&amp;D32</f>
        <v>P_31,67</v>
      </c>
      <c r="K32" t="str">
        <f>B32&amp;"p+"&amp;C32&amp;"n+"&amp;B32&amp;"e"</f>
        <v>31p+36n+31e</v>
      </c>
      <c r="L32">
        <f>2*B32+C32</f>
        <v>98</v>
      </c>
      <c r="M32">
        <f>B32+2*C32</f>
        <v>103</v>
      </c>
      <c r="N32">
        <f>B32</f>
        <v>31</v>
      </c>
      <c r="O32" t="str">
        <f>L32&amp;"u+"&amp;M32&amp;"d+"&amp;N32&amp;"e"</f>
        <v>98u+103d+31e</v>
      </c>
      <c r="P32">
        <f>COUNTIF(Shells!$E$2:$E$9,"&lt;"&amp;B32)+1</f>
        <v>4</v>
      </c>
      <c r="Q32">
        <f>INDEX(Shells!$C$2:$C$9,P32)</f>
        <v>32</v>
      </c>
      <c r="R32">
        <f>B32-IF(P32=1,0,INDEX(Shells!$E$2:$E$9,P32-1))</f>
        <v>3</v>
      </c>
      <c r="S32" t="str">
        <f>IF(R32=Q32,"CLOSED_SHELL","OPEN_SHELL")</f>
        <v>OPEN_SHELL</v>
      </c>
      <c r="T32" t="str">
        <f>IF(B32&gt;=Constants!$B$8,"CONSTANT_FRONTIER_TAIL_CANDIDATE",IF(I32=0,"CONSTANT_STABLE_ANCHOR_LANE",IF(I32=Constants!$B$2/2,"CONSTANT_HALF_WRITE_LANE","CONSTANT_BOUND_LADDER_LANE")))</f>
        <v>CONSTANT_BOUND_LADDER_LANE</v>
      </c>
      <c r="U32" t="str">
        <f>IF(B32&gt;=Constants!$B$8,"frontier",IF(AND(B32&lt;=Constants!$B$14,B32&lt;&gt;Constants!$B$15,B32&lt;&gt;Constants!$B$16),"stable","radioactive"))</f>
        <v>stable</v>
      </c>
      <c r="V32">
        <f>Constants!$B$9</f>
        <v>9.266927083333333</v>
      </c>
      <c r="W32">
        <f>B32*Constants!$B$9+(C32-B32)*Constants!$B$10</f>
        <v>287.352864583333333</v>
      </c>
      <c r="X32">
        <f>W32*Constants!$B$5</f>
        <v>2298.822916666666667</v>
      </c>
      <c r="Y32">
        <f>W32*7</f>
        <v>2011.470052083333333</v>
      </c>
      <c r="Z32" t="str">
        <f>"shell "&amp;P32&amp;" occupancy "&amp;R32&amp;"/"&amp;Q32</f>
        <v>shell 4 occupancy 3/32</v>
      </c>
      <c r="AA32" t="str">
        <f>"closure"</f>
        <v>closure</v>
      </c>
      <c r="AB32" t="str">
        <f>"A=Z+N="&amp;B32&amp;"+"&amp;C32&amp;"="&amp;D32</f>
        <v>67</v>
      </c>
      <c r="AC32" t="str">
        <f>"SAM_CONSTANTS_ONLY_NO_FREE_INPUTS"</f>
        <v>SAM_CONSTANTS_ONLY_NO_FREE_INPUTS</v>
      </c>
    </row>
    <row r="33">
      <c r="A33" t="str">
        <f>"SOB"&amp;B33</f>
        <v>SOB32</v>
      </c>
      <c r="B33">
        <f>ROW()-1</f>
        <v>32</v>
      </c>
      <c r="C33">
        <f>B33+H33</f>
        <v>37</v>
      </c>
      <c r="D33">
        <f>B33+C33</f>
        <v>69</v>
      </c>
      <c r="E33">
        <f>INT((B33-1)/Constants!$B$2)+1</f>
        <v>3</v>
      </c>
      <c r="F33">
        <f>MOD(B33-1,Constants!$B$2)+1</f>
        <v>8</v>
      </c>
      <c r="G33">
        <f>MAX(0,E33-1)</f>
        <v>2</v>
      </c>
      <c r="H33">
        <f>INT(B33*G33/Constants!$B$2)</f>
        <v>5</v>
      </c>
      <c r="I33">
        <f>MOD(B33*G33,Constants!$B$2)</f>
        <v>4</v>
      </c>
      <c r="J33" t="str">
        <f>"P_"&amp;B33&amp;","&amp;D33</f>
        <v>P_32,69</v>
      </c>
      <c r="K33" t="str">
        <f>B33&amp;"p+"&amp;C33&amp;"n+"&amp;B33&amp;"e"</f>
        <v>32p+37n+32e</v>
      </c>
      <c r="L33">
        <f>2*B33+C33</f>
        <v>101</v>
      </c>
      <c r="M33">
        <f>B33+2*C33</f>
        <v>106</v>
      </c>
      <c r="N33">
        <f>B33</f>
        <v>32</v>
      </c>
      <c r="O33" t="str">
        <f>L33&amp;"u+"&amp;M33&amp;"d+"&amp;N33&amp;"e"</f>
        <v>101u+106d+32e</v>
      </c>
      <c r="P33">
        <f>COUNTIF(Shells!$E$2:$E$9,"&lt;"&amp;B33)+1</f>
        <v>4</v>
      </c>
      <c r="Q33">
        <f>INDEX(Shells!$C$2:$C$9,P33)</f>
        <v>32</v>
      </c>
      <c r="R33">
        <f>B33-IF(P33=1,0,INDEX(Shells!$E$2:$E$9,P33-1))</f>
        <v>4</v>
      </c>
      <c r="S33" t="str">
        <f>IF(R33=Q33,"CLOSED_SHELL","OPEN_SHELL")</f>
        <v>OPEN_SHELL</v>
      </c>
      <c r="T33" t="str">
        <f>IF(B33&gt;=Constants!$B$8,"CONSTANT_FRONTIER_TAIL_CANDIDATE",IF(I33=0,"CONSTANT_STABLE_ANCHOR_LANE",IF(I33=Constants!$B$2/2,"CONSTANT_HALF_WRITE_LANE","CONSTANT_BOUND_LADDER_LANE")))</f>
        <v>CONSTANT_BOUND_LADDER_LANE</v>
      </c>
      <c r="U33" t="str">
        <f>IF(B33&gt;=Constants!$B$8,"frontier",IF(AND(B33&lt;=Constants!$B$14,B33&lt;&gt;Constants!$B$15,B33&lt;&gt;Constants!$B$16),"stable","radioactive"))</f>
        <v>stable</v>
      </c>
      <c r="V33">
        <f>Constants!$B$9</f>
        <v>9.266927083333333</v>
      </c>
      <c r="W33">
        <f>B33*Constants!$B$9+(C33-B33)*Constants!$B$10</f>
        <v>296.619791666666667</v>
      </c>
      <c r="X33">
        <f>W33*Constants!$B$5</f>
        <v>2372.958333333333333</v>
      </c>
      <c r="Y33">
        <f>W33*7</f>
        <v>2076.338541666666667</v>
      </c>
      <c r="Z33" t="str">
        <f>"shell "&amp;P33&amp;" occupancy "&amp;R33&amp;"/"&amp;Q33</f>
        <v>shell 4 occupancy 4/32</v>
      </c>
      <c r="AA33" t="str">
        <f>"closure"</f>
        <v>closure</v>
      </c>
      <c r="AB33" t="str">
        <f>"A=Z+N="&amp;B33&amp;"+"&amp;C33&amp;"="&amp;D33</f>
        <v>69</v>
      </c>
      <c r="AC33" t="str">
        <f>"SAM_CONSTANTS_ONLY_NO_FREE_INPUTS"</f>
        <v>SAM_CONSTANTS_ONLY_NO_FREE_INPUTS</v>
      </c>
    </row>
    <row r="34">
      <c r="A34" t="str">
        <f>"SOB"&amp;B34</f>
        <v>SOB33</v>
      </c>
      <c r="B34">
        <f>ROW()-1</f>
        <v>33</v>
      </c>
      <c r="C34">
        <f>B34+H34</f>
        <v>38</v>
      </c>
      <c r="D34">
        <f>B34+C34</f>
        <v>71</v>
      </c>
      <c r="E34">
        <f>INT((B34-1)/Constants!$B$2)+1</f>
        <v>3</v>
      </c>
      <c r="F34">
        <f>MOD(B34-1,Constants!$B$2)+1</f>
        <v>9</v>
      </c>
      <c r="G34">
        <f>MAX(0,E34-1)</f>
        <v>2</v>
      </c>
      <c r="H34">
        <f>INT(B34*G34/Constants!$B$2)</f>
        <v>5</v>
      </c>
      <c r="I34">
        <f>MOD(B34*G34,Constants!$B$2)</f>
        <v>6</v>
      </c>
      <c r="J34" t="str">
        <f>"P_"&amp;B34&amp;","&amp;D34</f>
        <v>P_33,71</v>
      </c>
      <c r="K34" t="str">
        <f>B34&amp;"p+"&amp;C34&amp;"n+"&amp;B34&amp;"e"</f>
        <v>33p+38n+33e</v>
      </c>
      <c r="L34">
        <f>2*B34+C34</f>
        <v>104</v>
      </c>
      <c r="M34">
        <f>B34+2*C34</f>
        <v>109</v>
      </c>
      <c r="N34">
        <f>B34</f>
        <v>33</v>
      </c>
      <c r="O34" t="str">
        <f>L34&amp;"u+"&amp;M34&amp;"d+"&amp;N34&amp;"e"</f>
        <v>104u+109d+33e</v>
      </c>
      <c r="P34">
        <f>COUNTIF(Shells!$E$2:$E$9,"&lt;"&amp;B34)+1</f>
        <v>4</v>
      </c>
      <c r="Q34">
        <f>INDEX(Shells!$C$2:$C$9,P34)</f>
        <v>32</v>
      </c>
      <c r="R34">
        <f>B34-IF(P34=1,0,INDEX(Shells!$E$2:$E$9,P34-1))</f>
        <v>5</v>
      </c>
      <c r="S34" t="str">
        <f>IF(R34=Q34,"CLOSED_SHELL","OPEN_SHELL")</f>
        <v>OPEN_SHELL</v>
      </c>
      <c r="T34" t="str">
        <f>IF(B34&gt;=Constants!$B$8,"CONSTANT_FRONTIER_TAIL_CANDIDATE",IF(I34=0,"CONSTANT_STABLE_ANCHOR_LANE",IF(I34=Constants!$B$2/2,"CONSTANT_HALF_WRITE_LANE","CONSTANT_BOUND_LADDER_LANE")))</f>
        <v>CONSTANT_HALF_WRITE_LANE</v>
      </c>
      <c r="U34" t="str">
        <f>IF(B34&gt;=Constants!$B$8,"frontier",IF(AND(B34&lt;=Constants!$B$14,B34&lt;&gt;Constants!$B$15,B34&lt;&gt;Constants!$B$16),"stable","radioactive"))</f>
        <v>stable</v>
      </c>
      <c r="V34">
        <f>Constants!$B$9</f>
        <v>9.266927083333333</v>
      </c>
      <c r="W34">
        <f>B34*Constants!$B$9+(C34-B34)*Constants!$B$10</f>
        <v>305.88671875</v>
      </c>
      <c r="X34">
        <f>W34*Constants!$B$5</f>
        <v>2447.09375</v>
      </c>
      <c r="Y34">
        <f>W34*7</f>
        <v>2141.20703125</v>
      </c>
      <c r="Z34" t="str">
        <f>"shell "&amp;P34&amp;" occupancy "&amp;R34&amp;"/"&amp;Q34</f>
        <v>shell 4 occupancy 5/32</v>
      </c>
      <c r="AA34" t="str">
        <f>"closure"</f>
        <v>closure</v>
      </c>
      <c r="AB34" t="str">
        <f>"A=Z+N="&amp;B34&amp;"+"&amp;C34&amp;"="&amp;D34</f>
        <v>71</v>
      </c>
      <c r="AC34" t="str">
        <f>"SAM_CONSTANTS_ONLY_NO_FREE_INPUTS"</f>
        <v>SAM_CONSTANTS_ONLY_NO_FREE_INPUTS</v>
      </c>
    </row>
    <row r="35">
      <c r="A35" t="str">
        <f>"SOB"&amp;B35</f>
        <v>SOB34</v>
      </c>
      <c r="B35">
        <f>ROW()-1</f>
        <v>34</v>
      </c>
      <c r="C35">
        <f>B35+H35</f>
        <v>39</v>
      </c>
      <c r="D35">
        <f>B35+C35</f>
        <v>73</v>
      </c>
      <c r="E35">
        <f>INT((B35-1)/Constants!$B$2)+1</f>
        <v>3</v>
      </c>
      <c r="F35">
        <f>MOD(B35-1,Constants!$B$2)+1</f>
        <v>10</v>
      </c>
      <c r="G35">
        <f>MAX(0,E35-1)</f>
        <v>2</v>
      </c>
      <c r="H35">
        <f>INT(B35*G35/Constants!$B$2)</f>
        <v>5</v>
      </c>
      <c r="I35">
        <f>MOD(B35*G35,Constants!$B$2)</f>
        <v>8</v>
      </c>
      <c r="J35" t="str">
        <f>"P_"&amp;B35&amp;","&amp;D35</f>
        <v>P_34,73</v>
      </c>
      <c r="K35" t="str">
        <f>B35&amp;"p+"&amp;C35&amp;"n+"&amp;B35&amp;"e"</f>
        <v>34p+39n+34e</v>
      </c>
      <c r="L35">
        <f>2*B35+C35</f>
        <v>107</v>
      </c>
      <c r="M35">
        <f>B35+2*C35</f>
        <v>112</v>
      </c>
      <c r="N35">
        <f>B35</f>
        <v>34</v>
      </c>
      <c r="O35" t="str">
        <f>L35&amp;"u+"&amp;M35&amp;"d+"&amp;N35&amp;"e"</f>
        <v>107u+112d+34e</v>
      </c>
      <c r="P35">
        <f>COUNTIF(Shells!$E$2:$E$9,"&lt;"&amp;B35)+1</f>
        <v>4</v>
      </c>
      <c r="Q35">
        <f>INDEX(Shells!$C$2:$C$9,P35)</f>
        <v>32</v>
      </c>
      <c r="R35">
        <f>B35-IF(P35=1,0,INDEX(Shells!$E$2:$E$9,P35-1))</f>
        <v>6</v>
      </c>
      <c r="S35" t="str">
        <f>IF(R35=Q35,"CLOSED_SHELL","OPEN_SHELL")</f>
        <v>OPEN_SHELL</v>
      </c>
      <c r="T35" t="str">
        <f>IF(B35&gt;=Constants!$B$8,"CONSTANT_FRONTIER_TAIL_CANDIDATE",IF(I35=0,"CONSTANT_STABLE_ANCHOR_LANE",IF(I35=Constants!$B$2/2,"CONSTANT_HALF_WRITE_LANE","CONSTANT_BOUND_LADDER_LANE")))</f>
        <v>CONSTANT_BOUND_LADDER_LANE</v>
      </c>
      <c r="U35" t="str">
        <f>IF(B35&gt;=Constants!$B$8,"frontier",IF(AND(B35&lt;=Constants!$B$14,B35&lt;&gt;Constants!$B$15,B35&lt;&gt;Constants!$B$16),"stable","radioactive"))</f>
        <v>stable</v>
      </c>
      <c r="V35">
        <f>Constants!$B$9</f>
        <v>9.266927083333333</v>
      </c>
      <c r="W35">
        <f>B35*Constants!$B$9+(C35-B35)*Constants!$B$10</f>
        <v>315.153645833333333</v>
      </c>
      <c r="X35">
        <f>W35*Constants!$B$5</f>
        <v>2521.229166666666667</v>
      </c>
      <c r="Y35">
        <f>W35*7</f>
        <v>2206.075520833333333</v>
      </c>
      <c r="Z35" t="str">
        <f>"shell "&amp;P35&amp;" occupancy "&amp;R35&amp;"/"&amp;Q35</f>
        <v>shell 4 occupancy 6/32</v>
      </c>
      <c r="AA35" t="str">
        <f>"closure"</f>
        <v>closure</v>
      </c>
      <c r="AB35" t="str">
        <f>"A=Z+N="&amp;B35&amp;"+"&amp;C35&amp;"="&amp;D35</f>
        <v>73</v>
      </c>
      <c r="AC35" t="str">
        <f>"SAM_CONSTANTS_ONLY_NO_FREE_INPUTS"</f>
        <v>SAM_CONSTANTS_ONLY_NO_FREE_INPUTS</v>
      </c>
    </row>
    <row r="36">
      <c r="A36" t="str">
        <f>"SOB"&amp;B36</f>
        <v>SOB35</v>
      </c>
      <c r="B36">
        <f>ROW()-1</f>
        <v>35</v>
      </c>
      <c r="C36">
        <f>B36+H36</f>
        <v>40</v>
      </c>
      <c r="D36">
        <f>B36+C36</f>
        <v>75</v>
      </c>
      <c r="E36">
        <f>INT((B36-1)/Constants!$B$2)+1</f>
        <v>3</v>
      </c>
      <c r="F36">
        <f>MOD(B36-1,Constants!$B$2)+1</f>
        <v>11</v>
      </c>
      <c r="G36">
        <f>MAX(0,E36-1)</f>
        <v>2</v>
      </c>
      <c r="H36">
        <f>INT(B36*G36/Constants!$B$2)</f>
        <v>5</v>
      </c>
      <c r="I36">
        <f>MOD(B36*G36,Constants!$B$2)</f>
        <v>10</v>
      </c>
      <c r="J36" t="str">
        <f>"P_"&amp;B36&amp;","&amp;D36</f>
        <v>P_35,75</v>
      </c>
      <c r="K36" t="str">
        <f>B36&amp;"p+"&amp;C36&amp;"n+"&amp;B36&amp;"e"</f>
        <v>35p+40n+35e</v>
      </c>
      <c r="L36">
        <f>2*B36+C36</f>
        <v>110</v>
      </c>
      <c r="M36">
        <f>B36+2*C36</f>
        <v>115</v>
      </c>
      <c r="N36">
        <f>B36</f>
        <v>35</v>
      </c>
      <c r="O36" t="str">
        <f>L36&amp;"u+"&amp;M36&amp;"d+"&amp;N36&amp;"e"</f>
        <v>110u+115d+35e</v>
      </c>
      <c r="P36">
        <f>COUNTIF(Shells!$E$2:$E$9,"&lt;"&amp;B36)+1</f>
        <v>4</v>
      </c>
      <c r="Q36">
        <f>INDEX(Shells!$C$2:$C$9,P36)</f>
        <v>32</v>
      </c>
      <c r="R36">
        <f>B36-IF(P36=1,0,INDEX(Shells!$E$2:$E$9,P36-1))</f>
        <v>7</v>
      </c>
      <c r="S36" t="str">
        <f>IF(R36=Q36,"CLOSED_SHELL","OPEN_SHELL")</f>
        <v>OPEN_SHELL</v>
      </c>
      <c r="T36" t="str">
        <f>IF(B36&gt;=Constants!$B$8,"CONSTANT_FRONTIER_TAIL_CANDIDATE",IF(I36=0,"CONSTANT_STABLE_ANCHOR_LANE",IF(I36=Constants!$B$2/2,"CONSTANT_HALF_WRITE_LANE","CONSTANT_BOUND_LADDER_LANE")))</f>
        <v>CONSTANT_BOUND_LADDER_LANE</v>
      </c>
      <c r="U36" t="str">
        <f>IF(B36&gt;=Constants!$B$8,"frontier",IF(AND(B36&lt;=Constants!$B$14,B36&lt;&gt;Constants!$B$15,B36&lt;&gt;Constants!$B$16),"stable","radioactive"))</f>
        <v>stable</v>
      </c>
      <c r="V36">
        <f>Constants!$B$9</f>
        <v>9.266927083333333</v>
      </c>
      <c r="W36">
        <f>B36*Constants!$B$9+(C36-B36)*Constants!$B$10</f>
        <v>324.420572916666667</v>
      </c>
      <c r="X36">
        <f>W36*Constants!$B$5</f>
        <v>2595.364583333333333</v>
      </c>
      <c r="Y36">
        <f>W36*7</f>
        <v>2270.944010416666667</v>
      </c>
      <c r="Z36" t="str">
        <f>"shell "&amp;P36&amp;" occupancy "&amp;R36&amp;"/"&amp;Q36</f>
        <v>shell 4 occupancy 7/32</v>
      </c>
      <c r="AA36" t="str">
        <f>"closure"</f>
        <v>closure</v>
      </c>
      <c r="AB36" t="str">
        <f>"A=Z+N="&amp;B36&amp;"+"&amp;C36&amp;"="&amp;D36</f>
        <v>75</v>
      </c>
      <c r="AC36" t="str">
        <f>"SAM_CONSTANTS_ONLY_NO_FREE_INPUTS"</f>
        <v>SAM_CONSTANTS_ONLY_NO_FREE_INPUTS</v>
      </c>
    </row>
    <row r="37">
      <c r="A37" t="str">
        <f>"SOB"&amp;B37</f>
        <v>SOB36</v>
      </c>
      <c r="B37">
        <f>ROW()-1</f>
        <v>36</v>
      </c>
      <c r="C37">
        <f>B37+H37</f>
        <v>42</v>
      </c>
      <c r="D37">
        <f>B37+C37</f>
        <v>78</v>
      </c>
      <c r="E37">
        <f>INT((B37-1)/Constants!$B$2)+1</f>
        <v>3</v>
      </c>
      <c r="F37">
        <f>MOD(B37-1,Constants!$B$2)+1</f>
        <v>12</v>
      </c>
      <c r="G37">
        <f>MAX(0,E37-1)</f>
        <v>2</v>
      </c>
      <c r="H37">
        <f>INT(B37*G37/Constants!$B$2)</f>
        <v>6</v>
      </c>
      <c r="I37">
        <f>MOD(B37*G37,Constants!$B$2)</f>
        <v>0</v>
      </c>
      <c r="J37" t="str">
        <f>"P_"&amp;B37&amp;","&amp;D37</f>
        <v>P_36,78</v>
      </c>
      <c r="K37" t="str">
        <f>B37&amp;"p+"&amp;C37&amp;"n+"&amp;B37&amp;"e"</f>
        <v>36p+42n+36e</v>
      </c>
      <c r="L37">
        <f>2*B37+C37</f>
        <v>114</v>
      </c>
      <c r="M37">
        <f>B37+2*C37</f>
        <v>120</v>
      </c>
      <c r="N37">
        <f>B37</f>
        <v>36</v>
      </c>
      <c r="O37" t="str">
        <f>L37&amp;"u+"&amp;M37&amp;"d+"&amp;N37&amp;"e"</f>
        <v>114u+120d+36e</v>
      </c>
      <c r="P37">
        <f>COUNTIF(Shells!$E$2:$E$9,"&lt;"&amp;B37)+1</f>
        <v>4</v>
      </c>
      <c r="Q37">
        <f>INDEX(Shells!$C$2:$C$9,P37)</f>
        <v>32</v>
      </c>
      <c r="R37">
        <f>B37-IF(P37=1,0,INDEX(Shells!$E$2:$E$9,P37-1))</f>
        <v>8</v>
      </c>
      <c r="S37" t="str">
        <f>IF(R37=Q37,"CLOSED_SHELL","OPEN_SHELL")</f>
        <v>OPEN_SHELL</v>
      </c>
      <c r="T37" t="str">
        <f>IF(B37&gt;=Constants!$B$8,"CONSTANT_FRONTIER_TAIL_CANDIDATE",IF(I37=0,"CONSTANT_STABLE_ANCHOR_LANE",IF(I37=Constants!$B$2/2,"CONSTANT_HALF_WRITE_LANE","CONSTANT_BOUND_LADDER_LANE")))</f>
        <v>CONSTANT_STABLE_ANCHOR_LANE</v>
      </c>
      <c r="U37" t="str">
        <f>IF(B37&gt;=Constants!$B$8,"frontier",IF(AND(B37&lt;=Constants!$B$14,B37&lt;&gt;Constants!$B$15,B37&lt;&gt;Constants!$B$16),"stable","radioactive"))</f>
        <v>stable</v>
      </c>
      <c r="V37">
        <f>Constants!$B$9</f>
        <v>9.266927083333333</v>
      </c>
      <c r="W37">
        <f>B37*Constants!$B$9+(C37-B37)*Constants!$B$10</f>
        <v>333.703125</v>
      </c>
      <c r="X37">
        <f>W37*Constants!$B$5</f>
        <v>2669.625</v>
      </c>
      <c r="Y37">
        <f>W37*7</f>
        <v>2335.921875</v>
      </c>
      <c r="Z37" t="str">
        <f>"shell "&amp;P37&amp;" occupancy "&amp;R37&amp;"/"&amp;Q37</f>
        <v>shell 4 occupancy 8/32</v>
      </c>
      <c r="AA37" t="str">
        <f>"closure"</f>
        <v>closure</v>
      </c>
      <c r="AB37" t="str">
        <f>"A=Z+N="&amp;B37&amp;"+"&amp;C37&amp;"="&amp;D37</f>
        <v>78</v>
      </c>
      <c r="AC37" t="str">
        <f>"SAM_CONSTANTS_ONLY_NO_FREE_INPUTS"</f>
        <v>SAM_CONSTANTS_ONLY_NO_FREE_INPUTS</v>
      </c>
    </row>
    <row r="38">
      <c r="A38" t="str">
        <f>"SOB"&amp;B38</f>
        <v>SOB37</v>
      </c>
      <c r="B38">
        <f>ROW()-1</f>
        <v>37</v>
      </c>
      <c r="C38">
        <f>B38+H38</f>
        <v>46</v>
      </c>
      <c r="D38">
        <f>B38+C38</f>
        <v>83</v>
      </c>
      <c r="E38">
        <f>INT((B38-1)/Constants!$B$2)+1</f>
        <v>4</v>
      </c>
      <c r="F38">
        <f>MOD(B38-1,Constants!$B$2)+1</f>
        <v>1</v>
      </c>
      <c r="G38">
        <f>MAX(0,E38-1)</f>
        <v>3</v>
      </c>
      <c r="H38">
        <f>INT(B38*G38/Constants!$B$2)</f>
        <v>9</v>
      </c>
      <c r="I38">
        <f>MOD(B38*G38,Constants!$B$2)</f>
        <v>3</v>
      </c>
      <c r="J38" t="str">
        <f>"P_"&amp;B38&amp;","&amp;D38</f>
        <v>P_37,83</v>
      </c>
      <c r="K38" t="str">
        <f>B38&amp;"p+"&amp;C38&amp;"n+"&amp;B38&amp;"e"</f>
        <v>37p+46n+37e</v>
      </c>
      <c r="L38">
        <f>2*B38+C38</f>
        <v>120</v>
      </c>
      <c r="M38">
        <f>B38+2*C38</f>
        <v>129</v>
      </c>
      <c r="N38">
        <f>B38</f>
        <v>37</v>
      </c>
      <c r="O38" t="str">
        <f>L38&amp;"u+"&amp;M38&amp;"d+"&amp;N38&amp;"e"</f>
        <v>120u+129d+37e</v>
      </c>
      <c r="P38">
        <f>COUNTIF(Shells!$E$2:$E$9,"&lt;"&amp;B38)+1</f>
        <v>4</v>
      </c>
      <c r="Q38">
        <f>INDEX(Shells!$C$2:$C$9,P38)</f>
        <v>32</v>
      </c>
      <c r="R38">
        <f>B38-IF(P38=1,0,INDEX(Shells!$E$2:$E$9,P38-1))</f>
        <v>9</v>
      </c>
      <c r="S38" t="str">
        <f>IF(R38=Q38,"CLOSED_SHELL","OPEN_SHELL")</f>
        <v>OPEN_SHELL</v>
      </c>
      <c r="T38" t="str">
        <f>IF(B38&gt;=Constants!$B$8,"CONSTANT_FRONTIER_TAIL_CANDIDATE",IF(I38=0,"CONSTANT_STABLE_ANCHOR_LANE",IF(I38=Constants!$B$2/2,"CONSTANT_HALF_WRITE_LANE","CONSTANT_BOUND_LADDER_LANE")))</f>
        <v>CONSTANT_BOUND_LADDER_LANE</v>
      </c>
      <c r="U38" t="str">
        <f>IF(B38&gt;=Constants!$B$8,"frontier",IF(AND(B38&lt;=Constants!$B$14,B38&lt;&gt;Constants!$B$15,B38&lt;&gt;Constants!$B$16),"stable","radioactive"))</f>
        <v>stable</v>
      </c>
      <c r="V38">
        <f>Constants!$B$9</f>
        <v>9.266927083333333</v>
      </c>
      <c r="W38">
        <f>B38*Constants!$B$9+(C38-B38)*Constants!$B$10</f>
        <v>343.016927083333333</v>
      </c>
      <c r="X38">
        <f>W38*Constants!$B$5</f>
        <v>2744.135416666666667</v>
      </c>
      <c r="Y38">
        <f>W38*7</f>
        <v>2401.118489583333333</v>
      </c>
      <c r="Z38" t="str">
        <f>"shell "&amp;P38&amp;" occupancy "&amp;R38&amp;"/"&amp;Q38</f>
        <v>shell 4 occupancy 9/32</v>
      </c>
      <c r="AA38" t="str">
        <f>"closure"</f>
        <v>closure</v>
      </c>
      <c r="AB38" t="str">
        <f>"A=Z+N="&amp;B38&amp;"+"&amp;C38&amp;"="&amp;D38</f>
        <v>83</v>
      </c>
      <c r="AC38" t="str">
        <f>"SAM_CONSTANTS_ONLY_NO_FREE_INPUTS"</f>
        <v>SAM_CONSTANTS_ONLY_NO_FREE_INPUTS</v>
      </c>
    </row>
    <row r="39">
      <c r="A39" t="str">
        <f>"SOB"&amp;B39</f>
        <v>SOB38</v>
      </c>
      <c r="B39">
        <f>ROW()-1</f>
        <v>38</v>
      </c>
      <c r="C39">
        <f>B39+H39</f>
        <v>47</v>
      </c>
      <c r="D39">
        <f>B39+C39</f>
        <v>85</v>
      </c>
      <c r="E39">
        <f>INT((B39-1)/Constants!$B$2)+1</f>
        <v>4</v>
      </c>
      <c r="F39">
        <f>MOD(B39-1,Constants!$B$2)+1</f>
        <v>2</v>
      </c>
      <c r="G39">
        <f>MAX(0,E39-1)</f>
        <v>3</v>
      </c>
      <c r="H39">
        <f>INT(B39*G39/Constants!$B$2)</f>
        <v>9</v>
      </c>
      <c r="I39">
        <f>MOD(B39*G39,Constants!$B$2)</f>
        <v>6</v>
      </c>
      <c r="J39" t="str">
        <f>"P_"&amp;B39&amp;","&amp;D39</f>
        <v>P_38,85</v>
      </c>
      <c r="K39" t="str">
        <f>B39&amp;"p+"&amp;C39&amp;"n+"&amp;B39&amp;"e"</f>
        <v>38p+47n+38e</v>
      </c>
      <c r="L39">
        <f>2*B39+C39</f>
        <v>123</v>
      </c>
      <c r="M39">
        <f>B39+2*C39</f>
        <v>132</v>
      </c>
      <c r="N39">
        <f>B39</f>
        <v>38</v>
      </c>
      <c r="O39" t="str">
        <f>L39&amp;"u+"&amp;M39&amp;"d+"&amp;N39&amp;"e"</f>
        <v>123u+132d+38e</v>
      </c>
      <c r="P39">
        <f>COUNTIF(Shells!$E$2:$E$9,"&lt;"&amp;B39)+1</f>
        <v>4</v>
      </c>
      <c r="Q39">
        <f>INDEX(Shells!$C$2:$C$9,P39)</f>
        <v>32</v>
      </c>
      <c r="R39">
        <f>B39-IF(P39=1,0,INDEX(Shells!$E$2:$E$9,P39-1))</f>
        <v>10</v>
      </c>
      <c r="S39" t="str">
        <f>IF(R39=Q39,"CLOSED_SHELL","OPEN_SHELL")</f>
        <v>OPEN_SHELL</v>
      </c>
      <c r="T39" t="str">
        <f>IF(B39&gt;=Constants!$B$8,"CONSTANT_FRONTIER_TAIL_CANDIDATE",IF(I39=0,"CONSTANT_STABLE_ANCHOR_LANE",IF(I39=Constants!$B$2/2,"CONSTANT_HALF_WRITE_LANE","CONSTANT_BOUND_LADDER_LANE")))</f>
        <v>CONSTANT_HALF_WRITE_LANE</v>
      </c>
      <c r="U39" t="str">
        <f>IF(B39&gt;=Constants!$B$8,"frontier",IF(AND(B39&lt;=Constants!$B$14,B39&lt;&gt;Constants!$B$15,B39&lt;&gt;Constants!$B$16),"stable","radioactive"))</f>
        <v>stable</v>
      </c>
      <c r="V39">
        <f>Constants!$B$9</f>
        <v>9.266927083333333</v>
      </c>
      <c r="W39">
        <f>B39*Constants!$B$9+(C39-B39)*Constants!$B$10</f>
        <v>352.283854166666667</v>
      </c>
      <c r="X39">
        <f>W39*Constants!$B$5</f>
        <v>2818.270833333333333</v>
      </c>
      <c r="Y39">
        <f>W39*7</f>
        <v>2465.986979166666667</v>
      </c>
      <c r="Z39" t="str">
        <f>"shell "&amp;P39&amp;" occupancy "&amp;R39&amp;"/"&amp;Q39</f>
        <v>shell 4 occupancy 10/32</v>
      </c>
      <c r="AA39" t="str">
        <f>"closure"</f>
        <v>closure</v>
      </c>
      <c r="AB39" t="str">
        <f>"A=Z+N="&amp;B39&amp;"+"&amp;C39&amp;"="&amp;D39</f>
        <v>85</v>
      </c>
      <c r="AC39" t="str">
        <f>"SAM_CONSTANTS_ONLY_NO_FREE_INPUTS"</f>
        <v>SAM_CONSTANTS_ONLY_NO_FREE_INPUTS</v>
      </c>
    </row>
    <row r="40">
      <c r="A40" t="str">
        <f>"SOB"&amp;B40</f>
        <v>SOB39</v>
      </c>
      <c r="B40">
        <f>ROW()-1</f>
        <v>39</v>
      </c>
      <c r="C40">
        <f>B40+H40</f>
        <v>48</v>
      </c>
      <c r="D40">
        <f>B40+C40</f>
        <v>87</v>
      </c>
      <c r="E40">
        <f>INT((B40-1)/Constants!$B$2)+1</f>
        <v>4</v>
      </c>
      <c r="F40">
        <f>MOD(B40-1,Constants!$B$2)+1</f>
        <v>3</v>
      </c>
      <c r="G40">
        <f>MAX(0,E40-1)</f>
        <v>3</v>
      </c>
      <c r="H40">
        <f>INT(B40*G40/Constants!$B$2)</f>
        <v>9</v>
      </c>
      <c r="I40">
        <f>MOD(B40*G40,Constants!$B$2)</f>
        <v>9</v>
      </c>
      <c r="J40" t="str">
        <f>"P_"&amp;B40&amp;","&amp;D40</f>
        <v>P_39,87</v>
      </c>
      <c r="K40" t="str">
        <f>B40&amp;"p+"&amp;C40&amp;"n+"&amp;B40&amp;"e"</f>
        <v>39p+48n+39e</v>
      </c>
      <c r="L40">
        <f>2*B40+C40</f>
        <v>126</v>
      </c>
      <c r="M40">
        <f>B40+2*C40</f>
        <v>135</v>
      </c>
      <c r="N40">
        <f>B40</f>
        <v>39</v>
      </c>
      <c r="O40" t="str">
        <f>L40&amp;"u+"&amp;M40&amp;"d+"&amp;N40&amp;"e"</f>
        <v>126u+135d+39e</v>
      </c>
      <c r="P40">
        <f>COUNTIF(Shells!$E$2:$E$9,"&lt;"&amp;B40)+1</f>
        <v>4</v>
      </c>
      <c r="Q40">
        <f>INDEX(Shells!$C$2:$C$9,P40)</f>
        <v>32</v>
      </c>
      <c r="R40">
        <f>B40-IF(P40=1,0,INDEX(Shells!$E$2:$E$9,P40-1))</f>
        <v>11</v>
      </c>
      <c r="S40" t="str">
        <f>IF(R40=Q40,"CLOSED_SHELL","OPEN_SHELL")</f>
        <v>OPEN_SHELL</v>
      </c>
      <c r="T40" t="str">
        <f>IF(B40&gt;=Constants!$B$8,"CONSTANT_FRONTIER_TAIL_CANDIDATE",IF(I40=0,"CONSTANT_STABLE_ANCHOR_LANE",IF(I40=Constants!$B$2/2,"CONSTANT_HALF_WRITE_LANE","CONSTANT_BOUND_LADDER_LANE")))</f>
        <v>CONSTANT_BOUND_LADDER_LANE</v>
      </c>
      <c r="U40" t="str">
        <f>IF(B40&gt;=Constants!$B$8,"frontier",IF(AND(B40&lt;=Constants!$B$14,B40&lt;&gt;Constants!$B$15,B40&lt;&gt;Constants!$B$16),"stable","radioactive"))</f>
        <v>stable</v>
      </c>
      <c r="V40">
        <f>Constants!$B$9</f>
        <v>9.266927083333333</v>
      </c>
      <c r="W40">
        <f>B40*Constants!$B$9+(C40-B40)*Constants!$B$10</f>
        <v>361.55078125</v>
      </c>
      <c r="X40">
        <f>W40*Constants!$B$5</f>
        <v>2892.40625</v>
      </c>
      <c r="Y40">
        <f>W40*7</f>
        <v>2530.85546875</v>
      </c>
      <c r="Z40" t="str">
        <f>"shell "&amp;P40&amp;" occupancy "&amp;R40&amp;"/"&amp;Q40</f>
        <v>shell 4 occupancy 11/32</v>
      </c>
      <c r="AA40" t="str">
        <f>"closure"</f>
        <v>closure</v>
      </c>
      <c r="AB40" t="str">
        <f>"A=Z+N="&amp;B40&amp;"+"&amp;C40&amp;"="&amp;D40</f>
        <v>87</v>
      </c>
      <c r="AC40" t="str">
        <f>"SAM_CONSTANTS_ONLY_NO_FREE_INPUTS"</f>
        <v>SAM_CONSTANTS_ONLY_NO_FREE_INPUTS</v>
      </c>
    </row>
    <row r="41">
      <c r="A41" t="str">
        <f>"SOB"&amp;B41</f>
        <v>SOB40</v>
      </c>
      <c r="B41">
        <f>ROW()-1</f>
        <v>40</v>
      </c>
      <c r="C41">
        <f>B41+H41</f>
        <v>50</v>
      </c>
      <c r="D41">
        <f>B41+C41</f>
        <v>90</v>
      </c>
      <c r="E41">
        <f>INT((B41-1)/Constants!$B$2)+1</f>
        <v>4</v>
      </c>
      <c r="F41">
        <f>MOD(B41-1,Constants!$B$2)+1</f>
        <v>4</v>
      </c>
      <c r="G41">
        <f>MAX(0,E41-1)</f>
        <v>3</v>
      </c>
      <c r="H41">
        <f>INT(B41*G41/Constants!$B$2)</f>
        <v>10</v>
      </c>
      <c r="I41">
        <f>MOD(B41*G41,Constants!$B$2)</f>
        <v>0</v>
      </c>
      <c r="J41" t="str">
        <f>"P_"&amp;B41&amp;","&amp;D41</f>
        <v>P_40,90</v>
      </c>
      <c r="K41" t="str">
        <f>B41&amp;"p+"&amp;C41&amp;"n+"&amp;B41&amp;"e"</f>
        <v>40p+50n+40e</v>
      </c>
      <c r="L41">
        <f>2*B41+C41</f>
        <v>130</v>
      </c>
      <c r="M41">
        <f>B41+2*C41</f>
        <v>140</v>
      </c>
      <c r="N41">
        <f>B41</f>
        <v>40</v>
      </c>
      <c r="O41" t="str">
        <f>L41&amp;"u+"&amp;M41&amp;"d+"&amp;N41&amp;"e"</f>
        <v>130u+140d+40e</v>
      </c>
      <c r="P41">
        <f>COUNTIF(Shells!$E$2:$E$9,"&lt;"&amp;B41)+1</f>
        <v>4</v>
      </c>
      <c r="Q41">
        <f>INDEX(Shells!$C$2:$C$9,P41)</f>
        <v>32</v>
      </c>
      <c r="R41">
        <f>B41-IF(P41=1,0,INDEX(Shells!$E$2:$E$9,P41-1))</f>
        <v>12</v>
      </c>
      <c r="S41" t="str">
        <f>IF(R41=Q41,"CLOSED_SHELL","OPEN_SHELL")</f>
        <v>OPEN_SHELL</v>
      </c>
      <c r="T41" t="str">
        <f>IF(B41&gt;=Constants!$B$8,"CONSTANT_FRONTIER_TAIL_CANDIDATE",IF(I41=0,"CONSTANT_STABLE_ANCHOR_LANE",IF(I41=Constants!$B$2/2,"CONSTANT_HALF_WRITE_LANE","CONSTANT_BOUND_LADDER_LANE")))</f>
        <v>CONSTANT_STABLE_ANCHOR_LANE</v>
      </c>
      <c r="U41" t="str">
        <f>IF(B41&gt;=Constants!$B$8,"frontier",IF(AND(B41&lt;=Constants!$B$14,B41&lt;&gt;Constants!$B$15,B41&lt;&gt;Constants!$B$16),"stable","radioactive"))</f>
        <v>stable</v>
      </c>
      <c r="V41">
        <f>Constants!$B$9</f>
        <v>9.266927083333333</v>
      </c>
      <c r="W41">
        <f>B41*Constants!$B$9+(C41-B41)*Constants!$B$10</f>
        <v>370.833333333333333</v>
      </c>
      <c r="X41">
        <f>W41*Constants!$B$5</f>
        <v>2966.666666666666667</v>
      </c>
      <c r="Y41">
        <f>W41*7</f>
        <v>2595.833333333333333</v>
      </c>
      <c r="Z41" t="str">
        <f>"shell "&amp;P41&amp;" occupancy "&amp;R41&amp;"/"&amp;Q41</f>
        <v>shell 4 occupancy 12/32</v>
      </c>
      <c r="AA41" t="str">
        <f>"closure"</f>
        <v>closure</v>
      </c>
      <c r="AB41" t="str">
        <f>"A=Z+N="&amp;B41&amp;"+"&amp;C41&amp;"="&amp;D41</f>
        <v>90</v>
      </c>
      <c r="AC41" t="str">
        <f>"SAM_CONSTANTS_ONLY_NO_FREE_INPUTS"</f>
        <v>SAM_CONSTANTS_ONLY_NO_FREE_INPUTS</v>
      </c>
    </row>
    <row r="42">
      <c r="A42" t="str">
        <f>"SOB"&amp;B42</f>
        <v>SOB41</v>
      </c>
      <c r="B42">
        <f>ROW()-1</f>
        <v>41</v>
      </c>
      <c r="C42">
        <f>B42+H42</f>
        <v>51</v>
      </c>
      <c r="D42">
        <f>B42+C42</f>
        <v>92</v>
      </c>
      <c r="E42">
        <f>INT((B42-1)/Constants!$B$2)+1</f>
        <v>4</v>
      </c>
      <c r="F42">
        <f>MOD(B42-1,Constants!$B$2)+1</f>
        <v>5</v>
      </c>
      <c r="G42">
        <f>MAX(0,E42-1)</f>
        <v>3</v>
      </c>
      <c r="H42">
        <f>INT(B42*G42/Constants!$B$2)</f>
        <v>10</v>
      </c>
      <c r="I42">
        <f>MOD(B42*G42,Constants!$B$2)</f>
        <v>3</v>
      </c>
      <c r="J42" t="str">
        <f>"P_"&amp;B42&amp;","&amp;D42</f>
        <v>P_41,92</v>
      </c>
      <c r="K42" t="str">
        <f>B42&amp;"p+"&amp;C42&amp;"n+"&amp;B42&amp;"e"</f>
        <v>41p+51n+41e</v>
      </c>
      <c r="L42">
        <f>2*B42+C42</f>
        <v>133</v>
      </c>
      <c r="M42">
        <f>B42+2*C42</f>
        <v>143</v>
      </c>
      <c r="N42">
        <f>B42</f>
        <v>41</v>
      </c>
      <c r="O42" t="str">
        <f>L42&amp;"u+"&amp;M42&amp;"d+"&amp;N42&amp;"e"</f>
        <v>133u+143d+41e</v>
      </c>
      <c r="P42">
        <f>COUNTIF(Shells!$E$2:$E$9,"&lt;"&amp;B42)+1</f>
        <v>4</v>
      </c>
      <c r="Q42">
        <f>INDEX(Shells!$C$2:$C$9,P42)</f>
        <v>32</v>
      </c>
      <c r="R42">
        <f>B42-IF(P42=1,0,INDEX(Shells!$E$2:$E$9,P42-1))</f>
        <v>13</v>
      </c>
      <c r="S42" t="str">
        <f>IF(R42=Q42,"CLOSED_SHELL","OPEN_SHELL")</f>
        <v>OPEN_SHELL</v>
      </c>
      <c r="T42" t="str">
        <f>IF(B42&gt;=Constants!$B$8,"CONSTANT_FRONTIER_TAIL_CANDIDATE",IF(I42=0,"CONSTANT_STABLE_ANCHOR_LANE",IF(I42=Constants!$B$2/2,"CONSTANT_HALF_WRITE_LANE","CONSTANT_BOUND_LADDER_LANE")))</f>
        <v>CONSTANT_BOUND_LADDER_LANE</v>
      </c>
      <c r="U42" t="str">
        <f>IF(B42&gt;=Constants!$B$8,"frontier",IF(AND(B42&lt;=Constants!$B$14,B42&lt;&gt;Constants!$B$15,B42&lt;&gt;Constants!$B$16),"stable","radioactive"))</f>
        <v>stable</v>
      </c>
      <c r="V42">
        <f>Constants!$B$9</f>
        <v>9.266927083333333</v>
      </c>
      <c r="W42">
        <f>B42*Constants!$B$9+(C42-B42)*Constants!$B$10</f>
        <v>380.100260416666667</v>
      </c>
      <c r="X42">
        <f>W42*Constants!$B$5</f>
        <v>3040.802083333333333</v>
      </c>
      <c r="Y42">
        <f>W42*7</f>
        <v>2660.701822916666667</v>
      </c>
      <c r="Z42" t="str">
        <f>"shell "&amp;P42&amp;" occupancy "&amp;R42&amp;"/"&amp;Q42</f>
        <v>shell 4 occupancy 13/32</v>
      </c>
      <c r="AA42" t="str">
        <f>"closure"</f>
        <v>closure</v>
      </c>
      <c r="AB42" t="str">
        <f>"A=Z+N="&amp;B42&amp;"+"&amp;C42&amp;"="&amp;D42</f>
        <v>92</v>
      </c>
      <c r="AC42" t="str">
        <f>"SAM_CONSTANTS_ONLY_NO_FREE_INPUTS"</f>
        <v>SAM_CONSTANTS_ONLY_NO_FREE_INPUTS</v>
      </c>
    </row>
    <row r="43">
      <c r="A43" t="str">
        <f>"SOB"&amp;B43</f>
        <v>SOB42</v>
      </c>
      <c r="B43">
        <f>ROW()-1</f>
        <v>42</v>
      </c>
      <c r="C43">
        <f>B43+H43</f>
        <v>52</v>
      </c>
      <c r="D43">
        <f>B43+C43</f>
        <v>94</v>
      </c>
      <c r="E43">
        <f>INT((B43-1)/Constants!$B$2)+1</f>
        <v>4</v>
      </c>
      <c r="F43">
        <f>MOD(B43-1,Constants!$B$2)+1</f>
        <v>6</v>
      </c>
      <c r="G43">
        <f>MAX(0,E43-1)</f>
        <v>3</v>
      </c>
      <c r="H43">
        <f>INT(B43*G43/Constants!$B$2)</f>
        <v>10</v>
      </c>
      <c r="I43">
        <f>MOD(B43*G43,Constants!$B$2)</f>
        <v>6</v>
      </c>
      <c r="J43" t="str">
        <f>"P_"&amp;B43&amp;","&amp;D43</f>
        <v>P_42,94</v>
      </c>
      <c r="K43" t="str">
        <f>B43&amp;"p+"&amp;C43&amp;"n+"&amp;B43&amp;"e"</f>
        <v>42p+52n+42e</v>
      </c>
      <c r="L43">
        <f>2*B43+C43</f>
        <v>136</v>
      </c>
      <c r="M43">
        <f>B43+2*C43</f>
        <v>146</v>
      </c>
      <c r="N43">
        <f>B43</f>
        <v>42</v>
      </c>
      <c r="O43" t="str">
        <f>L43&amp;"u+"&amp;M43&amp;"d+"&amp;N43&amp;"e"</f>
        <v>136u+146d+42e</v>
      </c>
      <c r="P43">
        <f>COUNTIF(Shells!$E$2:$E$9,"&lt;"&amp;B43)+1</f>
        <v>4</v>
      </c>
      <c r="Q43">
        <f>INDEX(Shells!$C$2:$C$9,P43)</f>
        <v>32</v>
      </c>
      <c r="R43">
        <f>B43-IF(P43=1,0,INDEX(Shells!$E$2:$E$9,P43-1))</f>
        <v>14</v>
      </c>
      <c r="S43" t="str">
        <f>IF(R43=Q43,"CLOSED_SHELL","OPEN_SHELL")</f>
        <v>OPEN_SHELL</v>
      </c>
      <c r="T43" t="str">
        <f>IF(B43&gt;=Constants!$B$8,"CONSTANT_FRONTIER_TAIL_CANDIDATE",IF(I43=0,"CONSTANT_STABLE_ANCHOR_LANE",IF(I43=Constants!$B$2/2,"CONSTANT_HALF_WRITE_LANE","CONSTANT_BOUND_LADDER_LANE")))</f>
        <v>CONSTANT_HALF_WRITE_LANE</v>
      </c>
      <c r="U43" t="str">
        <f>IF(B43&gt;=Constants!$B$8,"frontier",IF(AND(B43&lt;=Constants!$B$14,B43&lt;&gt;Constants!$B$15,B43&lt;&gt;Constants!$B$16),"stable","radioactive"))</f>
        <v>stable</v>
      </c>
      <c r="V43">
        <f>Constants!$B$9</f>
        <v>9.266927083333333</v>
      </c>
      <c r="W43">
        <f>B43*Constants!$B$9+(C43-B43)*Constants!$B$10</f>
        <v>389.3671875</v>
      </c>
      <c r="X43">
        <f>W43*Constants!$B$5</f>
        <v>3114.9375</v>
      </c>
      <c r="Y43">
        <f>W43*7</f>
        <v>2725.5703125</v>
      </c>
      <c r="Z43" t="str">
        <f>"shell "&amp;P43&amp;" occupancy "&amp;R43&amp;"/"&amp;Q43</f>
        <v>shell 4 occupancy 14/32</v>
      </c>
      <c r="AA43" t="str">
        <f>"closure"</f>
        <v>closure</v>
      </c>
      <c r="AB43" t="str">
        <f>"A=Z+N="&amp;B43&amp;"+"&amp;C43&amp;"="&amp;D43</f>
        <v>94</v>
      </c>
      <c r="AC43" t="str">
        <f>"SAM_CONSTANTS_ONLY_NO_FREE_INPUTS"</f>
        <v>SAM_CONSTANTS_ONLY_NO_FREE_INPUTS</v>
      </c>
    </row>
    <row r="44">
      <c r="A44" t="str">
        <f>"SOB"&amp;B44</f>
        <v>SOB43</v>
      </c>
      <c r="B44">
        <f>ROW()-1</f>
        <v>43</v>
      </c>
      <c r="C44">
        <f>B44+H44</f>
        <v>53</v>
      </c>
      <c r="D44">
        <f>B44+C44</f>
        <v>96</v>
      </c>
      <c r="E44">
        <f>INT((B44-1)/Constants!$B$2)+1</f>
        <v>4</v>
      </c>
      <c r="F44">
        <f>MOD(B44-1,Constants!$B$2)+1</f>
        <v>7</v>
      </c>
      <c r="G44">
        <f>MAX(0,E44-1)</f>
        <v>3</v>
      </c>
      <c r="H44">
        <f>INT(B44*G44/Constants!$B$2)</f>
        <v>10</v>
      </c>
      <c r="I44">
        <f>MOD(B44*G44,Constants!$B$2)</f>
        <v>9</v>
      </c>
      <c r="J44" t="str">
        <f>"P_"&amp;B44&amp;","&amp;D44</f>
        <v>P_43,96</v>
      </c>
      <c r="K44" t="str">
        <f>B44&amp;"p+"&amp;C44&amp;"n+"&amp;B44&amp;"e"</f>
        <v>43p+53n+43e</v>
      </c>
      <c r="L44">
        <f>2*B44+C44</f>
        <v>139</v>
      </c>
      <c r="M44">
        <f>B44+2*C44</f>
        <v>149</v>
      </c>
      <c r="N44">
        <f>B44</f>
        <v>43</v>
      </c>
      <c r="O44" t="str">
        <f>L44&amp;"u+"&amp;M44&amp;"d+"&amp;N44&amp;"e"</f>
        <v>139u+149d+43e</v>
      </c>
      <c r="P44">
        <f>COUNTIF(Shells!$E$2:$E$9,"&lt;"&amp;B44)+1</f>
        <v>4</v>
      </c>
      <c r="Q44">
        <f>INDEX(Shells!$C$2:$C$9,P44)</f>
        <v>32</v>
      </c>
      <c r="R44">
        <f>B44-IF(P44=1,0,INDEX(Shells!$E$2:$E$9,P44-1))</f>
        <v>15</v>
      </c>
      <c r="S44" t="str">
        <f>IF(R44=Q44,"CLOSED_SHELL","OPEN_SHELL")</f>
        <v>OPEN_SHELL</v>
      </c>
      <c r="T44" t="str">
        <f>IF(B44&gt;=Constants!$B$8,"CONSTANT_FRONTIER_TAIL_CANDIDATE",IF(I44=0,"CONSTANT_STABLE_ANCHOR_LANE",IF(I44=Constants!$B$2/2,"CONSTANT_HALF_WRITE_LANE","CONSTANT_BOUND_LADDER_LANE")))</f>
        <v>CONSTANT_BOUND_LADDER_LANE</v>
      </c>
      <c r="U44" t="str">
        <f>IF(B44&gt;=Constants!$B$8,"frontier",IF(AND(B44&lt;=Constants!$B$14,B44&lt;&gt;Constants!$B$15,B44&lt;&gt;Constants!$B$16),"stable","radioactive"))</f>
        <v>radioactive</v>
      </c>
      <c r="V44">
        <f>Constants!$B$9</f>
        <v>9.266927083333333</v>
      </c>
      <c r="W44">
        <f>B44*Constants!$B$9+(C44-B44)*Constants!$B$10</f>
        <v>398.634114583333333</v>
      </c>
      <c r="X44">
        <f>W44*Constants!$B$5</f>
        <v>3189.072916666666667</v>
      </c>
      <c r="Y44">
        <f>W44*7</f>
        <v>2790.438802083333333</v>
      </c>
      <c r="Z44" t="str">
        <f>"shell "&amp;P44&amp;" occupancy "&amp;R44&amp;"/"&amp;Q44</f>
        <v>shell 4 occupancy 15/32</v>
      </c>
      <c r="AA44" t="str">
        <f>"closure"</f>
        <v>closure</v>
      </c>
      <c r="AB44" t="str">
        <f>"A=Z+N="&amp;B44&amp;"+"&amp;C44&amp;"="&amp;D44</f>
        <v>96</v>
      </c>
      <c r="AC44" t="str">
        <f>"SAM_CONSTANTS_ONLY_NO_FREE_INPUTS"</f>
        <v>SAM_CONSTANTS_ONLY_NO_FREE_INPUTS</v>
      </c>
    </row>
    <row r="45">
      <c r="A45" t="str">
        <f>"SOB"&amp;B45</f>
        <v>SOB44</v>
      </c>
      <c r="B45">
        <f>ROW()-1</f>
        <v>44</v>
      </c>
      <c r="C45">
        <f>B45+H45</f>
        <v>55</v>
      </c>
      <c r="D45">
        <f>B45+C45</f>
        <v>99</v>
      </c>
      <c r="E45">
        <f>INT((B45-1)/Constants!$B$2)+1</f>
        <v>4</v>
      </c>
      <c r="F45">
        <f>MOD(B45-1,Constants!$B$2)+1</f>
        <v>8</v>
      </c>
      <c r="G45">
        <f>MAX(0,E45-1)</f>
        <v>3</v>
      </c>
      <c r="H45">
        <f>INT(B45*G45/Constants!$B$2)</f>
        <v>11</v>
      </c>
      <c r="I45">
        <f>MOD(B45*G45,Constants!$B$2)</f>
        <v>0</v>
      </c>
      <c r="J45" t="str">
        <f>"P_"&amp;B45&amp;","&amp;D45</f>
        <v>P_44,99</v>
      </c>
      <c r="K45" t="str">
        <f>B45&amp;"p+"&amp;C45&amp;"n+"&amp;B45&amp;"e"</f>
        <v>44p+55n+44e</v>
      </c>
      <c r="L45">
        <f>2*B45+C45</f>
        <v>143</v>
      </c>
      <c r="M45">
        <f>B45+2*C45</f>
        <v>154</v>
      </c>
      <c r="N45">
        <f>B45</f>
        <v>44</v>
      </c>
      <c r="O45" t="str">
        <f>L45&amp;"u+"&amp;M45&amp;"d+"&amp;N45&amp;"e"</f>
        <v>143u+154d+44e</v>
      </c>
      <c r="P45">
        <f>COUNTIF(Shells!$E$2:$E$9,"&lt;"&amp;B45)+1</f>
        <v>4</v>
      </c>
      <c r="Q45">
        <f>INDEX(Shells!$C$2:$C$9,P45)</f>
        <v>32</v>
      </c>
      <c r="R45">
        <f>B45-IF(P45=1,0,INDEX(Shells!$E$2:$E$9,P45-1))</f>
        <v>16</v>
      </c>
      <c r="S45" t="str">
        <f>IF(R45=Q45,"CLOSED_SHELL","OPEN_SHELL")</f>
        <v>OPEN_SHELL</v>
      </c>
      <c r="T45" t="str">
        <f>IF(B45&gt;=Constants!$B$8,"CONSTANT_FRONTIER_TAIL_CANDIDATE",IF(I45=0,"CONSTANT_STABLE_ANCHOR_LANE",IF(I45=Constants!$B$2/2,"CONSTANT_HALF_WRITE_LANE","CONSTANT_BOUND_LADDER_LANE")))</f>
        <v>CONSTANT_STABLE_ANCHOR_LANE</v>
      </c>
      <c r="U45" t="str">
        <f>IF(B45&gt;=Constants!$B$8,"frontier",IF(AND(B45&lt;=Constants!$B$14,B45&lt;&gt;Constants!$B$15,B45&lt;&gt;Constants!$B$16),"stable","radioactive"))</f>
        <v>stable</v>
      </c>
      <c r="V45">
        <f>Constants!$B$9</f>
        <v>9.266927083333333</v>
      </c>
      <c r="W45">
        <f>B45*Constants!$B$9+(C45-B45)*Constants!$B$10</f>
        <v>407.916666666666667</v>
      </c>
      <c r="X45">
        <f>W45*Constants!$B$5</f>
        <v>3263.333333333333333</v>
      </c>
      <c r="Y45">
        <f>W45*7</f>
        <v>2855.416666666666667</v>
      </c>
      <c r="Z45" t="str">
        <f>"shell "&amp;P45&amp;" occupancy "&amp;R45&amp;"/"&amp;Q45</f>
        <v>shell 4 occupancy 16/32</v>
      </c>
      <c r="AA45" t="str">
        <f>"closure"</f>
        <v>closure</v>
      </c>
      <c r="AB45" t="str">
        <f>"A=Z+N="&amp;B45&amp;"+"&amp;C45&amp;"="&amp;D45</f>
        <v>99</v>
      </c>
      <c r="AC45" t="str">
        <f>"SAM_CONSTANTS_ONLY_NO_FREE_INPUTS"</f>
        <v>SAM_CONSTANTS_ONLY_NO_FREE_INPUTS</v>
      </c>
    </row>
    <row r="46">
      <c r="A46" t="str">
        <f>"SOB"&amp;B46</f>
        <v>SOB45</v>
      </c>
      <c r="B46">
        <f>ROW()-1</f>
        <v>45</v>
      </c>
      <c r="C46">
        <f>B46+H46</f>
        <v>56</v>
      </c>
      <c r="D46">
        <f>B46+C46</f>
        <v>101</v>
      </c>
      <c r="E46">
        <f>INT((B46-1)/Constants!$B$2)+1</f>
        <v>4</v>
      </c>
      <c r="F46">
        <f>MOD(B46-1,Constants!$B$2)+1</f>
        <v>9</v>
      </c>
      <c r="G46">
        <f>MAX(0,E46-1)</f>
        <v>3</v>
      </c>
      <c r="H46">
        <f>INT(B46*G46/Constants!$B$2)</f>
        <v>11</v>
      </c>
      <c r="I46">
        <f>MOD(B46*G46,Constants!$B$2)</f>
        <v>3</v>
      </c>
      <c r="J46" t="str">
        <f>"P_"&amp;B46&amp;","&amp;D46</f>
        <v>P_45,101</v>
      </c>
      <c r="K46" t="str">
        <f>B46&amp;"p+"&amp;C46&amp;"n+"&amp;B46&amp;"e"</f>
        <v>45p+56n+45e</v>
      </c>
      <c r="L46">
        <f>2*B46+C46</f>
        <v>146</v>
      </c>
      <c r="M46">
        <f>B46+2*C46</f>
        <v>157</v>
      </c>
      <c r="N46">
        <f>B46</f>
        <v>45</v>
      </c>
      <c r="O46" t="str">
        <f>L46&amp;"u+"&amp;M46&amp;"d+"&amp;N46&amp;"e"</f>
        <v>146u+157d+45e</v>
      </c>
      <c r="P46">
        <f>COUNTIF(Shells!$E$2:$E$9,"&lt;"&amp;B46)+1</f>
        <v>4</v>
      </c>
      <c r="Q46">
        <f>INDEX(Shells!$C$2:$C$9,P46)</f>
        <v>32</v>
      </c>
      <c r="R46">
        <f>B46-IF(P46=1,0,INDEX(Shells!$E$2:$E$9,P46-1))</f>
        <v>17</v>
      </c>
      <c r="S46" t="str">
        <f>IF(R46=Q46,"CLOSED_SHELL","OPEN_SHELL")</f>
        <v>OPEN_SHELL</v>
      </c>
      <c r="T46" t="str">
        <f>IF(B46&gt;=Constants!$B$8,"CONSTANT_FRONTIER_TAIL_CANDIDATE",IF(I46=0,"CONSTANT_STABLE_ANCHOR_LANE",IF(I46=Constants!$B$2/2,"CONSTANT_HALF_WRITE_LANE","CONSTANT_BOUND_LADDER_LANE")))</f>
        <v>CONSTANT_BOUND_LADDER_LANE</v>
      </c>
      <c r="U46" t="str">
        <f>IF(B46&gt;=Constants!$B$8,"frontier",IF(AND(B46&lt;=Constants!$B$14,B46&lt;&gt;Constants!$B$15,B46&lt;&gt;Constants!$B$16),"stable","radioactive"))</f>
        <v>stable</v>
      </c>
      <c r="V46">
        <f>Constants!$B$9</f>
        <v>9.266927083333333</v>
      </c>
      <c r="W46">
        <f>B46*Constants!$B$9+(C46-B46)*Constants!$B$10</f>
        <v>417.18359375</v>
      </c>
      <c r="X46">
        <f>W46*Constants!$B$5</f>
        <v>3337.46875</v>
      </c>
      <c r="Y46">
        <f>W46*7</f>
        <v>2920.28515625</v>
      </c>
      <c r="Z46" t="str">
        <f>"shell "&amp;P46&amp;" occupancy "&amp;R46&amp;"/"&amp;Q46</f>
        <v>shell 4 occupancy 17/32</v>
      </c>
      <c r="AA46" t="str">
        <f>"closure"</f>
        <v>closure</v>
      </c>
      <c r="AB46" t="str">
        <f>"A=Z+N="&amp;B46&amp;"+"&amp;C46&amp;"="&amp;D46</f>
        <v>101</v>
      </c>
      <c r="AC46" t="str">
        <f>"SAM_CONSTANTS_ONLY_NO_FREE_INPUTS"</f>
        <v>SAM_CONSTANTS_ONLY_NO_FREE_INPUTS</v>
      </c>
    </row>
    <row r="47">
      <c r="A47" t="str">
        <f>"SOB"&amp;B47</f>
        <v>SOB46</v>
      </c>
      <c r="B47">
        <f>ROW()-1</f>
        <v>46</v>
      </c>
      <c r="C47">
        <f>B47+H47</f>
        <v>57</v>
      </c>
      <c r="D47">
        <f>B47+C47</f>
        <v>103</v>
      </c>
      <c r="E47">
        <f>INT((B47-1)/Constants!$B$2)+1</f>
        <v>4</v>
      </c>
      <c r="F47">
        <f>MOD(B47-1,Constants!$B$2)+1</f>
        <v>10</v>
      </c>
      <c r="G47">
        <f>MAX(0,E47-1)</f>
        <v>3</v>
      </c>
      <c r="H47">
        <f>INT(B47*G47/Constants!$B$2)</f>
        <v>11</v>
      </c>
      <c r="I47">
        <f>MOD(B47*G47,Constants!$B$2)</f>
        <v>6</v>
      </c>
      <c r="J47" t="str">
        <f>"P_"&amp;B47&amp;","&amp;D47</f>
        <v>P_46,103</v>
      </c>
      <c r="K47" t="str">
        <f>B47&amp;"p+"&amp;C47&amp;"n+"&amp;B47&amp;"e"</f>
        <v>46p+57n+46e</v>
      </c>
      <c r="L47">
        <f>2*B47+C47</f>
        <v>149</v>
      </c>
      <c r="M47">
        <f>B47+2*C47</f>
        <v>160</v>
      </c>
      <c r="N47">
        <f>B47</f>
        <v>46</v>
      </c>
      <c r="O47" t="str">
        <f>L47&amp;"u+"&amp;M47&amp;"d+"&amp;N47&amp;"e"</f>
        <v>149u+160d+46e</v>
      </c>
      <c r="P47">
        <f>COUNTIF(Shells!$E$2:$E$9,"&lt;"&amp;B47)+1</f>
        <v>4</v>
      </c>
      <c r="Q47">
        <f>INDEX(Shells!$C$2:$C$9,P47)</f>
        <v>32</v>
      </c>
      <c r="R47">
        <f>B47-IF(P47=1,0,INDEX(Shells!$E$2:$E$9,P47-1))</f>
        <v>18</v>
      </c>
      <c r="S47" t="str">
        <f>IF(R47=Q47,"CLOSED_SHELL","OPEN_SHELL")</f>
        <v>OPEN_SHELL</v>
      </c>
      <c r="T47" t="str">
        <f>IF(B47&gt;=Constants!$B$8,"CONSTANT_FRONTIER_TAIL_CANDIDATE",IF(I47=0,"CONSTANT_STABLE_ANCHOR_LANE",IF(I47=Constants!$B$2/2,"CONSTANT_HALF_WRITE_LANE","CONSTANT_BOUND_LADDER_LANE")))</f>
        <v>CONSTANT_HALF_WRITE_LANE</v>
      </c>
      <c r="U47" t="str">
        <f>IF(B47&gt;=Constants!$B$8,"frontier",IF(AND(B47&lt;=Constants!$B$14,B47&lt;&gt;Constants!$B$15,B47&lt;&gt;Constants!$B$16),"stable","radioactive"))</f>
        <v>stable</v>
      </c>
      <c r="V47">
        <f>Constants!$B$9</f>
        <v>9.266927083333333</v>
      </c>
      <c r="W47">
        <f>B47*Constants!$B$9+(C47-B47)*Constants!$B$10</f>
        <v>426.450520833333333</v>
      </c>
      <c r="X47">
        <f>W47*Constants!$B$5</f>
        <v>3411.604166666666667</v>
      </c>
      <c r="Y47">
        <f>W47*7</f>
        <v>2985.153645833333333</v>
      </c>
      <c r="Z47" t="str">
        <f>"shell "&amp;P47&amp;" occupancy "&amp;R47&amp;"/"&amp;Q47</f>
        <v>shell 4 occupancy 18/32</v>
      </c>
      <c r="AA47" t="str">
        <f>"closure"</f>
        <v>closure</v>
      </c>
      <c r="AB47" t="str">
        <f>"A=Z+N="&amp;B47&amp;"+"&amp;C47&amp;"="&amp;D47</f>
        <v>103</v>
      </c>
      <c r="AC47" t="str">
        <f>"SAM_CONSTANTS_ONLY_NO_FREE_INPUTS"</f>
        <v>SAM_CONSTANTS_ONLY_NO_FREE_INPUTS</v>
      </c>
    </row>
    <row r="48">
      <c r="A48" t="str">
        <f>"SOB"&amp;B48</f>
        <v>SOB47</v>
      </c>
      <c r="B48">
        <f>ROW()-1</f>
        <v>47</v>
      </c>
      <c r="C48">
        <f>B48+H48</f>
        <v>58</v>
      </c>
      <c r="D48">
        <f>B48+C48</f>
        <v>105</v>
      </c>
      <c r="E48">
        <f>INT((B48-1)/Constants!$B$2)+1</f>
        <v>4</v>
      </c>
      <c r="F48">
        <f>MOD(B48-1,Constants!$B$2)+1</f>
        <v>11</v>
      </c>
      <c r="G48">
        <f>MAX(0,E48-1)</f>
        <v>3</v>
      </c>
      <c r="H48">
        <f>INT(B48*G48/Constants!$B$2)</f>
        <v>11</v>
      </c>
      <c r="I48">
        <f>MOD(B48*G48,Constants!$B$2)</f>
        <v>9</v>
      </c>
      <c r="J48" t="str">
        <f>"P_"&amp;B48&amp;","&amp;D48</f>
        <v>P_47,105</v>
      </c>
      <c r="K48" t="str">
        <f>B48&amp;"p+"&amp;C48&amp;"n+"&amp;B48&amp;"e"</f>
        <v>47p+58n+47e</v>
      </c>
      <c r="L48">
        <f>2*B48+C48</f>
        <v>152</v>
      </c>
      <c r="M48">
        <f>B48+2*C48</f>
        <v>163</v>
      </c>
      <c r="N48">
        <f>B48</f>
        <v>47</v>
      </c>
      <c r="O48" t="str">
        <f>L48&amp;"u+"&amp;M48&amp;"d+"&amp;N48&amp;"e"</f>
        <v>152u+163d+47e</v>
      </c>
      <c r="P48">
        <f>COUNTIF(Shells!$E$2:$E$9,"&lt;"&amp;B48)+1</f>
        <v>4</v>
      </c>
      <c r="Q48">
        <f>INDEX(Shells!$C$2:$C$9,P48)</f>
        <v>32</v>
      </c>
      <c r="R48">
        <f>B48-IF(P48=1,0,INDEX(Shells!$E$2:$E$9,P48-1))</f>
        <v>19</v>
      </c>
      <c r="S48" t="str">
        <f>IF(R48=Q48,"CLOSED_SHELL","OPEN_SHELL")</f>
        <v>OPEN_SHELL</v>
      </c>
      <c r="T48" t="str">
        <f>IF(B48&gt;=Constants!$B$8,"CONSTANT_FRONTIER_TAIL_CANDIDATE",IF(I48=0,"CONSTANT_STABLE_ANCHOR_LANE",IF(I48=Constants!$B$2/2,"CONSTANT_HALF_WRITE_LANE","CONSTANT_BOUND_LADDER_LANE")))</f>
        <v>CONSTANT_BOUND_LADDER_LANE</v>
      </c>
      <c r="U48" t="str">
        <f>IF(B48&gt;=Constants!$B$8,"frontier",IF(AND(B48&lt;=Constants!$B$14,B48&lt;&gt;Constants!$B$15,B48&lt;&gt;Constants!$B$16),"stable","radioactive"))</f>
        <v>stable</v>
      </c>
      <c r="V48">
        <f>Constants!$B$9</f>
        <v>9.266927083333333</v>
      </c>
      <c r="W48">
        <f>B48*Constants!$B$9+(C48-B48)*Constants!$B$10</f>
        <v>435.717447916666667</v>
      </c>
      <c r="X48">
        <f>W48*Constants!$B$5</f>
        <v>3485.739583333333333</v>
      </c>
      <c r="Y48">
        <f>W48*7</f>
        <v>3050.022135416666667</v>
      </c>
      <c r="Z48" t="str">
        <f>"shell "&amp;P48&amp;" occupancy "&amp;R48&amp;"/"&amp;Q48</f>
        <v>shell 4 occupancy 19/32</v>
      </c>
      <c r="AA48" t="str">
        <f>"closure"</f>
        <v>closure</v>
      </c>
      <c r="AB48" t="str">
        <f>"A=Z+N="&amp;B48&amp;"+"&amp;C48&amp;"="&amp;D48</f>
        <v>105</v>
      </c>
      <c r="AC48" t="str">
        <f>"SAM_CONSTANTS_ONLY_NO_FREE_INPUTS"</f>
        <v>SAM_CONSTANTS_ONLY_NO_FREE_INPUTS</v>
      </c>
    </row>
    <row r="49">
      <c r="A49" t="str">
        <f>"SOB"&amp;B49</f>
        <v>SOB48</v>
      </c>
      <c r="B49">
        <f>ROW()-1</f>
        <v>48</v>
      </c>
      <c r="C49">
        <f>B49+H49</f>
        <v>60</v>
      </c>
      <c r="D49">
        <f>B49+C49</f>
        <v>108</v>
      </c>
      <c r="E49">
        <f>INT((B49-1)/Constants!$B$2)+1</f>
        <v>4</v>
      </c>
      <c r="F49">
        <f>MOD(B49-1,Constants!$B$2)+1</f>
        <v>12</v>
      </c>
      <c r="G49">
        <f>MAX(0,E49-1)</f>
        <v>3</v>
      </c>
      <c r="H49">
        <f>INT(B49*G49/Constants!$B$2)</f>
        <v>12</v>
      </c>
      <c r="I49">
        <f>MOD(B49*G49,Constants!$B$2)</f>
        <v>0</v>
      </c>
      <c r="J49" t="str">
        <f>"P_"&amp;B49&amp;","&amp;D49</f>
        <v>P_48,108</v>
      </c>
      <c r="K49" t="str">
        <f>B49&amp;"p+"&amp;C49&amp;"n+"&amp;B49&amp;"e"</f>
        <v>48p+60n+48e</v>
      </c>
      <c r="L49">
        <f>2*B49+C49</f>
        <v>156</v>
      </c>
      <c r="M49">
        <f>B49+2*C49</f>
        <v>168</v>
      </c>
      <c r="N49">
        <f>B49</f>
        <v>48</v>
      </c>
      <c r="O49" t="str">
        <f>L49&amp;"u+"&amp;M49&amp;"d+"&amp;N49&amp;"e"</f>
        <v>156u+168d+48e</v>
      </c>
      <c r="P49">
        <f>COUNTIF(Shells!$E$2:$E$9,"&lt;"&amp;B49)+1</f>
        <v>4</v>
      </c>
      <c r="Q49">
        <f>INDEX(Shells!$C$2:$C$9,P49)</f>
        <v>32</v>
      </c>
      <c r="R49">
        <f>B49-IF(P49=1,0,INDEX(Shells!$E$2:$E$9,P49-1))</f>
        <v>20</v>
      </c>
      <c r="S49" t="str">
        <f>IF(R49=Q49,"CLOSED_SHELL","OPEN_SHELL")</f>
        <v>OPEN_SHELL</v>
      </c>
      <c r="T49" t="str">
        <f>IF(B49&gt;=Constants!$B$8,"CONSTANT_FRONTIER_TAIL_CANDIDATE",IF(I49=0,"CONSTANT_STABLE_ANCHOR_LANE",IF(I49=Constants!$B$2/2,"CONSTANT_HALF_WRITE_LANE","CONSTANT_BOUND_LADDER_LANE")))</f>
        <v>CONSTANT_STABLE_ANCHOR_LANE</v>
      </c>
      <c r="U49" t="str">
        <f>IF(B49&gt;=Constants!$B$8,"frontier",IF(AND(B49&lt;=Constants!$B$14,B49&lt;&gt;Constants!$B$15,B49&lt;&gt;Constants!$B$16),"stable","radioactive"))</f>
        <v>stable</v>
      </c>
      <c r="V49">
        <f>Constants!$B$9</f>
        <v>9.266927083333333</v>
      </c>
      <c r="W49">
        <f>B49*Constants!$B$9+(C49-B49)*Constants!$B$10</f>
        <v>445</v>
      </c>
      <c r="X49">
        <f>W49*Constants!$B$5</f>
        <v>3560</v>
      </c>
      <c r="Y49">
        <f>W49*7</f>
        <v>3115</v>
      </c>
      <c r="Z49" t="str">
        <f>"shell "&amp;P49&amp;" occupancy "&amp;R49&amp;"/"&amp;Q49</f>
        <v>shell 4 occupancy 20/32</v>
      </c>
      <c r="AA49" t="str">
        <f>"closure"</f>
        <v>closure</v>
      </c>
      <c r="AB49" t="str">
        <f>"A=Z+N="&amp;B49&amp;"+"&amp;C49&amp;"="&amp;D49</f>
        <v>108</v>
      </c>
      <c r="AC49" t="str">
        <f>"SAM_CONSTANTS_ONLY_NO_FREE_INPUTS"</f>
        <v>SAM_CONSTANTS_ONLY_NO_FREE_INPUTS</v>
      </c>
    </row>
    <row r="50">
      <c r="A50" t="str">
        <f>"SOB"&amp;B50</f>
        <v>SOB49</v>
      </c>
      <c r="B50">
        <f>ROW()-1</f>
        <v>49</v>
      </c>
      <c r="C50">
        <f>B50+H50</f>
        <v>65</v>
      </c>
      <c r="D50">
        <f>B50+C50</f>
        <v>114</v>
      </c>
      <c r="E50">
        <f>INT((B50-1)/Constants!$B$2)+1</f>
        <v>5</v>
      </c>
      <c r="F50">
        <f>MOD(B50-1,Constants!$B$2)+1</f>
        <v>1</v>
      </c>
      <c r="G50">
        <f>MAX(0,E50-1)</f>
        <v>4</v>
      </c>
      <c r="H50">
        <f>INT(B50*G50/Constants!$B$2)</f>
        <v>16</v>
      </c>
      <c r="I50">
        <f>MOD(B50*G50,Constants!$B$2)</f>
        <v>4</v>
      </c>
      <c r="J50" t="str">
        <f>"P_"&amp;B50&amp;","&amp;D50</f>
        <v>P_49,114</v>
      </c>
      <c r="K50" t="str">
        <f>B50&amp;"p+"&amp;C50&amp;"n+"&amp;B50&amp;"e"</f>
        <v>49p+65n+49e</v>
      </c>
      <c r="L50">
        <f>2*B50+C50</f>
        <v>163</v>
      </c>
      <c r="M50">
        <f>B50+2*C50</f>
        <v>179</v>
      </c>
      <c r="N50">
        <f>B50</f>
        <v>49</v>
      </c>
      <c r="O50" t="str">
        <f>L50&amp;"u+"&amp;M50&amp;"d+"&amp;N50&amp;"e"</f>
        <v>163u+179d+49e</v>
      </c>
      <c r="P50">
        <f>COUNTIF(Shells!$E$2:$E$9,"&lt;"&amp;B50)+1</f>
        <v>4</v>
      </c>
      <c r="Q50">
        <f>INDEX(Shells!$C$2:$C$9,P50)</f>
        <v>32</v>
      </c>
      <c r="R50">
        <f>B50-IF(P50=1,0,INDEX(Shells!$E$2:$E$9,P50-1))</f>
        <v>21</v>
      </c>
      <c r="S50" t="str">
        <f>IF(R50=Q50,"CLOSED_SHELL","OPEN_SHELL")</f>
        <v>OPEN_SHELL</v>
      </c>
      <c r="T50" t="str">
        <f>IF(B50&gt;=Constants!$B$8,"CONSTANT_FRONTIER_TAIL_CANDIDATE",IF(I50=0,"CONSTANT_STABLE_ANCHOR_LANE",IF(I50=Constants!$B$2/2,"CONSTANT_HALF_WRITE_LANE","CONSTANT_BOUND_LADDER_LANE")))</f>
        <v>CONSTANT_BOUND_LADDER_LANE</v>
      </c>
      <c r="U50" t="str">
        <f>IF(B50&gt;=Constants!$B$8,"frontier",IF(AND(B50&lt;=Constants!$B$14,B50&lt;&gt;Constants!$B$15,B50&lt;&gt;Constants!$B$16),"stable","radioactive"))</f>
        <v>stable</v>
      </c>
      <c r="V50">
        <f>Constants!$B$9</f>
        <v>9.266927083333333</v>
      </c>
      <c r="W50">
        <f>B50*Constants!$B$9+(C50-B50)*Constants!$B$10</f>
        <v>454.329427083333333</v>
      </c>
      <c r="X50">
        <f>W50*Constants!$B$5</f>
        <v>3634.635416666666667</v>
      </c>
      <c r="Y50">
        <f>W50*7</f>
        <v>3180.305989583333333</v>
      </c>
      <c r="Z50" t="str">
        <f>"shell "&amp;P50&amp;" occupancy "&amp;R50&amp;"/"&amp;Q50</f>
        <v>shell 4 occupancy 21/32</v>
      </c>
      <c r="AA50" t="str">
        <f>"closure"</f>
        <v>closure</v>
      </c>
      <c r="AB50" t="str">
        <f>"A=Z+N="&amp;B50&amp;"+"&amp;C50&amp;"="&amp;D50</f>
        <v>114</v>
      </c>
      <c r="AC50" t="str">
        <f>"SAM_CONSTANTS_ONLY_NO_FREE_INPUTS"</f>
        <v>SAM_CONSTANTS_ONLY_NO_FREE_INPUTS</v>
      </c>
    </row>
    <row r="51">
      <c r="A51" t="str">
        <f>"SOB"&amp;B51</f>
        <v>SOB50</v>
      </c>
      <c r="B51">
        <f>ROW()-1</f>
        <v>50</v>
      </c>
      <c r="C51">
        <f>B51+H51</f>
        <v>66</v>
      </c>
      <c r="D51">
        <f>B51+C51</f>
        <v>116</v>
      </c>
      <c r="E51">
        <f>INT((B51-1)/Constants!$B$2)+1</f>
        <v>5</v>
      </c>
      <c r="F51">
        <f>MOD(B51-1,Constants!$B$2)+1</f>
        <v>2</v>
      </c>
      <c r="G51">
        <f>MAX(0,E51-1)</f>
        <v>4</v>
      </c>
      <c r="H51">
        <f>INT(B51*G51/Constants!$B$2)</f>
        <v>16</v>
      </c>
      <c r="I51">
        <f>MOD(B51*G51,Constants!$B$2)</f>
        <v>8</v>
      </c>
      <c r="J51" t="str">
        <f>"P_"&amp;B51&amp;","&amp;D51</f>
        <v>P_50,116</v>
      </c>
      <c r="K51" t="str">
        <f>B51&amp;"p+"&amp;C51&amp;"n+"&amp;B51&amp;"e"</f>
        <v>50p+66n+50e</v>
      </c>
      <c r="L51">
        <f>2*B51+C51</f>
        <v>166</v>
      </c>
      <c r="M51">
        <f>B51+2*C51</f>
        <v>182</v>
      </c>
      <c r="N51">
        <f>B51</f>
        <v>50</v>
      </c>
      <c r="O51" t="str">
        <f>L51&amp;"u+"&amp;M51&amp;"d+"&amp;N51&amp;"e"</f>
        <v>166u+182d+50e</v>
      </c>
      <c r="P51">
        <f>COUNTIF(Shells!$E$2:$E$9,"&lt;"&amp;B51)+1</f>
        <v>4</v>
      </c>
      <c r="Q51">
        <f>INDEX(Shells!$C$2:$C$9,P51)</f>
        <v>32</v>
      </c>
      <c r="R51">
        <f>B51-IF(P51=1,0,INDEX(Shells!$E$2:$E$9,P51-1))</f>
        <v>22</v>
      </c>
      <c r="S51" t="str">
        <f>IF(R51=Q51,"CLOSED_SHELL","OPEN_SHELL")</f>
        <v>OPEN_SHELL</v>
      </c>
      <c r="T51" t="str">
        <f>IF(B51&gt;=Constants!$B$8,"CONSTANT_FRONTIER_TAIL_CANDIDATE",IF(I51=0,"CONSTANT_STABLE_ANCHOR_LANE",IF(I51=Constants!$B$2/2,"CONSTANT_HALF_WRITE_LANE","CONSTANT_BOUND_LADDER_LANE")))</f>
        <v>CONSTANT_BOUND_LADDER_LANE</v>
      </c>
      <c r="U51" t="str">
        <f>IF(B51&gt;=Constants!$B$8,"frontier",IF(AND(B51&lt;=Constants!$B$14,B51&lt;&gt;Constants!$B$15,B51&lt;&gt;Constants!$B$16),"stable","radioactive"))</f>
        <v>stable</v>
      </c>
      <c r="V51">
        <f>Constants!$B$9</f>
        <v>9.266927083333333</v>
      </c>
      <c r="W51">
        <f>B51*Constants!$B$9+(C51-B51)*Constants!$B$10</f>
        <v>463.596354166666667</v>
      </c>
      <c r="X51">
        <f>W51*Constants!$B$5</f>
        <v>3708.770833333333333</v>
      </c>
      <c r="Y51">
        <f>W51*7</f>
        <v>3245.174479166666667</v>
      </c>
      <c r="Z51" t="str">
        <f>"shell "&amp;P51&amp;" occupancy "&amp;R51&amp;"/"&amp;Q51</f>
        <v>shell 4 occupancy 22/32</v>
      </c>
      <c r="AA51" t="str">
        <f>"closure"</f>
        <v>closure</v>
      </c>
      <c r="AB51" t="str">
        <f>"A=Z+N="&amp;B51&amp;"+"&amp;C51&amp;"="&amp;D51</f>
        <v>116</v>
      </c>
      <c r="AC51" t="str">
        <f>"SAM_CONSTANTS_ONLY_NO_FREE_INPUTS"</f>
        <v>SAM_CONSTANTS_ONLY_NO_FREE_INPUTS</v>
      </c>
    </row>
    <row r="52">
      <c r="A52" t="str">
        <f>"SOB"&amp;B52</f>
        <v>SOB51</v>
      </c>
      <c r="B52">
        <f>ROW()-1</f>
        <v>51</v>
      </c>
      <c r="C52">
        <f>B52+H52</f>
        <v>68</v>
      </c>
      <c r="D52">
        <f>B52+C52</f>
        <v>119</v>
      </c>
      <c r="E52">
        <f>INT((B52-1)/Constants!$B$2)+1</f>
        <v>5</v>
      </c>
      <c r="F52">
        <f>MOD(B52-1,Constants!$B$2)+1</f>
        <v>3</v>
      </c>
      <c r="G52">
        <f>MAX(0,E52-1)</f>
        <v>4</v>
      </c>
      <c r="H52">
        <f>INT(B52*G52/Constants!$B$2)</f>
        <v>17</v>
      </c>
      <c r="I52">
        <f>MOD(B52*G52,Constants!$B$2)</f>
        <v>0</v>
      </c>
      <c r="J52" t="str">
        <f>"P_"&amp;B52&amp;","&amp;D52</f>
        <v>P_51,119</v>
      </c>
      <c r="K52" t="str">
        <f>B52&amp;"p+"&amp;C52&amp;"n+"&amp;B52&amp;"e"</f>
        <v>51p+68n+51e</v>
      </c>
      <c r="L52">
        <f>2*B52+C52</f>
        <v>170</v>
      </c>
      <c r="M52">
        <f>B52+2*C52</f>
        <v>187</v>
      </c>
      <c r="N52">
        <f>B52</f>
        <v>51</v>
      </c>
      <c r="O52" t="str">
        <f>L52&amp;"u+"&amp;M52&amp;"d+"&amp;N52&amp;"e"</f>
        <v>170u+187d+51e</v>
      </c>
      <c r="P52">
        <f>COUNTIF(Shells!$E$2:$E$9,"&lt;"&amp;B52)+1</f>
        <v>4</v>
      </c>
      <c r="Q52">
        <f>INDEX(Shells!$C$2:$C$9,P52)</f>
        <v>32</v>
      </c>
      <c r="R52">
        <f>B52-IF(P52=1,0,INDEX(Shells!$E$2:$E$9,P52-1))</f>
        <v>23</v>
      </c>
      <c r="S52" t="str">
        <f>IF(R52=Q52,"CLOSED_SHELL","OPEN_SHELL")</f>
        <v>OPEN_SHELL</v>
      </c>
      <c r="T52" t="str">
        <f>IF(B52&gt;=Constants!$B$8,"CONSTANT_FRONTIER_TAIL_CANDIDATE",IF(I52=0,"CONSTANT_STABLE_ANCHOR_LANE",IF(I52=Constants!$B$2/2,"CONSTANT_HALF_WRITE_LANE","CONSTANT_BOUND_LADDER_LANE")))</f>
        <v>CONSTANT_STABLE_ANCHOR_LANE</v>
      </c>
      <c r="U52" t="str">
        <f>IF(B52&gt;=Constants!$B$8,"frontier",IF(AND(B52&lt;=Constants!$B$14,B52&lt;&gt;Constants!$B$15,B52&lt;&gt;Constants!$B$16),"stable","radioactive"))</f>
        <v>stable</v>
      </c>
      <c r="V52">
        <f>Constants!$B$9</f>
        <v>9.266927083333333</v>
      </c>
      <c r="W52">
        <f>B52*Constants!$B$9+(C52-B52)*Constants!$B$10</f>
        <v>472.87890625</v>
      </c>
      <c r="X52">
        <f>W52*Constants!$B$5</f>
        <v>3783.03125</v>
      </c>
      <c r="Y52">
        <f>W52*7</f>
        <v>3310.15234375</v>
      </c>
      <c r="Z52" t="str">
        <f>"shell "&amp;P52&amp;" occupancy "&amp;R52&amp;"/"&amp;Q52</f>
        <v>shell 4 occupancy 23/32</v>
      </c>
      <c r="AA52" t="str">
        <f>"closure"</f>
        <v>closure</v>
      </c>
      <c r="AB52" t="str">
        <f>"A=Z+N="&amp;B52&amp;"+"&amp;C52&amp;"="&amp;D52</f>
        <v>119</v>
      </c>
      <c r="AC52" t="str">
        <f>"SAM_CONSTANTS_ONLY_NO_FREE_INPUTS"</f>
        <v>SAM_CONSTANTS_ONLY_NO_FREE_INPUTS</v>
      </c>
    </row>
    <row r="53">
      <c r="A53" t="str">
        <f>"SOB"&amp;B53</f>
        <v>SOB52</v>
      </c>
      <c r="B53">
        <f>ROW()-1</f>
        <v>52</v>
      </c>
      <c r="C53">
        <f>B53+H53</f>
        <v>69</v>
      </c>
      <c r="D53">
        <f>B53+C53</f>
        <v>121</v>
      </c>
      <c r="E53">
        <f>INT((B53-1)/Constants!$B$2)+1</f>
        <v>5</v>
      </c>
      <c r="F53">
        <f>MOD(B53-1,Constants!$B$2)+1</f>
        <v>4</v>
      </c>
      <c r="G53">
        <f>MAX(0,E53-1)</f>
        <v>4</v>
      </c>
      <c r="H53">
        <f>INT(B53*G53/Constants!$B$2)</f>
        <v>17</v>
      </c>
      <c r="I53">
        <f>MOD(B53*G53,Constants!$B$2)</f>
        <v>4</v>
      </c>
      <c r="J53" t="str">
        <f>"P_"&amp;B53&amp;","&amp;D53</f>
        <v>P_52,121</v>
      </c>
      <c r="K53" t="str">
        <f>B53&amp;"p+"&amp;C53&amp;"n+"&amp;B53&amp;"e"</f>
        <v>52p+69n+52e</v>
      </c>
      <c r="L53">
        <f>2*B53+C53</f>
        <v>173</v>
      </c>
      <c r="M53">
        <f>B53+2*C53</f>
        <v>190</v>
      </c>
      <c r="N53">
        <f>B53</f>
        <v>52</v>
      </c>
      <c r="O53" t="str">
        <f>L53&amp;"u+"&amp;M53&amp;"d+"&amp;N53&amp;"e"</f>
        <v>173u+190d+52e</v>
      </c>
      <c r="P53">
        <f>COUNTIF(Shells!$E$2:$E$9,"&lt;"&amp;B53)+1</f>
        <v>4</v>
      </c>
      <c r="Q53">
        <f>INDEX(Shells!$C$2:$C$9,P53)</f>
        <v>32</v>
      </c>
      <c r="R53">
        <f>B53-IF(P53=1,0,INDEX(Shells!$E$2:$E$9,P53-1))</f>
        <v>24</v>
      </c>
      <c r="S53" t="str">
        <f>IF(R53=Q53,"CLOSED_SHELL","OPEN_SHELL")</f>
        <v>OPEN_SHELL</v>
      </c>
      <c r="T53" t="str">
        <f>IF(B53&gt;=Constants!$B$8,"CONSTANT_FRONTIER_TAIL_CANDIDATE",IF(I53=0,"CONSTANT_STABLE_ANCHOR_LANE",IF(I53=Constants!$B$2/2,"CONSTANT_HALF_WRITE_LANE","CONSTANT_BOUND_LADDER_LANE")))</f>
        <v>CONSTANT_BOUND_LADDER_LANE</v>
      </c>
      <c r="U53" t="str">
        <f>IF(B53&gt;=Constants!$B$8,"frontier",IF(AND(B53&lt;=Constants!$B$14,B53&lt;&gt;Constants!$B$15,B53&lt;&gt;Constants!$B$16),"stable","radioactive"))</f>
        <v>stable</v>
      </c>
      <c r="V53">
        <f>Constants!$B$9</f>
        <v>9.266927083333333</v>
      </c>
      <c r="W53">
        <f>B53*Constants!$B$9+(C53-B53)*Constants!$B$10</f>
        <v>482.145833333333333</v>
      </c>
      <c r="X53">
        <f>W53*Constants!$B$5</f>
        <v>3857.166666666666667</v>
      </c>
      <c r="Y53">
        <f>W53*7</f>
        <v>3375.020833333333333</v>
      </c>
      <c r="Z53" t="str">
        <f>"shell "&amp;P53&amp;" occupancy "&amp;R53&amp;"/"&amp;Q53</f>
        <v>shell 4 occupancy 24/32</v>
      </c>
      <c r="AA53" t="str">
        <f>"closure"</f>
        <v>closure</v>
      </c>
      <c r="AB53" t="str">
        <f>"A=Z+N="&amp;B53&amp;"+"&amp;C53&amp;"="&amp;D53</f>
        <v>121</v>
      </c>
      <c r="AC53" t="str">
        <f>"SAM_CONSTANTS_ONLY_NO_FREE_INPUTS"</f>
        <v>SAM_CONSTANTS_ONLY_NO_FREE_INPUTS</v>
      </c>
    </row>
    <row r="54">
      <c r="A54" t="str">
        <f>"SOB"&amp;B54</f>
        <v>SOB53</v>
      </c>
      <c r="B54">
        <f>ROW()-1</f>
        <v>53</v>
      </c>
      <c r="C54">
        <f>B54+H54</f>
        <v>70</v>
      </c>
      <c r="D54">
        <f>B54+C54</f>
        <v>123</v>
      </c>
      <c r="E54">
        <f>INT((B54-1)/Constants!$B$2)+1</f>
        <v>5</v>
      </c>
      <c r="F54">
        <f>MOD(B54-1,Constants!$B$2)+1</f>
        <v>5</v>
      </c>
      <c r="G54">
        <f>MAX(0,E54-1)</f>
        <v>4</v>
      </c>
      <c r="H54">
        <f>INT(B54*G54/Constants!$B$2)</f>
        <v>17</v>
      </c>
      <c r="I54">
        <f>MOD(B54*G54,Constants!$B$2)</f>
        <v>8</v>
      </c>
      <c r="J54" t="str">
        <f>"P_"&amp;B54&amp;","&amp;D54</f>
        <v>P_53,123</v>
      </c>
      <c r="K54" t="str">
        <f>B54&amp;"p+"&amp;C54&amp;"n+"&amp;B54&amp;"e"</f>
        <v>53p+70n+53e</v>
      </c>
      <c r="L54">
        <f>2*B54+C54</f>
        <v>176</v>
      </c>
      <c r="M54">
        <f>B54+2*C54</f>
        <v>193</v>
      </c>
      <c r="N54">
        <f>B54</f>
        <v>53</v>
      </c>
      <c r="O54" t="str">
        <f>L54&amp;"u+"&amp;M54&amp;"d+"&amp;N54&amp;"e"</f>
        <v>176u+193d+53e</v>
      </c>
      <c r="P54">
        <f>COUNTIF(Shells!$E$2:$E$9,"&lt;"&amp;B54)+1</f>
        <v>4</v>
      </c>
      <c r="Q54">
        <f>INDEX(Shells!$C$2:$C$9,P54)</f>
        <v>32</v>
      </c>
      <c r="R54">
        <f>B54-IF(P54=1,0,INDEX(Shells!$E$2:$E$9,P54-1))</f>
        <v>25</v>
      </c>
      <c r="S54" t="str">
        <f>IF(R54=Q54,"CLOSED_SHELL","OPEN_SHELL")</f>
        <v>OPEN_SHELL</v>
      </c>
      <c r="T54" t="str">
        <f>IF(B54&gt;=Constants!$B$8,"CONSTANT_FRONTIER_TAIL_CANDIDATE",IF(I54=0,"CONSTANT_STABLE_ANCHOR_LANE",IF(I54=Constants!$B$2/2,"CONSTANT_HALF_WRITE_LANE","CONSTANT_BOUND_LADDER_LANE")))</f>
        <v>CONSTANT_BOUND_LADDER_LANE</v>
      </c>
      <c r="U54" t="str">
        <f>IF(B54&gt;=Constants!$B$8,"frontier",IF(AND(B54&lt;=Constants!$B$14,B54&lt;&gt;Constants!$B$15,B54&lt;&gt;Constants!$B$16),"stable","radioactive"))</f>
        <v>stable</v>
      </c>
      <c r="V54">
        <f>Constants!$B$9</f>
        <v>9.266927083333333</v>
      </c>
      <c r="W54">
        <f>B54*Constants!$B$9+(C54-B54)*Constants!$B$10</f>
        <v>491.412760416666667</v>
      </c>
      <c r="X54">
        <f>W54*Constants!$B$5</f>
        <v>3931.302083333333333</v>
      </c>
      <c r="Y54">
        <f>W54*7</f>
        <v>3439.889322916666667</v>
      </c>
      <c r="Z54" t="str">
        <f>"shell "&amp;P54&amp;" occupancy "&amp;R54&amp;"/"&amp;Q54</f>
        <v>shell 4 occupancy 25/32</v>
      </c>
      <c r="AA54" t="str">
        <f>"closure"</f>
        <v>closure</v>
      </c>
      <c r="AB54" t="str">
        <f>"A=Z+N="&amp;B54&amp;"+"&amp;C54&amp;"="&amp;D54</f>
        <v>123</v>
      </c>
      <c r="AC54" t="str">
        <f>"SAM_CONSTANTS_ONLY_NO_FREE_INPUTS"</f>
        <v>SAM_CONSTANTS_ONLY_NO_FREE_INPUTS</v>
      </c>
    </row>
    <row r="55">
      <c r="A55" t="str">
        <f>"SOB"&amp;B55</f>
        <v>SOB54</v>
      </c>
      <c r="B55">
        <f>ROW()-1</f>
        <v>54</v>
      </c>
      <c r="C55">
        <f>B55+H55</f>
        <v>72</v>
      </c>
      <c r="D55">
        <f>B55+C55</f>
        <v>126</v>
      </c>
      <c r="E55">
        <f>INT((B55-1)/Constants!$B$2)+1</f>
        <v>5</v>
      </c>
      <c r="F55">
        <f>MOD(B55-1,Constants!$B$2)+1</f>
        <v>6</v>
      </c>
      <c r="G55">
        <f>MAX(0,E55-1)</f>
        <v>4</v>
      </c>
      <c r="H55">
        <f>INT(B55*G55/Constants!$B$2)</f>
        <v>18</v>
      </c>
      <c r="I55">
        <f>MOD(B55*G55,Constants!$B$2)</f>
        <v>0</v>
      </c>
      <c r="J55" t="str">
        <f>"P_"&amp;B55&amp;","&amp;D55</f>
        <v>P_54,126</v>
      </c>
      <c r="K55" t="str">
        <f>B55&amp;"p+"&amp;C55&amp;"n+"&amp;B55&amp;"e"</f>
        <v>54p+72n+54e</v>
      </c>
      <c r="L55">
        <f>2*B55+C55</f>
        <v>180</v>
      </c>
      <c r="M55">
        <f>B55+2*C55</f>
        <v>198</v>
      </c>
      <c r="N55">
        <f>B55</f>
        <v>54</v>
      </c>
      <c r="O55" t="str">
        <f>L55&amp;"u+"&amp;M55&amp;"d+"&amp;N55&amp;"e"</f>
        <v>180u+198d+54e</v>
      </c>
      <c r="P55">
        <f>COUNTIF(Shells!$E$2:$E$9,"&lt;"&amp;B55)+1</f>
        <v>4</v>
      </c>
      <c r="Q55">
        <f>INDEX(Shells!$C$2:$C$9,P55)</f>
        <v>32</v>
      </c>
      <c r="R55">
        <f>B55-IF(P55=1,0,INDEX(Shells!$E$2:$E$9,P55-1))</f>
        <v>26</v>
      </c>
      <c r="S55" t="str">
        <f>IF(R55=Q55,"CLOSED_SHELL","OPEN_SHELL")</f>
        <v>OPEN_SHELL</v>
      </c>
      <c r="T55" t="str">
        <f>IF(B55&gt;=Constants!$B$8,"CONSTANT_FRONTIER_TAIL_CANDIDATE",IF(I55=0,"CONSTANT_STABLE_ANCHOR_LANE",IF(I55=Constants!$B$2/2,"CONSTANT_HALF_WRITE_LANE","CONSTANT_BOUND_LADDER_LANE")))</f>
        <v>CONSTANT_STABLE_ANCHOR_LANE</v>
      </c>
      <c r="U55" t="str">
        <f>IF(B55&gt;=Constants!$B$8,"frontier",IF(AND(B55&lt;=Constants!$B$14,B55&lt;&gt;Constants!$B$15,B55&lt;&gt;Constants!$B$16),"stable","radioactive"))</f>
        <v>stable</v>
      </c>
      <c r="V55">
        <f>Constants!$B$9</f>
        <v>9.266927083333333</v>
      </c>
      <c r="W55">
        <f>B55*Constants!$B$9+(C55-B55)*Constants!$B$10</f>
        <v>500.6953125</v>
      </c>
      <c r="X55">
        <f>W55*Constants!$B$5</f>
        <v>4005.5625</v>
      </c>
      <c r="Y55">
        <f>W55*7</f>
        <v>3504.8671875</v>
      </c>
      <c r="Z55" t="str">
        <f>"shell "&amp;P55&amp;" occupancy "&amp;R55&amp;"/"&amp;Q55</f>
        <v>shell 4 occupancy 26/32</v>
      </c>
      <c r="AA55" t="str">
        <f>"closure"</f>
        <v>closure</v>
      </c>
      <c r="AB55" t="str">
        <f>"A=Z+N="&amp;B55&amp;"+"&amp;C55&amp;"="&amp;D55</f>
        <v>126</v>
      </c>
      <c r="AC55" t="str">
        <f>"SAM_CONSTANTS_ONLY_NO_FREE_INPUTS"</f>
        <v>SAM_CONSTANTS_ONLY_NO_FREE_INPUTS</v>
      </c>
    </row>
    <row r="56">
      <c r="A56" t="str">
        <f>"SOB"&amp;B56</f>
        <v>SOB55</v>
      </c>
      <c r="B56">
        <f>ROW()-1</f>
        <v>55</v>
      </c>
      <c r="C56">
        <f>B56+H56</f>
        <v>73</v>
      </c>
      <c r="D56">
        <f>B56+C56</f>
        <v>128</v>
      </c>
      <c r="E56">
        <f>INT((B56-1)/Constants!$B$2)+1</f>
        <v>5</v>
      </c>
      <c r="F56">
        <f>MOD(B56-1,Constants!$B$2)+1</f>
        <v>7</v>
      </c>
      <c r="G56">
        <f>MAX(0,E56-1)</f>
        <v>4</v>
      </c>
      <c r="H56">
        <f>INT(B56*G56/Constants!$B$2)</f>
        <v>18</v>
      </c>
      <c r="I56">
        <f>MOD(B56*G56,Constants!$B$2)</f>
        <v>4</v>
      </c>
      <c r="J56" t="str">
        <f>"P_"&amp;B56&amp;","&amp;D56</f>
        <v>P_55,128</v>
      </c>
      <c r="K56" t="str">
        <f>B56&amp;"p+"&amp;C56&amp;"n+"&amp;B56&amp;"e"</f>
        <v>55p+73n+55e</v>
      </c>
      <c r="L56">
        <f>2*B56+C56</f>
        <v>183</v>
      </c>
      <c r="M56">
        <f>B56+2*C56</f>
        <v>201</v>
      </c>
      <c r="N56">
        <f>B56</f>
        <v>55</v>
      </c>
      <c r="O56" t="str">
        <f>L56&amp;"u+"&amp;M56&amp;"d+"&amp;N56&amp;"e"</f>
        <v>183u+201d+55e</v>
      </c>
      <c r="P56">
        <f>COUNTIF(Shells!$E$2:$E$9,"&lt;"&amp;B56)+1</f>
        <v>4</v>
      </c>
      <c r="Q56">
        <f>INDEX(Shells!$C$2:$C$9,P56)</f>
        <v>32</v>
      </c>
      <c r="R56">
        <f>B56-IF(P56=1,0,INDEX(Shells!$E$2:$E$9,P56-1))</f>
        <v>27</v>
      </c>
      <c r="S56" t="str">
        <f>IF(R56=Q56,"CLOSED_SHELL","OPEN_SHELL")</f>
        <v>OPEN_SHELL</v>
      </c>
      <c r="T56" t="str">
        <f>IF(B56&gt;=Constants!$B$8,"CONSTANT_FRONTIER_TAIL_CANDIDATE",IF(I56=0,"CONSTANT_STABLE_ANCHOR_LANE",IF(I56=Constants!$B$2/2,"CONSTANT_HALF_WRITE_LANE","CONSTANT_BOUND_LADDER_LANE")))</f>
        <v>CONSTANT_BOUND_LADDER_LANE</v>
      </c>
      <c r="U56" t="str">
        <f>IF(B56&gt;=Constants!$B$8,"frontier",IF(AND(B56&lt;=Constants!$B$14,B56&lt;&gt;Constants!$B$15,B56&lt;&gt;Constants!$B$16),"stable","radioactive"))</f>
        <v>stable</v>
      </c>
      <c r="V56">
        <f>Constants!$B$9</f>
        <v>9.266927083333333</v>
      </c>
      <c r="W56">
        <f>B56*Constants!$B$9+(C56-B56)*Constants!$B$10</f>
        <v>509.962239583333333</v>
      </c>
      <c r="X56">
        <f>W56*Constants!$B$5</f>
        <v>4079.697916666666667</v>
      </c>
      <c r="Y56">
        <f>W56*7</f>
        <v>3569.735677083333333</v>
      </c>
      <c r="Z56" t="str">
        <f>"shell "&amp;P56&amp;" occupancy "&amp;R56&amp;"/"&amp;Q56</f>
        <v>shell 4 occupancy 27/32</v>
      </c>
      <c r="AA56" t="str">
        <f>"closure"</f>
        <v>closure</v>
      </c>
      <c r="AB56" t="str">
        <f>"A=Z+N="&amp;B56&amp;"+"&amp;C56&amp;"="&amp;D56</f>
        <v>128</v>
      </c>
      <c r="AC56" t="str">
        <f>"SAM_CONSTANTS_ONLY_NO_FREE_INPUTS"</f>
        <v>SAM_CONSTANTS_ONLY_NO_FREE_INPUTS</v>
      </c>
    </row>
    <row r="57">
      <c r="A57" t="str">
        <f>"SOB"&amp;B57</f>
        <v>SOB56</v>
      </c>
      <c r="B57">
        <f>ROW()-1</f>
        <v>56</v>
      </c>
      <c r="C57">
        <f>B57+H57</f>
        <v>74</v>
      </c>
      <c r="D57">
        <f>B57+C57</f>
        <v>130</v>
      </c>
      <c r="E57">
        <f>INT((B57-1)/Constants!$B$2)+1</f>
        <v>5</v>
      </c>
      <c r="F57">
        <f>MOD(B57-1,Constants!$B$2)+1</f>
        <v>8</v>
      </c>
      <c r="G57">
        <f>MAX(0,E57-1)</f>
        <v>4</v>
      </c>
      <c r="H57">
        <f>INT(B57*G57/Constants!$B$2)</f>
        <v>18</v>
      </c>
      <c r="I57">
        <f>MOD(B57*G57,Constants!$B$2)</f>
        <v>8</v>
      </c>
      <c r="J57" t="str">
        <f>"P_"&amp;B57&amp;","&amp;D57</f>
        <v>P_56,130</v>
      </c>
      <c r="K57" t="str">
        <f>B57&amp;"p+"&amp;C57&amp;"n+"&amp;B57&amp;"e"</f>
        <v>56p+74n+56e</v>
      </c>
      <c r="L57">
        <f>2*B57+C57</f>
        <v>186</v>
      </c>
      <c r="M57">
        <f>B57+2*C57</f>
        <v>204</v>
      </c>
      <c r="N57">
        <f>B57</f>
        <v>56</v>
      </c>
      <c r="O57" t="str">
        <f>L57&amp;"u+"&amp;M57&amp;"d+"&amp;N57&amp;"e"</f>
        <v>186u+204d+56e</v>
      </c>
      <c r="P57">
        <f>COUNTIF(Shells!$E$2:$E$9,"&lt;"&amp;B57)+1</f>
        <v>4</v>
      </c>
      <c r="Q57">
        <f>INDEX(Shells!$C$2:$C$9,P57)</f>
        <v>32</v>
      </c>
      <c r="R57">
        <f>B57-IF(P57=1,0,INDEX(Shells!$E$2:$E$9,P57-1))</f>
        <v>28</v>
      </c>
      <c r="S57" t="str">
        <f>IF(R57=Q57,"CLOSED_SHELL","OPEN_SHELL")</f>
        <v>OPEN_SHELL</v>
      </c>
      <c r="T57" t="str">
        <f>IF(B57&gt;=Constants!$B$8,"CONSTANT_FRONTIER_TAIL_CANDIDATE",IF(I57=0,"CONSTANT_STABLE_ANCHOR_LANE",IF(I57=Constants!$B$2/2,"CONSTANT_HALF_WRITE_LANE","CONSTANT_BOUND_LADDER_LANE")))</f>
        <v>CONSTANT_BOUND_LADDER_LANE</v>
      </c>
      <c r="U57" t="str">
        <f>IF(B57&gt;=Constants!$B$8,"frontier",IF(AND(B57&lt;=Constants!$B$14,B57&lt;&gt;Constants!$B$15,B57&lt;&gt;Constants!$B$16),"stable","radioactive"))</f>
        <v>stable</v>
      </c>
      <c r="V57">
        <f>Constants!$B$9</f>
        <v>9.266927083333333</v>
      </c>
      <c r="W57">
        <f>B57*Constants!$B$9+(C57-B57)*Constants!$B$10</f>
        <v>519.229166666666667</v>
      </c>
      <c r="X57">
        <f>W57*Constants!$B$5</f>
        <v>4153.833333333333333</v>
      </c>
      <c r="Y57">
        <f>W57*7</f>
        <v>3634.604166666666667</v>
      </c>
      <c r="Z57" t="str">
        <f>"shell "&amp;P57&amp;" occupancy "&amp;R57&amp;"/"&amp;Q57</f>
        <v>shell 4 occupancy 28/32</v>
      </c>
      <c r="AA57" t="str">
        <f>"closure"</f>
        <v>closure</v>
      </c>
      <c r="AB57" t="str">
        <f>"A=Z+N="&amp;B57&amp;"+"&amp;C57&amp;"="&amp;D57</f>
        <v>130</v>
      </c>
      <c r="AC57" t="str">
        <f>"SAM_CONSTANTS_ONLY_NO_FREE_INPUTS"</f>
        <v>SAM_CONSTANTS_ONLY_NO_FREE_INPUTS</v>
      </c>
    </row>
    <row r="58">
      <c r="A58" t="str">
        <f>"SOB"&amp;B58</f>
        <v>SOB57</v>
      </c>
      <c r="B58">
        <f>ROW()-1</f>
        <v>57</v>
      </c>
      <c r="C58">
        <f>B58+H58</f>
        <v>76</v>
      </c>
      <c r="D58">
        <f>B58+C58</f>
        <v>133</v>
      </c>
      <c r="E58">
        <f>INT((B58-1)/Constants!$B$2)+1</f>
        <v>5</v>
      </c>
      <c r="F58">
        <f>MOD(B58-1,Constants!$B$2)+1</f>
        <v>9</v>
      </c>
      <c r="G58">
        <f>MAX(0,E58-1)</f>
        <v>4</v>
      </c>
      <c r="H58">
        <f>INT(B58*G58/Constants!$B$2)</f>
        <v>19</v>
      </c>
      <c r="I58">
        <f>MOD(B58*G58,Constants!$B$2)</f>
        <v>0</v>
      </c>
      <c r="J58" t="str">
        <f>"P_"&amp;B58&amp;","&amp;D58</f>
        <v>P_57,133</v>
      </c>
      <c r="K58" t="str">
        <f>B58&amp;"p+"&amp;C58&amp;"n+"&amp;B58&amp;"e"</f>
        <v>57p+76n+57e</v>
      </c>
      <c r="L58">
        <f>2*B58+C58</f>
        <v>190</v>
      </c>
      <c r="M58">
        <f>B58+2*C58</f>
        <v>209</v>
      </c>
      <c r="N58">
        <f>B58</f>
        <v>57</v>
      </c>
      <c r="O58" t="str">
        <f>L58&amp;"u+"&amp;M58&amp;"d+"&amp;N58&amp;"e"</f>
        <v>190u+209d+57e</v>
      </c>
      <c r="P58">
        <f>COUNTIF(Shells!$E$2:$E$9,"&lt;"&amp;B58)+1</f>
        <v>4</v>
      </c>
      <c r="Q58">
        <f>INDEX(Shells!$C$2:$C$9,P58)</f>
        <v>32</v>
      </c>
      <c r="R58">
        <f>B58-IF(P58=1,0,INDEX(Shells!$E$2:$E$9,P58-1))</f>
        <v>29</v>
      </c>
      <c r="S58" t="str">
        <f>IF(R58=Q58,"CLOSED_SHELL","OPEN_SHELL")</f>
        <v>OPEN_SHELL</v>
      </c>
      <c r="T58" t="str">
        <f>IF(B58&gt;=Constants!$B$8,"CONSTANT_FRONTIER_TAIL_CANDIDATE",IF(I58=0,"CONSTANT_STABLE_ANCHOR_LANE",IF(I58=Constants!$B$2/2,"CONSTANT_HALF_WRITE_LANE","CONSTANT_BOUND_LADDER_LANE")))</f>
        <v>CONSTANT_STABLE_ANCHOR_LANE</v>
      </c>
      <c r="U58" t="str">
        <f>IF(B58&gt;=Constants!$B$8,"frontier",IF(AND(B58&lt;=Constants!$B$14,B58&lt;&gt;Constants!$B$15,B58&lt;&gt;Constants!$B$16),"stable","radioactive"))</f>
        <v>stable</v>
      </c>
      <c r="V58">
        <f>Constants!$B$9</f>
        <v>9.266927083333333</v>
      </c>
      <c r="W58">
        <f>B58*Constants!$B$9+(C58-B58)*Constants!$B$10</f>
        <v>528.51171875</v>
      </c>
      <c r="X58">
        <f>W58*Constants!$B$5</f>
        <v>4228.09375</v>
      </c>
      <c r="Y58">
        <f>W58*7</f>
        <v>3699.58203125</v>
      </c>
      <c r="Z58" t="str">
        <f>"shell "&amp;P58&amp;" occupancy "&amp;R58&amp;"/"&amp;Q58</f>
        <v>shell 4 occupancy 29/32</v>
      </c>
      <c r="AA58" t="str">
        <f>"closure"</f>
        <v>closure</v>
      </c>
      <c r="AB58" t="str">
        <f>"A=Z+N="&amp;B58&amp;"+"&amp;C58&amp;"="&amp;D58</f>
        <v>133</v>
      </c>
      <c r="AC58" t="str">
        <f>"SAM_CONSTANTS_ONLY_NO_FREE_INPUTS"</f>
        <v>SAM_CONSTANTS_ONLY_NO_FREE_INPUTS</v>
      </c>
    </row>
    <row r="59">
      <c r="A59" t="str">
        <f>"SOB"&amp;B59</f>
        <v>SOB58</v>
      </c>
      <c r="B59">
        <f>ROW()-1</f>
        <v>58</v>
      </c>
      <c r="C59">
        <f>B59+H59</f>
        <v>77</v>
      </c>
      <c r="D59">
        <f>B59+C59</f>
        <v>135</v>
      </c>
      <c r="E59">
        <f>INT((B59-1)/Constants!$B$2)+1</f>
        <v>5</v>
      </c>
      <c r="F59">
        <f>MOD(B59-1,Constants!$B$2)+1</f>
        <v>10</v>
      </c>
      <c r="G59">
        <f>MAX(0,E59-1)</f>
        <v>4</v>
      </c>
      <c r="H59">
        <f>INT(B59*G59/Constants!$B$2)</f>
        <v>19</v>
      </c>
      <c r="I59">
        <f>MOD(B59*G59,Constants!$B$2)</f>
        <v>4</v>
      </c>
      <c r="J59" t="str">
        <f>"P_"&amp;B59&amp;","&amp;D59</f>
        <v>P_58,135</v>
      </c>
      <c r="K59" t="str">
        <f>B59&amp;"p+"&amp;C59&amp;"n+"&amp;B59&amp;"e"</f>
        <v>58p+77n+58e</v>
      </c>
      <c r="L59">
        <f>2*B59+C59</f>
        <v>193</v>
      </c>
      <c r="M59">
        <f>B59+2*C59</f>
        <v>212</v>
      </c>
      <c r="N59">
        <f>B59</f>
        <v>58</v>
      </c>
      <c r="O59" t="str">
        <f>L59&amp;"u+"&amp;M59&amp;"d+"&amp;N59&amp;"e"</f>
        <v>193u+212d+58e</v>
      </c>
      <c r="P59">
        <f>COUNTIF(Shells!$E$2:$E$9,"&lt;"&amp;B59)+1</f>
        <v>4</v>
      </c>
      <c r="Q59">
        <f>INDEX(Shells!$C$2:$C$9,P59)</f>
        <v>32</v>
      </c>
      <c r="R59">
        <f>B59-IF(P59=1,0,INDEX(Shells!$E$2:$E$9,P59-1))</f>
        <v>30</v>
      </c>
      <c r="S59" t="str">
        <f>IF(R59=Q59,"CLOSED_SHELL","OPEN_SHELL")</f>
        <v>OPEN_SHELL</v>
      </c>
      <c r="T59" t="str">
        <f>IF(B59&gt;=Constants!$B$8,"CONSTANT_FRONTIER_TAIL_CANDIDATE",IF(I59=0,"CONSTANT_STABLE_ANCHOR_LANE",IF(I59=Constants!$B$2/2,"CONSTANT_HALF_WRITE_LANE","CONSTANT_BOUND_LADDER_LANE")))</f>
        <v>CONSTANT_BOUND_LADDER_LANE</v>
      </c>
      <c r="U59" t="str">
        <f>IF(B59&gt;=Constants!$B$8,"frontier",IF(AND(B59&lt;=Constants!$B$14,B59&lt;&gt;Constants!$B$15,B59&lt;&gt;Constants!$B$16),"stable","radioactive"))</f>
        <v>stable</v>
      </c>
      <c r="V59">
        <f>Constants!$B$9</f>
        <v>9.266927083333333</v>
      </c>
      <c r="W59">
        <f>B59*Constants!$B$9+(C59-B59)*Constants!$B$10</f>
        <v>537.778645833333333</v>
      </c>
      <c r="X59">
        <f>W59*Constants!$B$5</f>
        <v>4302.229166666666667</v>
      </c>
      <c r="Y59">
        <f>W59*7</f>
        <v>3764.450520833333333</v>
      </c>
      <c r="Z59" t="str">
        <f>"shell "&amp;P59&amp;" occupancy "&amp;R59&amp;"/"&amp;Q59</f>
        <v>shell 4 occupancy 30/32</v>
      </c>
      <c r="AA59" t="str">
        <f>"closure"</f>
        <v>closure</v>
      </c>
      <c r="AB59" t="str">
        <f>"A=Z+N="&amp;B59&amp;"+"&amp;C59&amp;"="&amp;D59</f>
        <v>135</v>
      </c>
      <c r="AC59" t="str">
        <f>"SAM_CONSTANTS_ONLY_NO_FREE_INPUTS"</f>
        <v>SAM_CONSTANTS_ONLY_NO_FREE_INPUTS</v>
      </c>
    </row>
    <row r="60">
      <c r="A60" t="str">
        <f>"SOB"&amp;B60</f>
        <v>SOB59</v>
      </c>
      <c r="B60">
        <f>ROW()-1</f>
        <v>59</v>
      </c>
      <c r="C60">
        <f>B60+H60</f>
        <v>78</v>
      </c>
      <c r="D60">
        <f>B60+C60</f>
        <v>137</v>
      </c>
      <c r="E60">
        <f>INT((B60-1)/Constants!$B$2)+1</f>
        <v>5</v>
      </c>
      <c r="F60">
        <f>MOD(B60-1,Constants!$B$2)+1</f>
        <v>11</v>
      </c>
      <c r="G60">
        <f>MAX(0,E60-1)</f>
        <v>4</v>
      </c>
      <c r="H60">
        <f>INT(B60*G60/Constants!$B$2)</f>
        <v>19</v>
      </c>
      <c r="I60">
        <f>MOD(B60*G60,Constants!$B$2)</f>
        <v>8</v>
      </c>
      <c r="J60" t="str">
        <f>"P_"&amp;B60&amp;","&amp;D60</f>
        <v>P_59,137</v>
      </c>
      <c r="K60" t="str">
        <f>B60&amp;"p+"&amp;C60&amp;"n+"&amp;B60&amp;"e"</f>
        <v>59p+78n+59e</v>
      </c>
      <c r="L60">
        <f>2*B60+C60</f>
        <v>196</v>
      </c>
      <c r="M60">
        <f>B60+2*C60</f>
        <v>215</v>
      </c>
      <c r="N60">
        <f>B60</f>
        <v>59</v>
      </c>
      <c r="O60" t="str">
        <f>L60&amp;"u+"&amp;M60&amp;"d+"&amp;N60&amp;"e"</f>
        <v>196u+215d+59e</v>
      </c>
      <c r="P60">
        <f>COUNTIF(Shells!$E$2:$E$9,"&lt;"&amp;B60)+1</f>
        <v>4</v>
      </c>
      <c r="Q60">
        <f>INDEX(Shells!$C$2:$C$9,P60)</f>
        <v>32</v>
      </c>
      <c r="R60">
        <f>B60-IF(P60=1,0,INDEX(Shells!$E$2:$E$9,P60-1))</f>
        <v>31</v>
      </c>
      <c r="S60" t="str">
        <f>IF(R60=Q60,"CLOSED_SHELL","OPEN_SHELL")</f>
        <v>OPEN_SHELL</v>
      </c>
      <c r="T60" t="str">
        <f>IF(B60&gt;=Constants!$B$8,"CONSTANT_FRONTIER_TAIL_CANDIDATE",IF(I60=0,"CONSTANT_STABLE_ANCHOR_LANE",IF(I60=Constants!$B$2/2,"CONSTANT_HALF_WRITE_LANE","CONSTANT_BOUND_LADDER_LANE")))</f>
        <v>CONSTANT_BOUND_LADDER_LANE</v>
      </c>
      <c r="U60" t="str">
        <f>IF(B60&gt;=Constants!$B$8,"frontier",IF(AND(B60&lt;=Constants!$B$14,B60&lt;&gt;Constants!$B$15,B60&lt;&gt;Constants!$B$16),"stable","radioactive"))</f>
        <v>stable</v>
      </c>
      <c r="V60">
        <f>Constants!$B$9</f>
        <v>9.266927083333333</v>
      </c>
      <c r="W60">
        <f>B60*Constants!$B$9+(C60-B60)*Constants!$B$10</f>
        <v>547.045572916666667</v>
      </c>
      <c r="X60">
        <f>W60*Constants!$B$5</f>
        <v>4376.364583333333333</v>
      </c>
      <c r="Y60">
        <f>W60*7</f>
        <v>3829.319010416666667</v>
      </c>
      <c r="Z60" t="str">
        <f>"shell "&amp;P60&amp;" occupancy "&amp;R60&amp;"/"&amp;Q60</f>
        <v>shell 4 occupancy 31/32</v>
      </c>
      <c r="AA60" t="str">
        <f>"closure"</f>
        <v>closure</v>
      </c>
      <c r="AB60" t="str">
        <f>"A=Z+N="&amp;B60&amp;"+"&amp;C60&amp;"="&amp;D60</f>
        <v>137</v>
      </c>
      <c r="AC60" t="str">
        <f>"SAM_CONSTANTS_ONLY_NO_FREE_INPUTS"</f>
        <v>SAM_CONSTANTS_ONLY_NO_FREE_INPUTS</v>
      </c>
    </row>
    <row r="61">
      <c r="A61" t="str">
        <f>"SOB"&amp;B61</f>
        <v>SOB60</v>
      </c>
      <c r="B61">
        <f>ROW()-1</f>
        <v>60</v>
      </c>
      <c r="C61">
        <f>B61+H61</f>
        <v>80</v>
      </c>
      <c r="D61">
        <f>B61+C61</f>
        <v>140</v>
      </c>
      <c r="E61">
        <f>INT((B61-1)/Constants!$B$2)+1</f>
        <v>5</v>
      </c>
      <c r="F61">
        <f>MOD(B61-1,Constants!$B$2)+1</f>
        <v>12</v>
      </c>
      <c r="G61">
        <f>MAX(0,E61-1)</f>
        <v>4</v>
      </c>
      <c r="H61">
        <f>INT(B61*G61/Constants!$B$2)</f>
        <v>20</v>
      </c>
      <c r="I61">
        <f>MOD(B61*G61,Constants!$B$2)</f>
        <v>0</v>
      </c>
      <c r="J61" t="str">
        <f>"P_"&amp;B61&amp;","&amp;D61</f>
        <v>P_60,140</v>
      </c>
      <c r="K61" t="str">
        <f>B61&amp;"p+"&amp;C61&amp;"n+"&amp;B61&amp;"e"</f>
        <v>60p+80n+60e</v>
      </c>
      <c r="L61">
        <f>2*B61+C61</f>
        <v>200</v>
      </c>
      <c r="M61">
        <f>B61+2*C61</f>
        <v>220</v>
      </c>
      <c r="N61">
        <f>B61</f>
        <v>60</v>
      </c>
      <c r="O61" t="str">
        <f>L61&amp;"u+"&amp;M61&amp;"d+"&amp;N61&amp;"e"</f>
        <v>200u+220d+60e</v>
      </c>
      <c r="P61">
        <f>COUNTIF(Shells!$E$2:$E$9,"&lt;"&amp;B61)+1</f>
        <v>4</v>
      </c>
      <c r="Q61">
        <f>INDEX(Shells!$C$2:$C$9,P61)</f>
        <v>32</v>
      </c>
      <c r="R61">
        <f>B61-IF(P61=1,0,INDEX(Shells!$E$2:$E$9,P61-1))</f>
        <v>32</v>
      </c>
      <c r="S61" t="str">
        <f>IF(R61=Q61,"CLOSED_SHELL","OPEN_SHELL")</f>
        <v>CLOSED_SHELL</v>
      </c>
      <c r="T61" t="str">
        <f>IF(B61&gt;=Constants!$B$8,"CONSTANT_FRONTIER_TAIL_CANDIDATE",IF(I61=0,"CONSTANT_STABLE_ANCHOR_LANE",IF(I61=Constants!$B$2/2,"CONSTANT_HALF_WRITE_LANE","CONSTANT_BOUND_LADDER_LANE")))</f>
        <v>CONSTANT_STABLE_ANCHOR_LANE</v>
      </c>
      <c r="U61" t="str">
        <f>IF(B61&gt;=Constants!$B$8,"frontier",IF(AND(B61&lt;=Constants!$B$14,B61&lt;&gt;Constants!$B$15,B61&lt;&gt;Constants!$B$16),"stable","radioactive"))</f>
        <v>stable</v>
      </c>
      <c r="V61">
        <f>Constants!$B$9</f>
        <v>9.266927083333333</v>
      </c>
      <c r="W61">
        <f>B61*Constants!$B$9+(C61-B61)*Constants!$B$10</f>
        <v>556.328125</v>
      </c>
      <c r="X61">
        <f>W61*Constants!$B$5</f>
        <v>4450.625</v>
      </c>
      <c r="Y61">
        <f>W61*7</f>
        <v>3894.296875</v>
      </c>
      <c r="Z61" t="str">
        <f>"shell "&amp;P61&amp;" occupancy "&amp;R61&amp;"/"&amp;Q61</f>
        <v>shell 4 occupancy 32/32</v>
      </c>
      <c r="AA61" t="str">
        <f>"closure"</f>
        <v>closure</v>
      </c>
      <c r="AB61" t="str">
        <f>"A=Z+N="&amp;B61&amp;"+"&amp;C61&amp;"="&amp;D61</f>
        <v>140</v>
      </c>
      <c r="AC61" t="str">
        <f>"SAM_CONSTANTS_ONLY_NO_FREE_INPUTS"</f>
        <v>SAM_CONSTANTS_ONLY_NO_FREE_INPUTS</v>
      </c>
    </row>
    <row r="62">
      <c r="A62" t="str">
        <f>"SOB"&amp;B62</f>
        <v>SOB61</v>
      </c>
      <c r="B62">
        <f>ROW()-1</f>
        <v>61</v>
      </c>
      <c r="C62">
        <f>B62+H62</f>
        <v>86</v>
      </c>
      <c r="D62">
        <f>B62+C62</f>
        <v>147</v>
      </c>
      <c r="E62">
        <f>INT((B62-1)/Constants!$B$2)+1</f>
        <v>6</v>
      </c>
      <c r="F62">
        <f>MOD(B62-1,Constants!$B$2)+1</f>
        <v>1</v>
      </c>
      <c r="G62">
        <f>MAX(0,E62-1)</f>
        <v>5</v>
      </c>
      <c r="H62">
        <f>INT(B62*G62/Constants!$B$2)</f>
        <v>25</v>
      </c>
      <c r="I62">
        <f>MOD(B62*G62,Constants!$B$2)</f>
        <v>5</v>
      </c>
      <c r="J62" t="str">
        <f>"P_"&amp;B62&amp;","&amp;D62</f>
        <v>P_61,147</v>
      </c>
      <c r="K62" t="str">
        <f>B62&amp;"p+"&amp;C62&amp;"n+"&amp;B62&amp;"e"</f>
        <v>61p+86n+61e</v>
      </c>
      <c r="L62">
        <f>2*B62+C62</f>
        <v>208</v>
      </c>
      <c r="M62">
        <f>B62+2*C62</f>
        <v>233</v>
      </c>
      <c r="N62">
        <f>B62</f>
        <v>61</v>
      </c>
      <c r="O62" t="str">
        <f>L62&amp;"u+"&amp;M62&amp;"d+"&amp;N62&amp;"e"</f>
        <v>208u+233d+61e</v>
      </c>
      <c r="P62">
        <f>COUNTIF(Shells!$E$2:$E$9,"&lt;"&amp;B62)+1</f>
        <v>5</v>
      </c>
      <c r="Q62">
        <f>INDEX(Shells!$C$2:$C$9,P62)</f>
        <v>32</v>
      </c>
      <c r="R62">
        <f>B62-IF(P62=1,0,INDEX(Shells!$E$2:$E$9,P62-1))</f>
        <v>1</v>
      </c>
      <c r="S62" t="str">
        <f>IF(R62=Q62,"CLOSED_SHELL","OPEN_SHELL")</f>
        <v>OPEN_SHELL</v>
      </c>
      <c r="T62" t="str">
        <f>IF(B62&gt;=Constants!$B$8,"CONSTANT_FRONTIER_TAIL_CANDIDATE",IF(I62=0,"CONSTANT_STABLE_ANCHOR_LANE",IF(I62=Constants!$B$2/2,"CONSTANT_HALF_WRITE_LANE","CONSTANT_BOUND_LADDER_LANE")))</f>
        <v>CONSTANT_BOUND_LADDER_LANE</v>
      </c>
      <c r="U62" t="str">
        <f>IF(B62&gt;=Constants!$B$8,"frontier",IF(AND(B62&lt;=Constants!$B$14,B62&lt;&gt;Constants!$B$15,B62&lt;&gt;Constants!$B$16),"stable","radioactive"))</f>
        <v>radioactive</v>
      </c>
      <c r="V62">
        <f>Constants!$B$9</f>
        <v>9.266927083333333</v>
      </c>
      <c r="W62">
        <f>B62*Constants!$B$9+(C62-B62)*Constants!$B$10</f>
        <v>565.673177083333333</v>
      </c>
      <c r="X62">
        <f>W62*Constants!$B$5</f>
        <v>4525.385416666666667</v>
      </c>
      <c r="Y62">
        <f>W62*7</f>
        <v>3959.712239583333333</v>
      </c>
      <c r="Z62" t="str">
        <f>"shell "&amp;P62&amp;" occupancy "&amp;R62&amp;"/"&amp;Q62</f>
        <v>shell 5 occupancy 1/32</v>
      </c>
      <c r="AA62" t="str">
        <f>"closure"</f>
        <v>closure</v>
      </c>
      <c r="AB62" t="str">
        <f>"A=Z+N="&amp;B62&amp;"+"&amp;C62&amp;"="&amp;D62</f>
        <v>147</v>
      </c>
      <c r="AC62" t="str">
        <f>"SAM_CONSTANTS_ONLY_NO_FREE_INPUTS"</f>
        <v>SAM_CONSTANTS_ONLY_NO_FREE_INPUTS</v>
      </c>
    </row>
    <row r="63">
      <c r="A63" t="str">
        <f>"SOB"&amp;B63</f>
        <v>SOB62</v>
      </c>
      <c r="B63">
        <f>ROW()-1</f>
        <v>62</v>
      </c>
      <c r="C63">
        <f>B63+H63</f>
        <v>87</v>
      </c>
      <c r="D63">
        <f>B63+C63</f>
        <v>149</v>
      </c>
      <c r="E63">
        <f>INT((B63-1)/Constants!$B$2)+1</f>
        <v>6</v>
      </c>
      <c r="F63">
        <f>MOD(B63-1,Constants!$B$2)+1</f>
        <v>2</v>
      </c>
      <c r="G63">
        <f>MAX(0,E63-1)</f>
        <v>5</v>
      </c>
      <c r="H63">
        <f>INT(B63*G63/Constants!$B$2)</f>
        <v>25</v>
      </c>
      <c r="I63">
        <f>MOD(B63*G63,Constants!$B$2)</f>
        <v>10</v>
      </c>
      <c r="J63" t="str">
        <f>"P_"&amp;B63&amp;","&amp;D63</f>
        <v>P_62,149</v>
      </c>
      <c r="K63" t="str">
        <f>B63&amp;"p+"&amp;C63&amp;"n+"&amp;B63&amp;"e"</f>
        <v>62p+87n+62e</v>
      </c>
      <c r="L63">
        <f>2*B63+C63</f>
        <v>211</v>
      </c>
      <c r="M63">
        <f>B63+2*C63</f>
        <v>236</v>
      </c>
      <c r="N63">
        <f>B63</f>
        <v>62</v>
      </c>
      <c r="O63" t="str">
        <f>L63&amp;"u+"&amp;M63&amp;"d+"&amp;N63&amp;"e"</f>
        <v>211u+236d+62e</v>
      </c>
      <c r="P63">
        <f>COUNTIF(Shells!$E$2:$E$9,"&lt;"&amp;B63)+1</f>
        <v>5</v>
      </c>
      <c r="Q63">
        <f>INDEX(Shells!$C$2:$C$9,P63)</f>
        <v>32</v>
      </c>
      <c r="R63">
        <f>B63-IF(P63=1,0,INDEX(Shells!$E$2:$E$9,P63-1))</f>
        <v>2</v>
      </c>
      <c r="S63" t="str">
        <f>IF(R63=Q63,"CLOSED_SHELL","OPEN_SHELL")</f>
        <v>OPEN_SHELL</v>
      </c>
      <c r="T63" t="str">
        <f>IF(B63&gt;=Constants!$B$8,"CONSTANT_FRONTIER_TAIL_CANDIDATE",IF(I63=0,"CONSTANT_STABLE_ANCHOR_LANE",IF(I63=Constants!$B$2/2,"CONSTANT_HALF_WRITE_LANE","CONSTANT_BOUND_LADDER_LANE")))</f>
        <v>CONSTANT_BOUND_LADDER_LANE</v>
      </c>
      <c r="U63" t="str">
        <f>IF(B63&gt;=Constants!$B$8,"frontier",IF(AND(B63&lt;=Constants!$B$14,B63&lt;&gt;Constants!$B$15,B63&lt;&gt;Constants!$B$16),"stable","radioactive"))</f>
        <v>stable</v>
      </c>
      <c r="V63">
        <f>Constants!$B$9</f>
        <v>9.266927083333333</v>
      </c>
      <c r="W63">
        <f>B63*Constants!$B$9+(C63-B63)*Constants!$B$10</f>
        <v>574.940104166666667</v>
      </c>
      <c r="X63">
        <f>W63*Constants!$B$5</f>
        <v>4599.520833333333333</v>
      </c>
      <c r="Y63">
        <f>W63*7</f>
        <v>4024.580729166666667</v>
      </c>
      <c r="Z63" t="str">
        <f>"shell "&amp;P63&amp;" occupancy "&amp;R63&amp;"/"&amp;Q63</f>
        <v>shell 5 occupancy 2/32</v>
      </c>
      <c r="AA63" t="str">
        <f>"closure"</f>
        <v>closure</v>
      </c>
      <c r="AB63" t="str">
        <f>"A=Z+N="&amp;B63&amp;"+"&amp;C63&amp;"="&amp;D63</f>
        <v>149</v>
      </c>
      <c r="AC63" t="str">
        <f>"SAM_CONSTANTS_ONLY_NO_FREE_INPUTS"</f>
        <v>SAM_CONSTANTS_ONLY_NO_FREE_INPUTS</v>
      </c>
    </row>
    <row r="64">
      <c r="A64" t="str">
        <f>"SOB"&amp;B64</f>
        <v>SOB63</v>
      </c>
      <c r="B64">
        <f>ROW()-1</f>
        <v>63</v>
      </c>
      <c r="C64">
        <f>B64+H64</f>
        <v>89</v>
      </c>
      <c r="D64">
        <f>B64+C64</f>
        <v>152</v>
      </c>
      <c r="E64">
        <f>INT((B64-1)/Constants!$B$2)+1</f>
        <v>6</v>
      </c>
      <c r="F64">
        <f>MOD(B64-1,Constants!$B$2)+1</f>
        <v>3</v>
      </c>
      <c r="G64">
        <f>MAX(0,E64-1)</f>
        <v>5</v>
      </c>
      <c r="H64">
        <f>INT(B64*G64/Constants!$B$2)</f>
        <v>26</v>
      </c>
      <c r="I64">
        <f>MOD(B64*G64,Constants!$B$2)</f>
        <v>3</v>
      </c>
      <c r="J64" t="str">
        <f>"P_"&amp;B64&amp;","&amp;D64</f>
        <v>P_63,152</v>
      </c>
      <c r="K64" t="str">
        <f>B64&amp;"p+"&amp;C64&amp;"n+"&amp;B64&amp;"e"</f>
        <v>63p+89n+63e</v>
      </c>
      <c r="L64">
        <f>2*B64+C64</f>
        <v>215</v>
      </c>
      <c r="M64">
        <f>B64+2*C64</f>
        <v>241</v>
      </c>
      <c r="N64">
        <f>B64</f>
        <v>63</v>
      </c>
      <c r="O64" t="str">
        <f>L64&amp;"u+"&amp;M64&amp;"d+"&amp;N64&amp;"e"</f>
        <v>215u+241d+63e</v>
      </c>
      <c r="P64">
        <f>COUNTIF(Shells!$E$2:$E$9,"&lt;"&amp;B64)+1</f>
        <v>5</v>
      </c>
      <c r="Q64">
        <f>INDEX(Shells!$C$2:$C$9,P64)</f>
        <v>32</v>
      </c>
      <c r="R64">
        <f>B64-IF(P64=1,0,INDEX(Shells!$E$2:$E$9,P64-1))</f>
        <v>3</v>
      </c>
      <c r="S64" t="str">
        <f>IF(R64=Q64,"CLOSED_SHELL","OPEN_SHELL")</f>
        <v>OPEN_SHELL</v>
      </c>
      <c r="T64" t="str">
        <f>IF(B64&gt;=Constants!$B$8,"CONSTANT_FRONTIER_TAIL_CANDIDATE",IF(I64=0,"CONSTANT_STABLE_ANCHOR_LANE",IF(I64=Constants!$B$2/2,"CONSTANT_HALF_WRITE_LANE","CONSTANT_BOUND_LADDER_LANE")))</f>
        <v>CONSTANT_BOUND_LADDER_LANE</v>
      </c>
      <c r="U64" t="str">
        <f>IF(B64&gt;=Constants!$B$8,"frontier",IF(AND(B64&lt;=Constants!$B$14,B64&lt;&gt;Constants!$B$15,B64&lt;&gt;Constants!$B$16),"stable","radioactive"))</f>
        <v>stable</v>
      </c>
      <c r="V64">
        <f>Constants!$B$9</f>
        <v>9.266927083333333</v>
      </c>
      <c r="W64">
        <f>B64*Constants!$B$9+(C64-B64)*Constants!$B$10</f>
        <v>584.22265625</v>
      </c>
      <c r="X64">
        <f>W64*Constants!$B$5</f>
        <v>4673.78125</v>
      </c>
      <c r="Y64">
        <f>W64*7</f>
        <v>4089.55859375</v>
      </c>
      <c r="Z64" t="str">
        <f>"shell "&amp;P64&amp;" occupancy "&amp;R64&amp;"/"&amp;Q64</f>
        <v>shell 5 occupancy 3/32</v>
      </c>
      <c r="AA64" t="str">
        <f>"closure"</f>
        <v>closure</v>
      </c>
      <c r="AB64" t="str">
        <f>"A=Z+N="&amp;B64&amp;"+"&amp;C64&amp;"="&amp;D64</f>
        <v>152</v>
      </c>
      <c r="AC64" t="str">
        <f>"SAM_CONSTANTS_ONLY_NO_FREE_INPUTS"</f>
        <v>SAM_CONSTANTS_ONLY_NO_FREE_INPUTS</v>
      </c>
    </row>
    <row r="65">
      <c r="A65" t="str">
        <f>"SOB"&amp;B65</f>
        <v>SOB64</v>
      </c>
      <c r="B65">
        <f>ROW()-1</f>
        <v>64</v>
      </c>
      <c r="C65">
        <f>B65+H65</f>
        <v>90</v>
      </c>
      <c r="D65">
        <f>B65+C65</f>
        <v>154</v>
      </c>
      <c r="E65">
        <f>INT((B65-1)/Constants!$B$2)+1</f>
        <v>6</v>
      </c>
      <c r="F65">
        <f>MOD(B65-1,Constants!$B$2)+1</f>
        <v>4</v>
      </c>
      <c r="G65">
        <f>MAX(0,E65-1)</f>
        <v>5</v>
      </c>
      <c r="H65">
        <f>INT(B65*G65/Constants!$B$2)</f>
        <v>26</v>
      </c>
      <c r="I65">
        <f>MOD(B65*G65,Constants!$B$2)</f>
        <v>8</v>
      </c>
      <c r="J65" t="str">
        <f>"P_"&amp;B65&amp;","&amp;D65</f>
        <v>P_64,154</v>
      </c>
      <c r="K65" t="str">
        <f>B65&amp;"p+"&amp;C65&amp;"n+"&amp;B65&amp;"e"</f>
        <v>64p+90n+64e</v>
      </c>
      <c r="L65">
        <f>2*B65+C65</f>
        <v>218</v>
      </c>
      <c r="M65">
        <f>B65+2*C65</f>
        <v>244</v>
      </c>
      <c r="N65">
        <f>B65</f>
        <v>64</v>
      </c>
      <c r="O65" t="str">
        <f>L65&amp;"u+"&amp;M65&amp;"d+"&amp;N65&amp;"e"</f>
        <v>218u+244d+64e</v>
      </c>
      <c r="P65">
        <f>COUNTIF(Shells!$E$2:$E$9,"&lt;"&amp;B65)+1</f>
        <v>5</v>
      </c>
      <c r="Q65">
        <f>INDEX(Shells!$C$2:$C$9,P65)</f>
        <v>32</v>
      </c>
      <c r="R65">
        <f>B65-IF(P65=1,0,INDEX(Shells!$E$2:$E$9,P65-1))</f>
        <v>4</v>
      </c>
      <c r="S65" t="str">
        <f>IF(R65=Q65,"CLOSED_SHELL","OPEN_SHELL")</f>
        <v>OPEN_SHELL</v>
      </c>
      <c r="T65" t="str">
        <f>IF(B65&gt;=Constants!$B$8,"CONSTANT_FRONTIER_TAIL_CANDIDATE",IF(I65=0,"CONSTANT_STABLE_ANCHOR_LANE",IF(I65=Constants!$B$2/2,"CONSTANT_HALF_WRITE_LANE","CONSTANT_BOUND_LADDER_LANE")))</f>
        <v>CONSTANT_BOUND_LADDER_LANE</v>
      </c>
      <c r="U65" t="str">
        <f>IF(B65&gt;=Constants!$B$8,"frontier",IF(AND(B65&lt;=Constants!$B$14,B65&lt;&gt;Constants!$B$15,B65&lt;&gt;Constants!$B$16),"stable","radioactive"))</f>
        <v>stable</v>
      </c>
      <c r="V65">
        <f>Constants!$B$9</f>
        <v>9.266927083333333</v>
      </c>
      <c r="W65">
        <f>B65*Constants!$B$9+(C65-B65)*Constants!$B$10</f>
        <v>593.489583333333333</v>
      </c>
      <c r="X65">
        <f>W65*Constants!$B$5</f>
        <v>4747.916666666666667</v>
      </c>
      <c r="Y65">
        <f>W65*7</f>
        <v>4154.427083333333333</v>
      </c>
      <c r="Z65" t="str">
        <f>"shell "&amp;P65&amp;" occupancy "&amp;R65&amp;"/"&amp;Q65</f>
        <v>shell 5 occupancy 4/32</v>
      </c>
      <c r="AA65" t="str">
        <f>"closure"</f>
        <v>closure</v>
      </c>
      <c r="AB65" t="str">
        <f>"A=Z+N="&amp;B65&amp;"+"&amp;C65&amp;"="&amp;D65</f>
        <v>154</v>
      </c>
      <c r="AC65" t="str">
        <f>"SAM_CONSTANTS_ONLY_NO_FREE_INPUTS"</f>
        <v>SAM_CONSTANTS_ONLY_NO_FREE_INPUTS</v>
      </c>
    </row>
    <row r="66">
      <c r="A66" t="str">
        <f>"SOB"&amp;B66</f>
        <v>SOB65</v>
      </c>
      <c r="B66">
        <f>ROW()-1</f>
        <v>65</v>
      </c>
      <c r="C66">
        <f>B66+H66</f>
        <v>92</v>
      </c>
      <c r="D66">
        <f>B66+C66</f>
        <v>157</v>
      </c>
      <c r="E66">
        <f>INT((B66-1)/Constants!$B$2)+1</f>
        <v>6</v>
      </c>
      <c r="F66">
        <f>MOD(B66-1,Constants!$B$2)+1</f>
        <v>5</v>
      </c>
      <c r="G66">
        <f>MAX(0,E66-1)</f>
        <v>5</v>
      </c>
      <c r="H66">
        <f>INT(B66*G66/Constants!$B$2)</f>
        <v>27</v>
      </c>
      <c r="I66">
        <f>MOD(B66*G66,Constants!$B$2)</f>
        <v>1</v>
      </c>
      <c r="J66" t="str">
        <f>"P_"&amp;B66&amp;","&amp;D66</f>
        <v>P_65,157</v>
      </c>
      <c r="K66" t="str">
        <f>B66&amp;"p+"&amp;C66&amp;"n+"&amp;B66&amp;"e"</f>
        <v>65p+92n+65e</v>
      </c>
      <c r="L66">
        <f>2*B66+C66</f>
        <v>222</v>
      </c>
      <c r="M66">
        <f>B66+2*C66</f>
        <v>249</v>
      </c>
      <c r="N66">
        <f>B66</f>
        <v>65</v>
      </c>
      <c r="O66" t="str">
        <f>L66&amp;"u+"&amp;M66&amp;"d+"&amp;N66&amp;"e"</f>
        <v>222u+249d+65e</v>
      </c>
      <c r="P66">
        <f>COUNTIF(Shells!$E$2:$E$9,"&lt;"&amp;B66)+1</f>
        <v>5</v>
      </c>
      <c r="Q66">
        <f>INDEX(Shells!$C$2:$C$9,P66)</f>
        <v>32</v>
      </c>
      <c r="R66">
        <f>B66-IF(P66=1,0,INDEX(Shells!$E$2:$E$9,P66-1))</f>
        <v>5</v>
      </c>
      <c r="S66" t="str">
        <f>IF(R66=Q66,"CLOSED_SHELL","OPEN_SHELL")</f>
        <v>OPEN_SHELL</v>
      </c>
      <c r="T66" t="str">
        <f>IF(B66&gt;=Constants!$B$8,"CONSTANT_FRONTIER_TAIL_CANDIDATE",IF(I66=0,"CONSTANT_STABLE_ANCHOR_LANE",IF(I66=Constants!$B$2/2,"CONSTANT_HALF_WRITE_LANE","CONSTANT_BOUND_LADDER_LANE")))</f>
        <v>CONSTANT_BOUND_LADDER_LANE</v>
      </c>
      <c r="U66" t="str">
        <f>IF(B66&gt;=Constants!$B$8,"frontier",IF(AND(B66&lt;=Constants!$B$14,B66&lt;&gt;Constants!$B$15,B66&lt;&gt;Constants!$B$16),"stable","radioactive"))</f>
        <v>stable</v>
      </c>
      <c r="V66">
        <f>Constants!$B$9</f>
        <v>9.266927083333333</v>
      </c>
      <c r="W66">
        <f>B66*Constants!$B$9+(C66-B66)*Constants!$B$10</f>
        <v>602.772135416666667</v>
      </c>
      <c r="X66">
        <f>W66*Constants!$B$5</f>
        <v>4822.177083333333333</v>
      </c>
      <c r="Y66">
        <f>W66*7</f>
        <v>4219.404947916666667</v>
      </c>
      <c r="Z66" t="str">
        <f>"shell "&amp;P66&amp;" occupancy "&amp;R66&amp;"/"&amp;Q66</f>
        <v>shell 5 occupancy 5/32</v>
      </c>
      <c r="AA66" t="str">
        <f>"closure"</f>
        <v>closure</v>
      </c>
      <c r="AB66" t="str">
        <f>"A=Z+N="&amp;B66&amp;"+"&amp;C66&amp;"="&amp;D66</f>
        <v>157</v>
      </c>
      <c r="AC66" t="str">
        <f>"SAM_CONSTANTS_ONLY_NO_FREE_INPUTS"</f>
        <v>SAM_CONSTANTS_ONLY_NO_FREE_INPUTS</v>
      </c>
    </row>
    <row r="67">
      <c r="A67" t="str">
        <f>"SOB"&amp;B67</f>
        <v>SOB66</v>
      </c>
      <c r="B67">
        <f>ROW()-1</f>
        <v>66</v>
      </c>
      <c r="C67">
        <f>B67+H67</f>
        <v>93</v>
      </c>
      <c r="D67">
        <f>B67+C67</f>
        <v>159</v>
      </c>
      <c r="E67">
        <f>INT((B67-1)/Constants!$B$2)+1</f>
        <v>6</v>
      </c>
      <c r="F67">
        <f>MOD(B67-1,Constants!$B$2)+1</f>
        <v>6</v>
      </c>
      <c r="G67">
        <f>MAX(0,E67-1)</f>
        <v>5</v>
      </c>
      <c r="H67">
        <f>INT(B67*G67/Constants!$B$2)</f>
        <v>27</v>
      </c>
      <c r="I67">
        <f>MOD(B67*G67,Constants!$B$2)</f>
        <v>6</v>
      </c>
      <c r="J67" t="str">
        <f>"P_"&amp;B67&amp;","&amp;D67</f>
        <v>P_66,159</v>
      </c>
      <c r="K67" t="str">
        <f>B67&amp;"p+"&amp;C67&amp;"n+"&amp;B67&amp;"e"</f>
        <v>66p+93n+66e</v>
      </c>
      <c r="L67">
        <f>2*B67+C67</f>
        <v>225</v>
      </c>
      <c r="M67">
        <f>B67+2*C67</f>
        <v>252</v>
      </c>
      <c r="N67">
        <f>B67</f>
        <v>66</v>
      </c>
      <c r="O67" t="str">
        <f>L67&amp;"u+"&amp;M67&amp;"d+"&amp;N67&amp;"e"</f>
        <v>225u+252d+66e</v>
      </c>
      <c r="P67">
        <f>COUNTIF(Shells!$E$2:$E$9,"&lt;"&amp;B67)+1</f>
        <v>5</v>
      </c>
      <c r="Q67">
        <f>INDEX(Shells!$C$2:$C$9,P67)</f>
        <v>32</v>
      </c>
      <c r="R67">
        <f>B67-IF(P67=1,0,INDEX(Shells!$E$2:$E$9,P67-1))</f>
        <v>6</v>
      </c>
      <c r="S67" t="str">
        <f>IF(R67=Q67,"CLOSED_SHELL","OPEN_SHELL")</f>
        <v>OPEN_SHELL</v>
      </c>
      <c r="T67" t="str">
        <f>IF(B67&gt;=Constants!$B$8,"CONSTANT_FRONTIER_TAIL_CANDIDATE",IF(I67=0,"CONSTANT_STABLE_ANCHOR_LANE",IF(I67=Constants!$B$2/2,"CONSTANT_HALF_WRITE_LANE","CONSTANT_BOUND_LADDER_LANE")))</f>
        <v>CONSTANT_HALF_WRITE_LANE</v>
      </c>
      <c r="U67" t="str">
        <f>IF(B67&gt;=Constants!$B$8,"frontier",IF(AND(B67&lt;=Constants!$B$14,B67&lt;&gt;Constants!$B$15,B67&lt;&gt;Constants!$B$16),"stable","radioactive"))</f>
        <v>stable</v>
      </c>
      <c r="V67">
        <f>Constants!$B$9</f>
        <v>9.266927083333333</v>
      </c>
      <c r="W67">
        <f>B67*Constants!$B$9+(C67-B67)*Constants!$B$10</f>
        <v>612.0390625</v>
      </c>
      <c r="X67">
        <f>W67*Constants!$B$5</f>
        <v>4896.3125</v>
      </c>
      <c r="Y67">
        <f>W67*7</f>
        <v>4284.2734375</v>
      </c>
      <c r="Z67" t="str">
        <f>"shell "&amp;P67&amp;" occupancy "&amp;R67&amp;"/"&amp;Q67</f>
        <v>shell 5 occupancy 6/32</v>
      </c>
      <c r="AA67" t="str">
        <f>"closure"</f>
        <v>closure</v>
      </c>
      <c r="AB67" t="str">
        <f>"A=Z+N="&amp;B67&amp;"+"&amp;C67&amp;"="&amp;D67</f>
        <v>159</v>
      </c>
      <c r="AC67" t="str">
        <f>"SAM_CONSTANTS_ONLY_NO_FREE_INPUTS"</f>
        <v>SAM_CONSTANTS_ONLY_NO_FREE_INPUTS</v>
      </c>
    </row>
    <row r="68">
      <c r="A68" t="str">
        <f>"SOB"&amp;B68</f>
        <v>SOB67</v>
      </c>
      <c r="B68">
        <f>ROW()-1</f>
        <v>67</v>
      </c>
      <c r="C68">
        <f>B68+H68</f>
        <v>94</v>
      </c>
      <c r="D68">
        <f>B68+C68</f>
        <v>161</v>
      </c>
      <c r="E68">
        <f>INT((B68-1)/Constants!$B$2)+1</f>
        <v>6</v>
      </c>
      <c r="F68">
        <f>MOD(B68-1,Constants!$B$2)+1</f>
        <v>7</v>
      </c>
      <c r="G68">
        <f>MAX(0,E68-1)</f>
        <v>5</v>
      </c>
      <c r="H68">
        <f>INT(B68*G68/Constants!$B$2)</f>
        <v>27</v>
      </c>
      <c r="I68">
        <f>MOD(B68*G68,Constants!$B$2)</f>
        <v>11</v>
      </c>
      <c r="J68" t="str">
        <f>"P_"&amp;B68&amp;","&amp;D68</f>
        <v>P_67,161</v>
      </c>
      <c r="K68" t="str">
        <f>B68&amp;"p+"&amp;C68&amp;"n+"&amp;B68&amp;"e"</f>
        <v>67p+94n+67e</v>
      </c>
      <c r="L68">
        <f>2*B68+C68</f>
        <v>228</v>
      </c>
      <c r="M68">
        <f>B68+2*C68</f>
        <v>255</v>
      </c>
      <c r="N68">
        <f>B68</f>
        <v>67</v>
      </c>
      <c r="O68" t="str">
        <f>L68&amp;"u+"&amp;M68&amp;"d+"&amp;N68&amp;"e"</f>
        <v>228u+255d+67e</v>
      </c>
      <c r="P68">
        <f>COUNTIF(Shells!$E$2:$E$9,"&lt;"&amp;B68)+1</f>
        <v>5</v>
      </c>
      <c r="Q68">
        <f>INDEX(Shells!$C$2:$C$9,P68)</f>
        <v>32</v>
      </c>
      <c r="R68">
        <f>B68-IF(P68=1,0,INDEX(Shells!$E$2:$E$9,P68-1))</f>
        <v>7</v>
      </c>
      <c r="S68" t="str">
        <f>IF(R68=Q68,"CLOSED_SHELL","OPEN_SHELL")</f>
        <v>OPEN_SHELL</v>
      </c>
      <c r="T68" t="str">
        <f>IF(B68&gt;=Constants!$B$8,"CONSTANT_FRONTIER_TAIL_CANDIDATE",IF(I68=0,"CONSTANT_STABLE_ANCHOR_LANE",IF(I68=Constants!$B$2/2,"CONSTANT_HALF_WRITE_LANE","CONSTANT_BOUND_LADDER_LANE")))</f>
        <v>CONSTANT_BOUND_LADDER_LANE</v>
      </c>
      <c r="U68" t="str">
        <f>IF(B68&gt;=Constants!$B$8,"frontier",IF(AND(B68&lt;=Constants!$B$14,B68&lt;&gt;Constants!$B$15,B68&lt;&gt;Constants!$B$16),"stable","radioactive"))</f>
        <v>stable</v>
      </c>
      <c r="V68">
        <f>Constants!$B$9</f>
        <v>9.266927083333333</v>
      </c>
      <c r="W68">
        <f>B68*Constants!$B$9+(C68-B68)*Constants!$B$10</f>
        <v>621.305989583333333</v>
      </c>
      <c r="X68">
        <f>W68*Constants!$B$5</f>
        <v>4970.447916666666667</v>
      </c>
      <c r="Y68">
        <f>W68*7</f>
        <v>4349.141927083333333</v>
      </c>
      <c r="Z68" t="str">
        <f>"shell "&amp;P68&amp;" occupancy "&amp;R68&amp;"/"&amp;Q68</f>
        <v>shell 5 occupancy 7/32</v>
      </c>
      <c r="AA68" t="str">
        <f>"closure"</f>
        <v>closure</v>
      </c>
      <c r="AB68" t="str">
        <f>"A=Z+N="&amp;B68&amp;"+"&amp;C68&amp;"="&amp;D68</f>
        <v>161</v>
      </c>
      <c r="AC68" t="str">
        <f>"SAM_CONSTANTS_ONLY_NO_FREE_INPUTS"</f>
        <v>SAM_CONSTANTS_ONLY_NO_FREE_INPUTS</v>
      </c>
    </row>
    <row r="69">
      <c r="A69" t="str">
        <f>"SOB"&amp;B69</f>
        <v>SOB68</v>
      </c>
      <c r="B69">
        <f>ROW()-1</f>
        <v>68</v>
      </c>
      <c r="C69">
        <f>B69+H69</f>
        <v>96</v>
      </c>
      <c r="D69">
        <f>B69+C69</f>
        <v>164</v>
      </c>
      <c r="E69">
        <f>INT((B69-1)/Constants!$B$2)+1</f>
        <v>6</v>
      </c>
      <c r="F69">
        <f>MOD(B69-1,Constants!$B$2)+1</f>
        <v>8</v>
      </c>
      <c r="G69">
        <f>MAX(0,E69-1)</f>
        <v>5</v>
      </c>
      <c r="H69">
        <f>INT(B69*G69/Constants!$B$2)</f>
        <v>28</v>
      </c>
      <c r="I69">
        <f>MOD(B69*G69,Constants!$B$2)</f>
        <v>4</v>
      </c>
      <c r="J69" t="str">
        <f>"P_"&amp;B69&amp;","&amp;D69</f>
        <v>P_68,164</v>
      </c>
      <c r="K69" t="str">
        <f>B69&amp;"p+"&amp;C69&amp;"n+"&amp;B69&amp;"e"</f>
        <v>68p+96n+68e</v>
      </c>
      <c r="L69">
        <f>2*B69+C69</f>
        <v>232</v>
      </c>
      <c r="M69">
        <f>B69+2*C69</f>
        <v>260</v>
      </c>
      <c r="N69">
        <f>B69</f>
        <v>68</v>
      </c>
      <c r="O69" t="str">
        <f>L69&amp;"u+"&amp;M69&amp;"d+"&amp;N69&amp;"e"</f>
        <v>232u+260d+68e</v>
      </c>
      <c r="P69">
        <f>COUNTIF(Shells!$E$2:$E$9,"&lt;"&amp;B69)+1</f>
        <v>5</v>
      </c>
      <c r="Q69">
        <f>INDEX(Shells!$C$2:$C$9,P69)</f>
        <v>32</v>
      </c>
      <c r="R69">
        <f>B69-IF(P69=1,0,INDEX(Shells!$E$2:$E$9,P69-1))</f>
        <v>8</v>
      </c>
      <c r="S69" t="str">
        <f>IF(R69=Q69,"CLOSED_SHELL","OPEN_SHELL")</f>
        <v>OPEN_SHELL</v>
      </c>
      <c r="T69" t="str">
        <f>IF(B69&gt;=Constants!$B$8,"CONSTANT_FRONTIER_TAIL_CANDIDATE",IF(I69=0,"CONSTANT_STABLE_ANCHOR_LANE",IF(I69=Constants!$B$2/2,"CONSTANT_HALF_WRITE_LANE","CONSTANT_BOUND_LADDER_LANE")))</f>
        <v>CONSTANT_BOUND_LADDER_LANE</v>
      </c>
      <c r="U69" t="str">
        <f>IF(B69&gt;=Constants!$B$8,"frontier",IF(AND(B69&lt;=Constants!$B$14,B69&lt;&gt;Constants!$B$15,B69&lt;&gt;Constants!$B$16),"stable","radioactive"))</f>
        <v>stable</v>
      </c>
      <c r="V69">
        <f>Constants!$B$9</f>
        <v>9.266927083333333</v>
      </c>
      <c r="W69">
        <f>B69*Constants!$B$9+(C69-B69)*Constants!$B$10</f>
        <v>630.588541666666667</v>
      </c>
      <c r="X69">
        <f>W69*Constants!$B$5</f>
        <v>5044.708333333333333</v>
      </c>
      <c r="Y69">
        <f>W69*7</f>
        <v>4414.119791666666667</v>
      </c>
      <c r="Z69" t="str">
        <f>"shell "&amp;P69&amp;" occupancy "&amp;R69&amp;"/"&amp;Q69</f>
        <v>shell 5 occupancy 8/32</v>
      </c>
      <c r="AA69" t="str">
        <f>"closure"</f>
        <v>closure</v>
      </c>
      <c r="AB69" t="str">
        <f>"A=Z+N="&amp;B69&amp;"+"&amp;C69&amp;"="&amp;D69</f>
        <v>164</v>
      </c>
      <c r="AC69" t="str">
        <f>"SAM_CONSTANTS_ONLY_NO_FREE_INPUTS"</f>
        <v>SAM_CONSTANTS_ONLY_NO_FREE_INPUTS</v>
      </c>
    </row>
    <row r="70">
      <c r="A70" t="str">
        <f>"SOB"&amp;B70</f>
        <v>SOB69</v>
      </c>
      <c r="B70">
        <f>ROW()-1</f>
        <v>69</v>
      </c>
      <c r="C70">
        <f>B70+H70</f>
        <v>97</v>
      </c>
      <c r="D70">
        <f>B70+C70</f>
        <v>166</v>
      </c>
      <c r="E70">
        <f>INT((B70-1)/Constants!$B$2)+1</f>
        <v>6</v>
      </c>
      <c r="F70">
        <f>MOD(B70-1,Constants!$B$2)+1</f>
        <v>9</v>
      </c>
      <c r="G70">
        <f>MAX(0,E70-1)</f>
        <v>5</v>
      </c>
      <c r="H70">
        <f>INT(B70*G70/Constants!$B$2)</f>
        <v>28</v>
      </c>
      <c r="I70">
        <f>MOD(B70*G70,Constants!$B$2)</f>
        <v>9</v>
      </c>
      <c r="J70" t="str">
        <f>"P_"&amp;B70&amp;","&amp;D70</f>
        <v>P_69,166</v>
      </c>
      <c r="K70" t="str">
        <f>B70&amp;"p+"&amp;C70&amp;"n+"&amp;B70&amp;"e"</f>
        <v>69p+97n+69e</v>
      </c>
      <c r="L70">
        <f>2*B70+C70</f>
        <v>235</v>
      </c>
      <c r="M70">
        <f>B70+2*C70</f>
        <v>263</v>
      </c>
      <c r="N70">
        <f>B70</f>
        <v>69</v>
      </c>
      <c r="O70" t="str">
        <f>L70&amp;"u+"&amp;M70&amp;"d+"&amp;N70&amp;"e"</f>
        <v>235u+263d+69e</v>
      </c>
      <c r="P70">
        <f>COUNTIF(Shells!$E$2:$E$9,"&lt;"&amp;B70)+1</f>
        <v>5</v>
      </c>
      <c r="Q70">
        <f>INDEX(Shells!$C$2:$C$9,P70)</f>
        <v>32</v>
      </c>
      <c r="R70">
        <f>B70-IF(P70=1,0,INDEX(Shells!$E$2:$E$9,P70-1))</f>
        <v>9</v>
      </c>
      <c r="S70" t="str">
        <f>IF(R70=Q70,"CLOSED_SHELL","OPEN_SHELL")</f>
        <v>OPEN_SHELL</v>
      </c>
      <c r="T70" t="str">
        <f>IF(B70&gt;=Constants!$B$8,"CONSTANT_FRONTIER_TAIL_CANDIDATE",IF(I70=0,"CONSTANT_STABLE_ANCHOR_LANE",IF(I70=Constants!$B$2/2,"CONSTANT_HALF_WRITE_LANE","CONSTANT_BOUND_LADDER_LANE")))</f>
        <v>CONSTANT_BOUND_LADDER_LANE</v>
      </c>
      <c r="U70" t="str">
        <f>IF(B70&gt;=Constants!$B$8,"frontier",IF(AND(B70&lt;=Constants!$B$14,B70&lt;&gt;Constants!$B$15,B70&lt;&gt;Constants!$B$16),"stable","radioactive"))</f>
        <v>stable</v>
      </c>
      <c r="V70">
        <f>Constants!$B$9</f>
        <v>9.266927083333333</v>
      </c>
      <c r="W70">
        <f>B70*Constants!$B$9+(C70-B70)*Constants!$B$10</f>
        <v>639.85546875</v>
      </c>
      <c r="X70">
        <f>W70*Constants!$B$5</f>
        <v>5118.84375</v>
      </c>
      <c r="Y70">
        <f>W70*7</f>
        <v>4478.98828125</v>
      </c>
      <c r="Z70" t="str">
        <f>"shell "&amp;P70&amp;" occupancy "&amp;R70&amp;"/"&amp;Q70</f>
        <v>shell 5 occupancy 9/32</v>
      </c>
      <c r="AA70" t="str">
        <f>"closure"</f>
        <v>closure</v>
      </c>
      <c r="AB70" t="str">
        <f>"A=Z+N="&amp;B70&amp;"+"&amp;C70&amp;"="&amp;D70</f>
        <v>166</v>
      </c>
      <c r="AC70" t="str">
        <f>"SAM_CONSTANTS_ONLY_NO_FREE_INPUTS"</f>
        <v>SAM_CONSTANTS_ONLY_NO_FREE_INPUTS</v>
      </c>
    </row>
    <row r="71">
      <c r="A71" t="str">
        <f>"SOB"&amp;B71</f>
        <v>SOB70</v>
      </c>
      <c r="B71">
        <f>ROW()-1</f>
        <v>70</v>
      </c>
      <c r="C71">
        <f>B71+H71</f>
        <v>99</v>
      </c>
      <c r="D71">
        <f>B71+C71</f>
        <v>169</v>
      </c>
      <c r="E71">
        <f>INT((B71-1)/Constants!$B$2)+1</f>
        <v>6</v>
      </c>
      <c r="F71">
        <f>MOD(B71-1,Constants!$B$2)+1</f>
        <v>10</v>
      </c>
      <c r="G71">
        <f>MAX(0,E71-1)</f>
        <v>5</v>
      </c>
      <c r="H71">
        <f>INT(B71*G71/Constants!$B$2)</f>
        <v>29</v>
      </c>
      <c r="I71">
        <f>MOD(B71*G71,Constants!$B$2)</f>
        <v>2</v>
      </c>
      <c r="J71" t="str">
        <f>"P_"&amp;B71&amp;","&amp;D71</f>
        <v>P_70,169</v>
      </c>
      <c r="K71" t="str">
        <f>B71&amp;"p+"&amp;C71&amp;"n+"&amp;B71&amp;"e"</f>
        <v>70p+99n+70e</v>
      </c>
      <c r="L71">
        <f>2*B71+C71</f>
        <v>239</v>
      </c>
      <c r="M71">
        <f>B71+2*C71</f>
        <v>268</v>
      </c>
      <c r="N71">
        <f>B71</f>
        <v>70</v>
      </c>
      <c r="O71" t="str">
        <f>L71&amp;"u+"&amp;M71&amp;"d+"&amp;N71&amp;"e"</f>
        <v>239u+268d+70e</v>
      </c>
      <c r="P71">
        <f>COUNTIF(Shells!$E$2:$E$9,"&lt;"&amp;B71)+1</f>
        <v>5</v>
      </c>
      <c r="Q71">
        <f>INDEX(Shells!$C$2:$C$9,P71)</f>
        <v>32</v>
      </c>
      <c r="R71">
        <f>B71-IF(P71=1,0,INDEX(Shells!$E$2:$E$9,P71-1))</f>
        <v>10</v>
      </c>
      <c r="S71" t="str">
        <f>IF(R71=Q71,"CLOSED_SHELL","OPEN_SHELL")</f>
        <v>OPEN_SHELL</v>
      </c>
      <c r="T71" t="str">
        <f>IF(B71&gt;=Constants!$B$8,"CONSTANT_FRONTIER_TAIL_CANDIDATE",IF(I71=0,"CONSTANT_STABLE_ANCHOR_LANE",IF(I71=Constants!$B$2/2,"CONSTANT_HALF_WRITE_LANE","CONSTANT_BOUND_LADDER_LANE")))</f>
        <v>CONSTANT_BOUND_LADDER_LANE</v>
      </c>
      <c r="U71" t="str">
        <f>IF(B71&gt;=Constants!$B$8,"frontier",IF(AND(B71&lt;=Constants!$B$14,B71&lt;&gt;Constants!$B$15,B71&lt;&gt;Constants!$B$16),"stable","radioactive"))</f>
        <v>stable</v>
      </c>
      <c r="V71">
        <f>Constants!$B$9</f>
        <v>9.266927083333333</v>
      </c>
      <c r="W71">
        <f>B71*Constants!$B$9+(C71-B71)*Constants!$B$10</f>
        <v>649.138020833333333</v>
      </c>
      <c r="X71">
        <f>W71*Constants!$B$5</f>
        <v>5193.104166666666667</v>
      </c>
      <c r="Y71">
        <f>W71*7</f>
        <v>4543.966145833333333</v>
      </c>
      <c r="Z71" t="str">
        <f>"shell "&amp;P71&amp;" occupancy "&amp;R71&amp;"/"&amp;Q71</f>
        <v>shell 5 occupancy 10/32</v>
      </c>
      <c r="AA71" t="str">
        <f>"closure"</f>
        <v>closure</v>
      </c>
      <c r="AB71" t="str">
        <f>"A=Z+N="&amp;B71&amp;"+"&amp;C71&amp;"="&amp;D71</f>
        <v>169</v>
      </c>
      <c r="AC71" t="str">
        <f>"SAM_CONSTANTS_ONLY_NO_FREE_INPUTS"</f>
        <v>SAM_CONSTANTS_ONLY_NO_FREE_INPUTS</v>
      </c>
    </row>
    <row r="72">
      <c r="A72" t="str">
        <f>"SOB"&amp;B72</f>
        <v>SOB71</v>
      </c>
      <c r="B72">
        <f>ROW()-1</f>
        <v>71</v>
      </c>
      <c r="C72">
        <f>B72+H72</f>
        <v>100</v>
      </c>
      <c r="D72">
        <f>B72+C72</f>
        <v>171</v>
      </c>
      <c r="E72">
        <f>INT((B72-1)/Constants!$B$2)+1</f>
        <v>6</v>
      </c>
      <c r="F72">
        <f>MOD(B72-1,Constants!$B$2)+1</f>
        <v>11</v>
      </c>
      <c r="G72">
        <f>MAX(0,E72-1)</f>
        <v>5</v>
      </c>
      <c r="H72">
        <f>INT(B72*G72/Constants!$B$2)</f>
        <v>29</v>
      </c>
      <c r="I72">
        <f>MOD(B72*G72,Constants!$B$2)</f>
        <v>7</v>
      </c>
      <c r="J72" t="str">
        <f>"P_"&amp;B72&amp;","&amp;D72</f>
        <v>P_71,171</v>
      </c>
      <c r="K72" t="str">
        <f>B72&amp;"p+"&amp;C72&amp;"n+"&amp;B72&amp;"e"</f>
        <v>71p+100n+71e</v>
      </c>
      <c r="L72">
        <f>2*B72+C72</f>
        <v>242</v>
      </c>
      <c r="M72">
        <f>B72+2*C72</f>
        <v>271</v>
      </c>
      <c r="N72">
        <f>B72</f>
        <v>71</v>
      </c>
      <c r="O72" t="str">
        <f>L72&amp;"u+"&amp;M72&amp;"d+"&amp;N72&amp;"e"</f>
        <v>242u+271d+71e</v>
      </c>
      <c r="P72">
        <f>COUNTIF(Shells!$E$2:$E$9,"&lt;"&amp;B72)+1</f>
        <v>5</v>
      </c>
      <c r="Q72">
        <f>INDEX(Shells!$C$2:$C$9,P72)</f>
        <v>32</v>
      </c>
      <c r="R72">
        <f>B72-IF(P72=1,0,INDEX(Shells!$E$2:$E$9,P72-1))</f>
        <v>11</v>
      </c>
      <c r="S72" t="str">
        <f>IF(R72=Q72,"CLOSED_SHELL","OPEN_SHELL")</f>
        <v>OPEN_SHELL</v>
      </c>
      <c r="T72" t="str">
        <f>IF(B72&gt;=Constants!$B$8,"CONSTANT_FRONTIER_TAIL_CANDIDATE",IF(I72=0,"CONSTANT_STABLE_ANCHOR_LANE",IF(I72=Constants!$B$2/2,"CONSTANT_HALF_WRITE_LANE","CONSTANT_BOUND_LADDER_LANE")))</f>
        <v>CONSTANT_BOUND_LADDER_LANE</v>
      </c>
      <c r="U72" t="str">
        <f>IF(B72&gt;=Constants!$B$8,"frontier",IF(AND(B72&lt;=Constants!$B$14,B72&lt;&gt;Constants!$B$15,B72&lt;&gt;Constants!$B$16),"stable","radioactive"))</f>
        <v>stable</v>
      </c>
      <c r="V72">
        <f>Constants!$B$9</f>
        <v>9.266927083333333</v>
      </c>
      <c r="W72">
        <f>B72*Constants!$B$9+(C72-B72)*Constants!$B$10</f>
        <v>658.404947916666667</v>
      </c>
      <c r="X72">
        <f>W72*Constants!$B$5</f>
        <v>5267.239583333333333</v>
      </c>
      <c r="Y72">
        <f>W72*7</f>
        <v>4608.834635416666667</v>
      </c>
      <c r="Z72" t="str">
        <f>"shell "&amp;P72&amp;" occupancy "&amp;R72&amp;"/"&amp;Q72</f>
        <v>shell 5 occupancy 11/32</v>
      </c>
      <c r="AA72" t="str">
        <f>"closure"</f>
        <v>closure</v>
      </c>
      <c r="AB72" t="str">
        <f>"A=Z+N="&amp;B72&amp;"+"&amp;C72&amp;"="&amp;D72</f>
        <v>171</v>
      </c>
      <c r="AC72" t="str">
        <f>"SAM_CONSTANTS_ONLY_NO_FREE_INPUTS"</f>
        <v>SAM_CONSTANTS_ONLY_NO_FREE_INPUTS</v>
      </c>
    </row>
    <row r="73">
      <c r="A73" t="str">
        <f>"SOB"&amp;B73</f>
        <v>SOB72</v>
      </c>
      <c r="B73">
        <f>ROW()-1</f>
        <v>72</v>
      </c>
      <c r="C73">
        <f>B73+H73</f>
        <v>102</v>
      </c>
      <c r="D73">
        <f>B73+C73</f>
        <v>174</v>
      </c>
      <c r="E73">
        <f>INT((B73-1)/Constants!$B$2)+1</f>
        <v>6</v>
      </c>
      <c r="F73">
        <f>MOD(B73-1,Constants!$B$2)+1</f>
        <v>12</v>
      </c>
      <c r="G73">
        <f>MAX(0,E73-1)</f>
        <v>5</v>
      </c>
      <c r="H73">
        <f>INT(B73*G73/Constants!$B$2)</f>
        <v>30</v>
      </c>
      <c r="I73">
        <f>MOD(B73*G73,Constants!$B$2)</f>
        <v>0</v>
      </c>
      <c r="J73" t="str">
        <f>"P_"&amp;B73&amp;","&amp;D73</f>
        <v>P_72,174</v>
      </c>
      <c r="K73" t="str">
        <f>B73&amp;"p+"&amp;C73&amp;"n+"&amp;B73&amp;"e"</f>
        <v>72p+102n+72e</v>
      </c>
      <c r="L73">
        <f>2*B73+C73</f>
        <v>246</v>
      </c>
      <c r="M73">
        <f>B73+2*C73</f>
        <v>276</v>
      </c>
      <c r="N73">
        <f>B73</f>
        <v>72</v>
      </c>
      <c r="O73" t="str">
        <f>L73&amp;"u+"&amp;M73&amp;"d+"&amp;N73&amp;"e"</f>
        <v>246u+276d+72e</v>
      </c>
      <c r="P73">
        <f>COUNTIF(Shells!$E$2:$E$9,"&lt;"&amp;B73)+1</f>
        <v>5</v>
      </c>
      <c r="Q73">
        <f>INDEX(Shells!$C$2:$C$9,P73)</f>
        <v>32</v>
      </c>
      <c r="R73">
        <f>B73-IF(P73=1,0,INDEX(Shells!$E$2:$E$9,P73-1))</f>
        <v>12</v>
      </c>
      <c r="S73" t="str">
        <f>IF(R73=Q73,"CLOSED_SHELL","OPEN_SHELL")</f>
        <v>OPEN_SHELL</v>
      </c>
      <c r="T73" t="str">
        <f>IF(B73&gt;=Constants!$B$8,"CONSTANT_FRONTIER_TAIL_CANDIDATE",IF(I73=0,"CONSTANT_STABLE_ANCHOR_LANE",IF(I73=Constants!$B$2/2,"CONSTANT_HALF_WRITE_LANE","CONSTANT_BOUND_LADDER_LANE")))</f>
        <v>CONSTANT_STABLE_ANCHOR_LANE</v>
      </c>
      <c r="U73" t="str">
        <f>IF(B73&gt;=Constants!$B$8,"frontier",IF(AND(B73&lt;=Constants!$B$14,B73&lt;&gt;Constants!$B$15,B73&lt;&gt;Constants!$B$16),"stable","radioactive"))</f>
        <v>stable</v>
      </c>
      <c r="V73">
        <f>Constants!$B$9</f>
        <v>9.266927083333333</v>
      </c>
      <c r="W73">
        <f>B73*Constants!$B$9+(C73-B73)*Constants!$B$10</f>
        <v>667.6875</v>
      </c>
      <c r="X73">
        <f>W73*Constants!$B$5</f>
        <v>5341.5</v>
      </c>
      <c r="Y73">
        <f>W73*7</f>
        <v>4673.8125</v>
      </c>
      <c r="Z73" t="str">
        <f>"shell "&amp;P73&amp;" occupancy "&amp;R73&amp;"/"&amp;Q73</f>
        <v>shell 5 occupancy 12/32</v>
      </c>
      <c r="AA73" t="str">
        <f>"closure"</f>
        <v>closure</v>
      </c>
      <c r="AB73" t="str">
        <f>"A=Z+N="&amp;B73&amp;"+"&amp;C73&amp;"="&amp;D73</f>
        <v>174</v>
      </c>
      <c r="AC73" t="str">
        <f>"SAM_CONSTANTS_ONLY_NO_FREE_INPUTS"</f>
        <v>SAM_CONSTANTS_ONLY_NO_FREE_INPUTS</v>
      </c>
    </row>
    <row r="74">
      <c r="A74" t="str">
        <f>"SOB"&amp;B74</f>
        <v>SOB73</v>
      </c>
      <c r="B74">
        <f>ROW()-1</f>
        <v>73</v>
      </c>
      <c r="C74">
        <f>B74+H74</f>
        <v>109</v>
      </c>
      <c r="D74">
        <f>B74+C74</f>
        <v>182</v>
      </c>
      <c r="E74">
        <f>INT((B74-1)/Constants!$B$2)+1</f>
        <v>7</v>
      </c>
      <c r="F74">
        <f>MOD(B74-1,Constants!$B$2)+1</f>
        <v>1</v>
      </c>
      <c r="G74">
        <f>MAX(0,E74-1)</f>
        <v>6</v>
      </c>
      <c r="H74">
        <f>INT(B74*G74/Constants!$B$2)</f>
        <v>36</v>
      </c>
      <c r="I74">
        <f>MOD(B74*G74,Constants!$B$2)</f>
        <v>6</v>
      </c>
      <c r="J74" t="str">
        <f>"P_"&amp;B74&amp;","&amp;D74</f>
        <v>P_73,182</v>
      </c>
      <c r="K74" t="str">
        <f>B74&amp;"p+"&amp;C74&amp;"n+"&amp;B74&amp;"e"</f>
        <v>73p+109n+73e</v>
      </c>
      <c r="L74">
        <f>2*B74+C74</f>
        <v>255</v>
      </c>
      <c r="M74">
        <f>B74+2*C74</f>
        <v>291</v>
      </c>
      <c r="N74">
        <f>B74</f>
        <v>73</v>
      </c>
      <c r="O74" t="str">
        <f>L74&amp;"u+"&amp;M74&amp;"d+"&amp;N74&amp;"e"</f>
        <v>255u+291d+73e</v>
      </c>
      <c r="P74">
        <f>COUNTIF(Shells!$E$2:$E$9,"&lt;"&amp;B74)+1</f>
        <v>5</v>
      </c>
      <c r="Q74">
        <f>INDEX(Shells!$C$2:$C$9,P74)</f>
        <v>32</v>
      </c>
      <c r="R74">
        <f>B74-IF(P74=1,0,INDEX(Shells!$E$2:$E$9,P74-1))</f>
        <v>13</v>
      </c>
      <c r="S74" t="str">
        <f>IF(R74=Q74,"CLOSED_SHELL","OPEN_SHELL")</f>
        <v>OPEN_SHELL</v>
      </c>
      <c r="T74" t="str">
        <f>IF(B74&gt;=Constants!$B$8,"CONSTANT_FRONTIER_TAIL_CANDIDATE",IF(I74=0,"CONSTANT_STABLE_ANCHOR_LANE",IF(I74=Constants!$B$2/2,"CONSTANT_HALF_WRITE_LANE","CONSTANT_BOUND_LADDER_LANE")))</f>
        <v>CONSTANT_HALF_WRITE_LANE</v>
      </c>
      <c r="U74" t="str">
        <f>IF(B74&gt;=Constants!$B$8,"frontier",IF(AND(B74&lt;=Constants!$B$14,B74&lt;&gt;Constants!$B$15,B74&lt;&gt;Constants!$B$16),"stable","radioactive"))</f>
        <v>stable</v>
      </c>
      <c r="V74">
        <f>Constants!$B$9</f>
        <v>9.266927083333333</v>
      </c>
      <c r="W74">
        <f>B74*Constants!$B$9+(C74-B74)*Constants!$B$10</f>
        <v>677.048177083333333</v>
      </c>
      <c r="X74">
        <f>W74*Constants!$B$5</f>
        <v>5416.385416666666667</v>
      </c>
      <c r="Y74">
        <f>W74*7</f>
        <v>4739.337239583333333</v>
      </c>
      <c r="Z74" t="str">
        <f>"shell "&amp;P74&amp;" occupancy "&amp;R74&amp;"/"&amp;Q74</f>
        <v>shell 5 occupancy 13/32</v>
      </c>
      <c r="AA74" t="str">
        <f>"closure"</f>
        <v>closure</v>
      </c>
      <c r="AB74" t="str">
        <f>"A=Z+N="&amp;B74&amp;"+"&amp;C74&amp;"="&amp;D74</f>
        <v>182</v>
      </c>
      <c r="AC74" t="str">
        <f>"SAM_CONSTANTS_ONLY_NO_FREE_INPUTS"</f>
        <v>SAM_CONSTANTS_ONLY_NO_FREE_INPUTS</v>
      </c>
    </row>
    <row r="75">
      <c r="A75" t="str">
        <f>"SOB"&amp;B75</f>
        <v>SOB74</v>
      </c>
      <c r="B75">
        <f>ROW()-1</f>
        <v>74</v>
      </c>
      <c r="C75">
        <f>B75+H75</f>
        <v>111</v>
      </c>
      <c r="D75">
        <f>B75+C75</f>
        <v>185</v>
      </c>
      <c r="E75">
        <f>INT((B75-1)/Constants!$B$2)+1</f>
        <v>7</v>
      </c>
      <c r="F75">
        <f>MOD(B75-1,Constants!$B$2)+1</f>
        <v>2</v>
      </c>
      <c r="G75">
        <f>MAX(0,E75-1)</f>
        <v>6</v>
      </c>
      <c r="H75">
        <f>INT(B75*G75/Constants!$B$2)</f>
        <v>37</v>
      </c>
      <c r="I75">
        <f>MOD(B75*G75,Constants!$B$2)</f>
        <v>0</v>
      </c>
      <c r="J75" t="str">
        <f>"P_"&amp;B75&amp;","&amp;D75</f>
        <v>P_74,185</v>
      </c>
      <c r="K75" t="str">
        <f>B75&amp;"p+"&amp;C75&amp;"n+"&amp;B75&amp;"e"</f>
        <v>74p+111n+74e</v>
      </c>
      <c r="L75">
        <f>2*B75+C75</f>
        <v>259</v>
      </c>
      <c r="M75">
        <f>B75+2*C75</f>
        <v>296</v>
      </c>
      <c r="N75">
        <f>B75</f>
        <v>74</v>
      </c>
      <c r="O75" t="str">
        <f>L75&amp;"u+"&amp;M75&amp;"d+"&amp;N75&amp;"e"</f>
        <v>259u+296d+74e</v>
      </c>
      <c r="P75">
        <f>COUNTIF(Shells!$E$2:$E$9,"&lt;"&amp;B75)+1</f>
        <v>5</v>
      </c>
      <c r="Q75">
        <f>INDEX(Shells!$C$2:$C$9,P75)</f>
        <v>32</v>
      </c>
      <c r="R75">
        <f>B75-IF(P75=1,0,INDEX(Shells!$E$2:$E$9,P75-1))</f>
        <v>14</v>
      </c>
      <c r="S75" t="str">
        <f>IF(R75=Q75,"CLOSED_SHELL","OPEN_SHELL")</f>
        <v>OPEN_SHELL</v>
      </c>
      <c r="T75" t="str">
        <f>IF(B75&gt;=Constants!$B$8,"CONSTANT_FRONTIER_TAIL_CANDIDATE",IF(I75=0,"CONSTANT_STABLE_ANCHOR_LANE",IF(I75=Constants!$B$2/2,"CONSTANT_HALF_WRITE_LANE","CONSTANT_BOUND_LADDER_LANE")))</f>
        <v>CONSTANT_STABLE_ANCHOR_LANE</v>
      </c>
      <c r="U75" t="str">
        <f>IF(B75&gt;=Constants!$B$8,"frontier",IF(AND(B75&lt;=Constants!$B$14,B75&lt;&gt;Constants!$B$15,B75&lt;&gt;Constants!$B$16),"stable","radioactive"))</f>
        <v>stable</v>
      </c>
      <c r="V75">
        <f>Constants!$B$9</f>
        <v>9.266927083333333</v>
      </c>
      <c r="W75">
        <f>B75*Constants!$B$9+(C75-B75)*Constants!$B$10</f>
        <v>686.330729166666667</v>
      </c>
      <c r="X75">
        <f>W75*Constants!$B$5</f>
        <v>5490.645833333333333</v>
      </c>
      <c r="Y75">
        <f>W75*7</f>
        <v>4804.315104166666667</v>
      </c>
      <c r="Z75" t="str">
        <f>"shell "&amp;P75&amp;" occupancy "&amp;R75&amp;"/"&amp;Q75</f>
        <v>shell 5 occupancy 14/32</v>
      </c>
      <c r="AA75" t="str">
        <f>"closure"</f>
        <v>closure</v>
      </c>
      <c r="AB75" t="str">
        <f>"A=Z+N="&amp;B75&amp;"+"&amp;C75&amp;"="&amp;D75</f>
        <v>185</v>
      </c>
      <c r="AC75" t="str">
        <f>"SAM_CONSTANTS_ONLY_NO_FREE_INPUTS"</f>
        <v>SAM_CONSTANTS_ONLY_NO_FREE_INPUTS</v>
      </c>
    </row>
    <row r="76">
      <c r="A76" t="str">
        <f>"SOB"&amp;B76</f>
        <v>SOB75</v>
      </c>
      <c r="B76">
        <f>ROW()-1</f>
        <v>75</v>
      </c>
      <c r="C76">
        <f>B76+H76</f>
        <v>112</v>
      </c>
      <c r="D76">
        <f>B76+C76</f>
        <v>187</v>
      </c>
      <c r="E76">
        <f>INT((B76-1)/Constants!$B$2)+1</f>
        <v>7</v>
      </c>
      <c r="F76">
        <f>MOD(B76-1,Constants!$B$2)+1</f>
        <v>3</v>
      </c>
      <c r="G76">
        <f>MAX(0,E76-1)</f>
        <v>6</v>
      </c>
      <c r="H76">
        <f>INT(B76*G76/Constants!$B$2)</f>
        <v>37</v>
      </c>
      <c r="I76">
        <f>MOD(B76*G76,Constants!$B$2)</f>
        <v>6</v>
      </c>
      <c r="J76" t="str">
        <f>"P_"&amp;B76&amp;","&amp;D76</f>
        <v>P_75,187</v>
      </c>
      <c r="K76" t="str">
        <f>B76&amp;"p+"&amp;C76&amp;"n+"&amp;B76&amp;"e"</f>
        <v>75p+112n+75e</v>
      </c>
      <c r="L76">
        <f>2*B76+C76</f>
        <v>262</v>
      </c>
      <c r="M76">
        <f>B76+2*C76</f>
        <v>299</v>
      </c>
      <c r="N76">
        <f>B76</f>
        <v>75</v>
      </c>
      <c r="O76" t="str">
        <f>L76&amp;"u+"&amp;M76&amp;"d+"&amp;N76&amp;"e"</f>
        <v>262u+299d+75e</v>
      </c>
      <c r="P76">
        <f>COUNTIF(Shells!$E$2:$E$9,"&lt;"&amp;B76)+1</f>
        <v>5</v>
      </c>
      <c r="Q76">
        <f>INDEX(Shells!$C$2:$C$9,P76)</f>
        <v>32</v>
      </c>
      <c r="R76">
        <f>B76-IF(P76=1,0,INDEX(Shells!$E$2:$E$9,P76-1))</f>
        <v>15</v>
      </c>
      <c r="S76" t="str">
        <f>IF(R76=Q76,"CLOSED_SHELL","OPEN_SHELL")</f>
        <v>OPEN_SHELL</v>
      </c>
      <c r="T76" t="str">
        <f>IF(B76&gt;=Constants!$B$8,"CONSTANT_FRONTIER_TAIL_CANDIDATE",IF(I76=0,"CONSTANT_STABLE_ANCHOR_LANE",IF(I76=Constants!$B$2/2,"CONSTANT_HALF_WRITE_LANE","CONSTANT_BOUND_LADDER_LANE")))</f>
        <v>CONSTANT_HALF_WRITE_LANE</v>
      </c>
      <c r="U76" t="str">
        <f>IF(B76&gt;=Constants!$B$8,"frontier",IF(AND(B76&lt;=Constants!$B$14,B76&lt;&gt;Constants!$B$15,B76&lt;&gt;Constants!$B$16),"stable","radioactive"))</f>
        <v>stable</v>
      </c>
      <c r="V76">
        <f>Constants!$B$9</f>
        <v>9.266927083333333</v>
      </c>
      <c r="W76">
        <f>B76*Constants!$B$9+(C76-B76)*Constants!$B$10</f>
        <v>695.59765625</v>
      </c>
      <c r="X76">
        <f>W76*Constants!$B$5</f>
        <v>5564.78125</v>
      </c>
      <c r="Y76">
        <f>W76*7</f>
        <v>4869.18359375</v>
      </c>
      <c r="Z76" t="str">
        <f>"shell "&amp;P76&amp;" occupancy "&amp;R76&amp;"/"&amp;Q76</f>
        <v>shell 5 occupancy 15/32</v>
      </c>
      <c r="AA76" t="str">
        <f>"closure"</f>
        <v>closure</v>
      </c>
      <c r="AB76" t="str">
        <f>"A=Z+N="&amp;B76&amp;"+"&amp;C76&amp;"="&amp;D76</f>
        <v>187</v>
      </c>
      <c r="AC76" t="str">
        <f>"SAM_CONSTANTS_ONLY_NO_FREE_INPUTS"</f>
        <v>SAM_CONSTANTS_ONLY_NO_FREE_INPUTS</v>
      </c>
    </row>
    <row r="77">
      <c r="A77" t="str">
        <f>"SOB"&amp;B77</f>
        <v>SOB76</v>
      </c>
      <c r="B77">
        <f>ROW()-1</f>
        <v>76</v>
      </c>
      <c r="C77">
        <f>B77+H77</f>
        <v>114</v>
      </c>
      <c r="D77">
        <f>B77+C77</f>
        <v>190</v>
      </c>
      <c r="E77">
        <f>INT((B77-1)/Constants!$B$2)+1</f>
        <v>7</v>
      </c>
      <c r="F77">
        <f>MOD(B77-1,Constants!$B$2)+1</f>
        <v>4</v>
      </c>
      <c r="G77">
        <f>MAX(0,E77-1)</f>
        <v>6</v>
      </c>
      <c r="H77">
        <f>INT(B77*G77/Constants!$B$2)</f>
        <v>38</v>
      </c>
      <c r="I77">
        <f>MOD(B77*G77,Constants!$B$2)</f>
        <v>0</v>
      </c>
      <c r="J77" t="str">
        <f>"P_"&amp;B77&amp;","&amp;D77</f>
        <v>P_76,190</v>
      </c>
      <c r="K77" t="str">
        <f>B77&amp;"p+"&amp;C77&amp;"n+"&amp;B77&amp;"e"</f>
        <v>76p+114n+76e</v>
      </c>
      <c r="L77">
        <f>2*B77+C77</f>
        <v>266</v>
      </c>
      <c r="M77">
        <f>B77+2*C77</f>
        <v>304</v>
      </c>
      <c r="N77">
        <f>B77</f>
        <v>76</v>
      </c>
      <c r="O77" t="str">
        <f>L77&amp;"u+"&amp;M77&amp;"d+"&amp;N77&amp;"e"</f>
        <v>266u+304d+76e</v>
      </c>
      <c r="P77">
        <f>COUNTIF(Shells!$E$2:$E$9,"&lt;"&amp;B77)+1</f>
        <v>5</v>
      </c>
      <c r="Q77">
        <f>INDEX(Shells!$C$2:$C$9,P77)</f>
        <v>32</v>
      </c>
      <c r="R77">
        <f>B77-IF(P77=1,0,INDEX(Shells!$E$2:$E$9,P77-1))</f>
        <v>16</v>
      </c>
      <c r="S77" t="str">
        <f>IF(R77=Q77,"CLOSED_SHELL","OPEN_SHELL")</f>
        <v>OPEN_SHELL</v>
      </c>
      <c r="T77" t="str">
        <f>IF(B77&gt;=Constants!$B$8,"CONSTANT_FRONTIER_TAIL_CANDIDATE",IF(I77=0,"CONSTANT_STABLE_ANCHOR_LANE",IF(I77=Constants!$B$2/2,"CONSTANT_HALF_WRITE_LANE","CONSTANT_BOUND_LADDER_LANE")))</f>
        <v>CONSTANT_STABLE_ANCHOR_LANE</v>
      </c>
      <c r="U77" t="str">
        <f>IF(B77&gt;=Constants!$B$8,"frontier",IF(AND(B77&lt;=Constants!$B$14,B77&lt;&gt;Constants!$B$15,B77&lt;&gt;Constants!$B$16),"stable","radioactive"))</f>
        <v>stable</v>
      </c>
      <c r="V77">
        <f>Constants!$B$9</f>
        <v>9.266927083333333</v>
      </c>
      <c r="W77">
        <f>B77*Constants!$B$9+(C77-B77)*Constants!$B$10</f>
        <v>704.880208333333333</v>
      </c>
      <c r="X77">
        <f>W77*Constants!$B$5</f>
        <v>5639.041666666666667</v>
      </c>
      <c r="Y77">
        <f>W77*7</f>
        <v>4934.161458333333333</v>
      </c>
      <c r="Z77" t="str">
        <f>"shell "&amp;P77&amp;" occupancy "&amp;R77&amp;"/"&amp;Q77</f>
        <v>shell 5 occupancy 16/32</v>
      </c>
      <c r="AA77" t="str">
        <f>"closure"</f>
        <v>closure</v>
      </c>
      <c r="AB77" t="str">
        <f>"A=Z+N="&amp;B77&amp;"+"&amp;C77&amp;"="&amp;D77</f>
        <v>190</v>
      </c>
      <c r="AC77" t="str">
        <f>"SAM_CONSTANTS_ONLY_NO_FREE_INPUTS"</f>
        <v>SAM_CONSTANTS_ONLY_NO_FREE_INPUTS</v>
      </c>
    </row>
    <row r="78">
      <c r="A78" t="str">
        <f>"SOB"&amp;B78</f>
        <v>SOB77</v>
      </c>
      <c r="B78">
        <f>ROW()-1</f>
        <v>77</v>
      </c>
      <c r="C78">
        <f>B78+H78</f>
        <v>115</v>
      </c>
      <c r="D78">
        <f>B78+C78</f>
        <v>192</v>
      </c>
      <c r="E78">
        <f>INT((B78-1)/Constants!$B$2)+1</f>
        <v>7</v>
      </c>
      <c r="F78">
        <f>MOD(B78-1,Constants!$B$2)+1</f>
        <v>5</v>
      </c>
      <c r="G78">
        <f>MAX(0,E78-1)</f>
        <v>6</v>
      </c>
      <c r="H78">
        <f>INT(B78*G78/Constants!$B$2)</f>
        <v>38</v>
      </c>
      <c r="I78">
        <f>MOD(B78*G78,Constants!$B$2)</f>
        <v>6</v>
      </c>
      <c r="J78" t="str">
        <f>"P_"&amp;B78&amp;","&amp;D78</f>
        <v>P_77,192</v>
      </c>
      <c r="K78" t="str">
        <f>B78&amp;"p+"&amp;C78&amp;"n+"&amp;B78&amp;"e"</f>
        <v>77p+115n+77e</v>
      </c>
      <c r="L78">
        <f>2*B78+C78</f>
        <v>269</v>
      </c>
      <c r="M78">
        <f>B78+2*C78</f>
        <v>307</v>
      </c>
      <c r="N78">
        <f>B78</f>
        <v>77</v>
      </c>
      <c r="O78" t="str">
        <f>L78&amp;"u+"&amp;M78&amp;"d+"&amp;N78&amp;"e"</f>
        <v>269u+307d+77e</v>
      </c>
      <c r="P78">
        <f>COUNTIF(Shells!$E$2:$E$9,"&lt;"&amp;B78)+1</f>
        <v>5</v>
      </c>
      <c r="Q78">
        <f>INDEX(Shells!$C$2:$C$9,P78)</f>
        <v>32</v>
      </c>
      <c r="R78">
        <f>B78-IF(P78=1,0,INDEX(Shells!$E$2:$E$9,P78-1))</f>
        <v>17</v>
      </c>
      <c r="S78" t="str">
        <f>IF(R78=Q78,"CLOSED_SHELL","OPEN_SHELL")</f>
        <v>OPEN_SHELL</v>
      </c>
      <c r="T78" t="str">
        <f>IF(B78&gt;=Constants!$B$8,"CONSTANT_FRONTIER_TAIL_CANDIDATE",IF(I78=0,"CONSTANT_STABLE_ANCHOR_LANE",IF(I78=Constants!$B$2/2,"CONSTANT_HALF_WRITE_LANE","CONSTANT_BOUND_LADDER_LANE")))</f>
        <v>CONSTANT_HALF_WRITE_LANE</v>
      </c>
      <c r="U78" t="str">
        <f>IF(B78&gt;=Constants!$B$8,"frontier",IF(AND(B78&lt;=Constants!$B$14,B78&lt;&gt;Constants!$B$15,B78&lt;&gt;Constants!$B$16),"stable","radioactive"))</f>
        <v>stable</v>
      </c>
      <c r="V78">
        <f>Constants!$B$9</f>
        <v>9.266927083333333</v>
      </c>
      <c r="W78">
        <f>B78*Constants!$B$9+(C78-B78)*Constants!$B$10</f>
        <v>714.147135416666667</v>
      </c>
      <c r="X78">
        <f>W78*Constants!$B$5</f>
        <v>5713.177083333333333</v>
      </c>
      <c r="Y78">
        <f>W78*7</f>
        <v>4999.029947916666667</v>
      </c>
      <c r="Z78" t="str">
        <f>"shell "&amp;P78&amp;" occupancy "&amp;R78&amp;"/"&amp;Q78</f>
        <v>shell 5 occupancy 17/32</v>
      </c>
      <c r="AA78" t="str">
        <f>"closure"</f>
        <v>closure</v>
      </c>
      <c r="AB78" t="str">
        <f>"A=Z+N="&amp;B78&amp;"+"&amp;C78&amp;"="&amp;D78</f>
        <v>192</v>
      </c>
      <c r="AC78" t="str">
        <f>"SAM_CONSTANTS_ONLY_NO_FREE_INPUTS"</f>
        <v>SAM_CONSTANTS_ONLY_NO_FREE_INPUTS</v>
      </c>
    </row>
    <row r="79">
      <c r="A79" t="str">
        <f>"SOB"&amp;B79</f>
        <v>SOB78</v>
      </c>
      <c r="B79">
        <f>ROW()-1</f>
        <v>78</v>
      </c>
      <c r="C79">
        <f>B79+H79</f>
        <v>117</v>
      </c>
      <c r="D79">
        <f>B79+C79</f>
        <v>195</v>
      </c>
      <c r="E79">
        <f>INT((B79-1)/Constants!$B$2)+1</f>
        <v>7</v>
      </c>
      <c r="F79">
        <f>MOD(B79-1,Constants!$B$2)+1</f>
        <v>6</v>
      </c>
      <c r="G79">
        <f>MAX(0,E79-1)</f>
        <v>6</v>
      </c>
      <c r="H79">
        <f>INT(B79*G79/Constants!$B$2)</f>
        <v>39</v>
      </c>
      <c r="I79">
        <f>MOD(B79*G79,Constants!$B$2)</f>
        <v>0</v>
      </c>
      <c r="J79" t="str">
        <f>"P_"&amp;B79&amp;","&amp;D79</f>
        <v>P_78,195</v>
      </c>
      <c r="K79" t="str">
        <f>B79&amp;"p+"&amp;C79&amp;"n+"&amp;B79&amp;"e"</f>
        <v>78p+117n+78e</v>
      </c>
      <c r="L79">
        <f>2*B79+C79</f>
        <v>273</v>
      </c>
      <c r="M79">
        <f>B79+2*C79</f>
        <v>312</v>
      </c>
      <c r="N79">
        <f>B79</f>
        <v>78</v>
      </c>
      <c r="O79" t="str">
        <f>L79&amp;"u+"&amp;M79&amp;"d+"&amp;N79&amp;"e"</f>
        <v>273u+312d+78e</v>
      </c>
      <c r="P79">
        <f>COUNTIF(Shells!$E$2:$E$9,"&lt;"&amp;B79)+1</f>
        <v>5</v>
      </c>
      <c r="Q79">
        <f>INDEX(Shells!$C$2:$C$9,P79)</f>
        <v>32</v>
      </c>
      <c r="R79">
        <f>B79-IF(P79=1,0,INDEX(Shells!$E$2:$E$9,P79-1))</f>
        <v>18</v>
      </c>
      <c r="S79" t="str">
        <f>IF(R79=Q79,"CLOSED_SHELL","OPEN_SHELL")</f>
        <v>OPEN_SHELL</v>
      </c>
      <c r="T79" t="str">
        <f>IF(B79&gt;=Constants!$B$8,"CONSTANT_FRONTIER_TAIL_CANDIDATE",IF(I79=0,"CONSTANT_STABLE_ANCHOR_LANE",IF(I79=Constants!$B$2/2,"CONSTANT_HALF_WRITE_LANE","CONSTANT_BOUND_LADDER_LANE")))</f>
        <v>CONSTANT_STABLE_ANCHOR_LANE</v>
      </c>
      <c r="U79" t="str">
        <f>IF(B79&gt;=Constants!$B$8,"frontier",IF(AND(B79&lt;=Constants!$B$14,B79&lt;&gt;Constants!$B$15,B79&lt;&gt;Constants!$B$16),"stable","radioactive"))</f>
        <v>stable</v>
      </c>
      <c r="V79">
        <f>Constants!$B$9</f>
        <v>9.266927083333333</v>
      </c>
      <c r="W79">
        <f>B79*Constants!$B$9+(C79-B79)*Constants!$B$10</f>
        <v>723.4296875</v>
      </c>
      <c r="X79">
        <f>W79*Constants!$B$5</f>
        <v>5787.4375</v>
      </c>
      <c r="Y79">
        <f>W79*7</f>
        <v>5064.0078125</v>
      </c>
      <c r="Z79" t="str">
        <f>"shell "&amp;P79&amp;" occupancy "&amp;R79&amp;"/"&amp;Q79</f>
        <v>shell 5 occupancy 18/32</v>
      </c>
      <c r="AA79" t="str">
        <f>"closure"</f>
        <v>closure</v>
      </c>
      <c r="AB79" t="str">
        <f>"A=Z+N="&amp;B79&amp;"+"&amp;C79&amp;"="&amp;D79</f>
        <v>195</v>
      </c>
      <c r="AC79" t="str">
        <f>"SAM_CONSTANTS_ONLY_NO_FREE_INPUTS"</f>
        <v>SAM_CONSTANTS_ONLY_NO_FREE_INPUTS</v>
      </c>
    </row>
    <row r="80">
      <c r="A80" t="str">
        <f>"SOB"&amp;B80</f>
        <v>SOB79</v>
      </c>
      <c r="B80">
        <f>ROW()-1</f>
        <v>79</v>
      </c>
      <c r="C80">
        <f>B80+H80</f>
        <v>118</v>
      </c>
      <c r="D80">
        <f>B80+C80</f>
        <v>197</v>
      </c>
      <c r="E80">
        <f>INT((B80-1)/Constants!$B$2)+1</f>
        <v>7</v>
      </c>
      <c r="F80">
        <f>MOD(B80-1,Constants!$B$2)+1</f>
        <v>7</v>
      </c>
      <c r="G80">
        <f>MAX(0,E80-1)</f>
        <v>6</v>
      </c>
      <c r="H80">
        <f>INT(B80*G80/Constants!$B$2)</f>
        <v>39</v>
      </c>
      <c r="I80">
        <f>MOD(B80*G80,Constants!$B$2)</f>
        <v>6</v>
      </c>
      <c r="J80" t="str">
        <f>"P_"&amp;B80&amp;","&amp;D80</f>
        <v>P_79,197</v>
      </c>
      <c r="K80" t="str">
        <f>B80&amp;"p+"&amp;C80&amp;"n+"&amp;B80&amp;"e"</f>
        <v>79p+118n+79e</v>
      </c>
      <c r="L80">
        <f>2*B80+C80</f>
        <v>276</v>
      </c>
      <c r="M80">
        <f>B80+2*C80</f>
        <v>315</v>
      </c>
      <c r="N80">
        <f>B80</f>
        <v>79</v>
      </c>
      <c r="O80" t="str">
        <f>L80&amp;"u+"&amp;M80&amp;"d+"&amp;N80&amp;"e"</f>
        <v>276u+315d+79e</v>
      </c>
      <c r="P80">
        <f>COUNTIF(Shells!$E$2:$E$9,"&lt;"&amp;B80)+1</f>
        <v>5</v>
      </c>
      <c r="Q80">
        <f>INDEX(Shells!$C$2:$C$9,P80)</f>
        <v>32</v>
      </c>
      <c r="R80">
        <f>B80-IF(P80=1,0,INDEX(Shells!$E$2:$E$9,P80-1))</f>
        <v>19</v>
      </c>
      <c r="S80" t="str">
        <f>IF(R80=Q80,"CLOSED_SHELL","OPEN_SHELL")</f>
        <v>OPEN_SHELL</v>
      </c>
      <c r="T80" t="str">
        <f>IF(B80&gt;=Constants!$B$8,"CONSTANT_FRONTIER_TAIL_CANDIDATE",IF(I80=0,"CONSTANT_STABLE_ANCHOR_LANE",IF(I80=Constants!$B$2/2,"CONSTANT_HALF_WRITE_LANE","CONSTANT_BOUND_LADDER_LANE")))</f>
        <v>CONSTANT_HALF_WRITE_LANE</v>
      </c>
      <c r="U80" t="str">
        <f>IF(B80&gt;=Constants!$B$8,"frontier",IF(AND(B80&lt;=Constants!$B$14,B80&lt;&gt;Constants!$B$15,B80&lt;&gt;Constants!$B$16),"stable","radioactive"))</f>
        <v>stable</v>
      </c>
      <c r="V80">
        <f>Constants!$B$9</f>
        <v>9.266927083333333</v>
      </c>
      <c r="W80">
        <f>B80*Constants!$B$9+(C80-B80)*Constants!$B$10</f>
        <v>732.696614583333333</v>
      </c>
      <c r="X80">
        <f>W80*Constants!$B$5</f>
        <v>5861.572916666666667</v>
      </c>
      <c r="Y80">
        <f>W80*7</f>
        <v>5128.876302083333333</v>
      </c>
      <c r="Z80" t="str">
        <f>"shell "&amp;P80&amp;" occupancy "&amp;R80&amp;"/"&amp;Q80</f>
        <v>shell 5 occupancy 19/32</v>
      </c>
      <c r="AA80" t="str">
        <f>"closure"</f>
        <v>closure</v>
      </c>
      <c r="AB80" t="str">
        <f>"A=Z+N="&amp;B80&amp;"+"&amp;C80&amp;"="&amp;D80</f>
        <v>197</v>
      </c>
      <c r="AC80" t="str">
        <f>"SAM_CONSTANTS_ONLY_NO_FREE_INPUTS"</f>
        <v>SAM_CONSTANTS_ONLY_NO_FREE_INPUTS</v>
      </c>
    </row>
    <row r="81">
      <c r="A81" t="str">
        <f>"SOB"&amp;B81</f>
        <v>SOB80</v>
      </c>
      <c r="B81">
        <f>ROW()-1</f>
        <v>80</v>
      </c>
      <c r="C81">
        <f>B81+H81</f>
        <v>120</v>
      </c>
      <c r="D81">
        <f>B81+C81</f>
        <v>200</v>
      </c>
      <c r="E81">
        <f>INT((B81-1)/Constants!$B$2)+1</f>
        <v>7</v>
      </c>
      <c r="F81">
        <f>MOD(B81-1,Constants!$B$2)+1</f>
        <v>8</v>
      </c>
      <c r="G81">
        <f>MAX(0,E81-1)</f>
        <v>6</v>
      </c>
      <c r="H81">
        <f>INT(B81*G81/Constants!$B$2)</f>
        <v>40</v>
      </c>
      <c r="I81">
        <f>MOD(B81*G81,Constants!$B$2)</f>
        <v>0</v>
      </c>
      <c r="J81" t="str">
        <f>"P_"&amp;B81&amp;","&amp;D81</f>
        <v>P_80,200</v>
      </c>
      <c r="K81" t="str">
        <f>B81&amp;"p+"&amp;C81&amp;"n+"&amp;B81&amp;"e"</f>
        <v>80p+120n+80e</v>
      </c>
      <c r="L81">
        <f>2*B81+C81</f>
        <v>280</v>
      </c>
      <c r="M81">
        <f>B81+2*C81</f>
        <v>320</v>
      </c>
      <c r="N81">
        <f>B81</f>
        <v>80</v>
      </c>
      <c r="O81" t="str">
        <f>L81&amp;"u+"&amp;M81&amp;"d+"&amp;N81&amp;"e"</f>
        <v>280u+320d+80e</v>
      </c>
      <c r="P81">
        <f>COUNTIF(Shells!$E$2:$E$9,"&lt;"&amp;B81)+1</f>
        <v>5</v>
      </c>
      <c r="Q81">
        <f>INDEX(Shells!$C$2:$C$9,P81)</f>
        <v>32</v>
      </c>
      <c r="R81">
        <f>B81-IF(P81=1,0,INDEX(Shells!$E$2:$E$9,P81-1))</f>
        <v>20</v>
      </c>
      <c r="S81" t="str">
        <f>IF(R81=Q81,"CLOSED_SHELL","OPEN_SHELL")</f>
        <v>OPEN_SHELL</v>
      </c>
      <c r="T81" t="str">
        <f>IF(B81&gt;=Constants!$B$8,"CONSTANT_FRONTIER_TAIL_CANDIDATE",IF(I81=0,"CONSTANT_STABLE_ANCHOR_LANE",IF(I81=Constants!$B$2/2,"CONSTANT_HALF_WRITE_LANE","CONSTANT_BOUND_LADDER_LANE")))</f>
        <v>CONSTANT_STABLE_ANCHOR_LANE</v>
      </c>
      <c r="U81" t="str">
        <f>IF(B81&gt;=Constants!$B$8,"frontier",IF(AND(B81&lt;=Constants!$B$14,B81&lt;&gt;Constants!$B$15,B81&lt;&gt;Constants!$B$16),"stable","radioactive"))</f>
        <v>stable</v>
      </c>
      <c r="V81">
        <f>Constants!$B$9</f>
        <v>9.266927083333333</v>
      </c>
      <c r="W81">
        <f>B81*Constants!$B$9+(C81-B81)*Constants!$B$10</f>
        <v>741.979166666666667</v>
      </c>
      <c r="X81">
        <f>W81*Constants!$B$5</f>
        <v>5935.833333333333333</v>
      </c>
      <c r="Y81">
        <f>W81*7</f>
        <v>5193.854166666666667</v>
      </c>
      <c r="Z81" t="str">
        <f>"shell "&amp;P81&amp;" occupancy "&amp;R81&amp;"/"&amp;Q81</f>
        <v>shell 5 occupancy 20/32</v>
      </c>
      <c r="AA81" t="str">
        <f>"closure"</f>
        <v>closure</v>
      </c>
      <c r="AB81" t="str">
        <f>"A=Z+N="&amp;B81&amp;"+"&amp;C81&amp;"="&amp;D81</f>
        <v>200</v>
      </c>
      <c r="AC81" t="str">
        <f>"SAM_CONSTANTS_ONLY_NO_FREE_INPUTS"</f>
        <v>SAM_CONSTANTS_ONLY_NO_FREE_INPUTS</v>
      </c>
    </row>
    <row r="82">
      <c r="A82" t="str">
        <f>"SOB"&amp;B82</f>
        <v>SOB81</v>
      </c>
      <c r="B82">
        <f>ROW()-1</f>
        <v>81</v>
      </c>
      <c r="C82">
        <f>B82+H82</f>
        <v>121</v>
      </c>
      <c r="D82">
        <f>B82+C82</f>
        <v>202</v>
      </c>
      <c r="E82">
        <f>INT((B82-1)/Constants!$B$2)+1</f>
        <v>7</v>
      </c>
      <c r="F82">
        <f>MOD(B82-1,Constants!$B$2)+1</f>
        <v>9</v>
      </c>
      <c r="G82">
        <f>MAX(0,E82-1)</f>
        <v>6</v>
      </c>
      <c r="H82">
        <f>INT(B82*G82/Constants!$B$2)</f>
        <v>40</v>
      </c>
      <c r="I82">
        <f>MOD(B82*G82,Constants!$B$2)</f>
        <v>6</v>
      </c>
      <c r="J82" t="str">
        <f>"P_"&amp;B82&amp;","&amp;D82</f>
        <v>P_81,202</v>
      </c>
      <c r="K82" t="str">
        <f>B82&amp;"p+"&amp;C82&amp;"n+"&amp;B82&amp;"e"</f>
        <v>81p+121n+81e</v>
      </c>
      <c r="L82">
        <f>2*B82+C82</f>
        <v>283</v>
      </c>
      <c r="M82">
        <f>B82+2*C82</f>
        <v>323</v>
      </c>
      <c r="N82">
        <f>B82</f>
        <v>81</v>
      </c>
      <c r="O82" t="str">
        <f>L82&amp;"u+"&amp;M82&amp;"d+"&amp;N82&amp;"e"</f>
        <v>283u+323d+81e</v>
      </c>
      <c r="P82">
        <f>COUNTIF(Shells!$E$2:$E$9,"&lt;"&amp;B82)+1</f>
        <v>5</v>
      </c>
      <c r="Q82">
        <f>INDEX(Shells!$C$2:$C$9,P82)</f>
        <v>32</v>
      </c>
      <c r="R82">
        <f>B82-IF(P82=1,0,INDEX(Shells!$E$2:$E$9,P82-1))</f>
        <v>21</v>
      </c>
      <c r="S82" t="str">
        <f>IF(R82=Q82,"CLOSED_SHELL","OPEN_SHELL")</f>
        <v>OPEN_SHELL</v>
      </c>
      <c r="T82" t="str">
        <f>IF(B82&gt;=Constants!$B$8,"CONSTANT_FRONTIER_TAIL_CANDIDATE",IF(I82=0,"CONSTANT_STABLE_ANCHOR_LANE",IF(I82=Constants!$B$2/2,"CONSTANT_HALF_WRITE_LANE","CONSTANT_BOUND_LADDER_LANE")))</f>
        <v>CONSTANT_HALF_WRITE_LANE</v>
      </c>
      <c r="U82" t="str">
        <f>IF(B82&gt;=Constants!$B$8,"frontier",IF(AND(B82&lt;=Constants!$B$14,B82&lt;&gt;Constants!$B$15,B82&lt;&gt;Constants!$B$16),"stable","radioactive"))</f>
        <v>stable</v>
      </c>
      <c r="V82">
        <f>Constants!$B$9</f>
        <v>9.266927083333333</v>
      </c>
      <c r="W82">
        <f>B82*Constants!$B$9+(C82-B82)*Constants!$B$10</f>
        <v>751.24609375</v>
      </c>
      <c r="X82">
        <f>W82*Constants!$B$5</f>
        <v>6009.96875</v>
      </c>
      <c r="Y82">
        <f>W82*7</f>
        <v>5258.72265625</v>
      </c>
      <c r="Z82" t="str">
        <f>"shell "&amp;P82&amp;" occupancy "&amp;R82&amp;"/"&amp;Q82</f>
        <v>shell 5 occupancy 21/32</v>
      </c>
      <c r="AA82" t="str">
        <f>"closure"</f>
        <v>closure</v>
      </c>
      <c r="AB82" t="str">
        <f>"A=Z+N="&amp;B82&amp;"+"&amp;C82&amp;"="&amp;D82</f>
        <v>202</v>
      </c>
      <c r="AC82" t="str">
        <f>"SAM_CONSTANTS_ONLY_NO_FREE_INPUTS"</f>
        <v>SAM_CONSTANTS_ONLY_NO_FREE_INPUTS</v>
      </c>
    </row>
    <row r="83">
      <c r="A83" t="str">
        <f>"SOB"&amp;B83</f>
        <v>SOB82</v>
      </c>
      <c r="B83">
        <f>ROW()-1</f>
        <v>82</v>
      </c>
      <c r="C83">
        <f>B83+H83</f>
        <v>123</v>
      </c>
      <c r="D83">
        <f>B83+C83</f>
        <v>205</v>
      </c>
      <c r="E83">
        <f>INT((B83-1)/Constants!$B$2)+1</f>
        <v>7</v>
      </c>
      <c r="F83">
        <f>MOD(B83-1,Constants!$B$2)+1</f>
        <v>10</v>
      </c>
      <c r="G83">
        <f>MAX(0,E83-1)</f>
        <v>6</v>
      </c>
      <c r="H83">
        <f>INT(B83*G83/Constants!$B$2)</f>
        <v>41</v>
      </c>
      <c r="I83">
        <f>MOD(B83*G83,Constants!$B$2)</f>
        <v>0</v>
      </c>
      <c r="J83" t="str">
        <f>"P_"&amp;B83&amp;","&amp;D83</f>
        <v>P_82,205</v>
      </c>
      <c r="K83" t="str">
        <f>B83&amp;"p+"&amp;C83&amp;"n+"&amp;B83&amp;"e"</f>
        <v>82p+123n+82e</v>
      </c>
      <c r="L83">
        <f>2*B83+C83</f>
        <v>287</v>
      </c>
      <c r="M83">
        <f>B83+2*C83</f>
        <v>328</v>
      </c>
      <c r="N83">
        <f>B83</f>
        <v>82</v>
      </c>
      <c r="O83" t="str">
        <f>L83&amp;"u+"&amp;M83&amp;"d+"&amp;N83&amp;"e"</f>
        <v>287u+328d+82e</v>
      </c>
      <c r="P83">
        <f>COUNTIF(Shells!$E$2:$E$9,"&lt;"&amp;B83)+1</f>
        <v>5</v>
      </c>
      <c r="Q83">
        <f>INDEX(Shells!$C$2:$C$9,P83)</f>
        <v>32</v>
      </c>
      <c r="R83">
        <f>B83-IF(P83=1,0,INDEX(Shells!$E$2:$E$9,P83-1))</f>
        <v>22</v>
      </c>
      <c r="S83" t="str">
        <f>IF(R83=Q83,"CLOSED_SHELL","OPEN_SHELL")</f>
        <v>OPEN_SHELL</v>
      </c>
      <c r="T83" t="str">
        <f>IF(B83&gt;=Constants!$B$8,"CONSTANT_FRONTIER_TAIL_CANDIDATE",IF(I83=0,"CONSTANT_STABLE_ANCHOR_LANE",IF(I83=Constants!$B$2/2,"CONSTANT_HALF_WRITE_LANE","CONSTANT_BOUND_LADDER_LANE")))</f>
        <v>CONSTANT_STABLE_ANCHOR_LANE</v>
      </c>
      <c r="U83" t="str">
        <f>IF(B83&gt;=Constants!$B$8,"frontier",IF(AND(B83&lt;=Constants!$B$14,B83&lt;&gt;Constants!$B$15,B83&lt;&gt;Constants!$B$16),"stable","radioactive"))</f>
        <v>stable</v>
      </c>
      <c r="V83">
        <f>Constants!$B$9</f>
        <v>9.266927083333333</v>
      </c>
      <c r="W83">
        <f>B83*Constants!$B$9+(C83-B83)*Constants!$B$10</f>
        <v>760.528645833333333</v>
      </c>
      <c r="X83">
        <f>W83*Constants!$B$5</f>
        <v>6084.229166666666667</v>
      </c>
      <c r="Y83">
        <f>W83*7</f>
        <v>5323.700520833333333</v>
      </c>
      <c r="Z83" t="str">
        <f>"shell "&amp;P83&amp;" occupancy "&amp;R83&amp;"/"&amp;Q83</f>
        <v>shell 5 occupancy 22/32</v>
      </c>
      <c r="AA83" t="str">
        <f>"closure"</f>
        <v>closure</v>
      </c>
      <c r="AB83" t="str">
        <f>"A=Z+N="&amp;B83&amp;"+"&amp;C83&amp;"="&amp;D83</f>
        <v>205</v>
      </c>
      <c r="AC83" t="str">
        <f>"SAM_CONSTANTS_ONLY_NO_FREE_INPUTS"</f>
        <v>SAM_CONSTANTS_ONLY_NO_FREE_INPUTS</v>
      </c>
    </row>
    <row r="84">
      <c r="A84" t="str">
        <f>"SOB"&amp;B84</f>
        <v>SOB83</v>
      </c>
      <c r="B84">
        <f>ROW()-1</f>
        <v>83</v>
      </c>
      <c r="C84">
        <f>B84+H84</f>
        <v>124</v>
      </c>
      <c r="D84">
        <f>B84+C84</f>
        <v>207</v>
      </c>
      <c r="E84">
        <f>INT((B84-1)/Constants!$B$2)+1</f>
        <v>7</v>
      </c>
      <c r="F84">
        <f>MOD(B84-1,Constants!$B$2)+1</f>
        <v>11</v>
      </c>
      <c r="G84">
        <f>MAX(0,E84-1)</f>
        <v>6</v>
      </c>
      <c r="H84">
        <f>INT(B84*G84/Constants!$B$2)</f>
        <v>41</v>
      </c>
      <c r="I84">
        <f>MOD(B84*G84,Constants!$B$2)</f>
        <v>6</v>
      </c>
      <c r="J84" t="str">
        <f>"P_"&amp;B84&amp;","&amp;D84</f>
        <v>P_83,207</v>
      </c>
      <c r="K84" t="str">
        <f>B84&amp;"p+"&amp;C84&amp;"n+"&amp;B84&amp;"e"</f>
        <v>83p+124n+83e</v>
      </c>
      <c r="L84">
        <f>2*B84+C84</f>
        <v>290</v>
      </c>
      <c r="M84">
        <f>B84+2*C84</f>
        <v>331</v>
      </c>
      <c r="N84">
        <f>B84</f>
        <v>83</v>
      </c>
      <c r="O84" t="str">
        <f>L84&amp;"u+"&amp;M84&amp;"d+"&amp;N84&amp;"e"</f>
        <v>290u+331d+83e</v>
      </c>
      <c r="P84">
        <f>COUNTIF(Shells!$E$2:$E$9,"&lt;"&amp;B84)+1</f>
        <v>5</v>
      </c>
      <c r="Q84">
        <f>INDEX(Shells!$C$2:$C$9,P84)</f>
        <v>32</v>
      </c>
      <c r="R84">
        <f>B84-IF(P84=1,0,INDEX(Shells!$E$2:$E$9,P84-1))</f>
        <v>23</v>
      </c>
      <c r="S84" t="str">
        <f>IF(R84=Q84,"CLOSED_SHELL","OPEN_SHELL")</f>
        <v>OPEN_SHELL</v>
      </c>
      <c r="T84" t="str">
        <f>IF(B84&gt;=Constants!$B$8,"CONSTANT_FRONTIER_TAIL_CANDIDATE",IF(I84=0,"CONSTANT_STABLE_ANCHOR_LANE",IF(I84=Constants!$B$2/2,"CONSTANT_HALF_WRITE_LANE","CONSTANT_BOUND_LADDER_LANE")))</f>
        <v>CONSTANT_HALF_WRITE_LANE</v>
      </c>
      <c r="U84" t="str">
        <f>IF(B84&gt;=Constants!$B$8,"frontier",IF(AND(B84&lt;=Constants!$B$14,B84&lt;&gt;Constants!$B$15,B84&lt;&gt;Constants!$B$16),"stable","radioactive"))</f>
        <v>stable</v>
      </c>
      <c r="V84">
        <f>Constants!$B$9</f>
        <v>9.266927083333333</v>
      </c>
      <c r="W84">
        <f>B84*Constants!$B$9+(C84-B84)*Constants!$B$10</f>
        <v>769.795572916666667</v>
      </c>
      <c r="X84">
        <f>W84*Constants!$B$5</f>
        <v>6158.364583333333333</v>
      </c>
      <c r="Y84">
        <f>W84*7</f>
        <v>5388.569010416666667</v>
      </c>
      <c r="Z84" t="str">
        <f>"shell "&amp;P84&amp;" occupancy "&amp;R84&amp;"/"&amp;Q84</f>
        <v>shell 5 occupancy 23/32</v>
      </c>
      <c r="AA84" t="str">
        <f>"closure"</f>
        <v>closure</v>
      </c>
      <c r="AB84" t="str">
        <f>"A=Z+N="&amp;B84&amp;"+"&amp;C84&amp;"="&amp;D84</f>
        <v>207</v>
      </c>
      <c r="AC84" t="str">
        <f>"SAM_CONSTANTS_ONLY_NO_FREE_INPUTS"</f>
        <v>SAM_CONSTANTS_ONLY_NO_FREE_INPUTS</v>
      </c>
    </row>
    <row r="85">
      <c r="A85" t="str">
        <f>"SOB"&amp;B85</f>
        <v>SOB84</v>
      </c>
      <c r="B85">
        <f>ROW()-1</f>
        <v>84</v>
      </c>
      <c r="C85">
        <f>B85+H85</f>
        <v>126</v>
      </c>
      <c r="D85">
        <f>B85+C85</f>
        <v>210</v>
      </c>
      <c r="E85">
        <f>INT((B85-1)/Constants!$B$2)+1</f>
        <v>7</v>
      </c>
      <c r="F85">
        <f>MOD(B85-1,Constants!$B$2)+1</f>
        <v>12</v>
      </c>
      <c r="G85">
        <f>MAX(0,E85-1)</f>
        <v>6</v>
      </c>
      <c r="H85">
        <f>INT(B85*G85/Constants!$B$2)</f>
        <v>42</v>
      </c>
      <c r="I85">
        <f>MOD(B85*G85,Constants!$B$2)</f>
        <v>0</v>
      </c>
      <c r="J85" t="str">
        <f>"P_"&amp;B85&amp;","&amp;D85</f>
        <v>P_84,210</v>
      </c>
      <c r="K85" t="str">
        <f>B85&amp;"p+"&amp;C85&amp;"n+"&amp;B85&amp;"e"</f>
        <v>84p+126n+84e</v>
      </c>
      <c r="L85">
        <f>2*B85+C85</f>
        <v>294</v>
      </c>
      <c r="M85">
        <f>B85+2*C85</f>
        <v>336</v>
      </c>
      <c r="N85">
        <f>B85</f>
        <v>84</v>
      </c>
      <c r="O85" t="str">
        <f>L85&amp;"u+"&amp;M85&amp;"d+"&amp;N85&amp;"e"</f>
        <v>294u+336d+84e</v>
      </c>
      <c r="P85">
        <f>COUNTIF(Shells!$E$2:$E$9,"&lt;"&amp;B85)+1</f>
        <v>5</v>
      </c>
      <c r="Q85">
        <f>INDEX(Shells!$C$2:$C$9,P85)</f>
        <v>32</v>
      </c>
      <c r="R85">
        <f>B85-IF(P85=1,0,INDEX(Shells!$E$2:$E$9,P85-1))</f>
        <v>24</v>
      </c>
      <c r="S85" t="str">
        <f>IF(R85=Q85,"CLOSED_SHELL","OPEN_SHELL")</f>
        <v>OPEN_SHELL</v>
      </c>
      <c r="T85" t="str">
        <f>IF(B85&gt;=Constants!$B$8,"CONSTANT_FRONTIER_TAIL_CANDIDATE",IF(I85=0,"CONSTANT_STABLE_ANCHOR_LANE",IF(I85=Constants!$B$2/2,"CONSTANT_HALF_WRITE_LANE","CONSTANT_BOUND_LADDER_LANE")))</f>
        <v>CONSTANT_STABLE_ANCHOR_LANE</v>
      </c>
      <c r="U85" t="str">
        <f>IF(B85&gt;=Constants!$B$8,"frontier",IF(AND(B85&lt;=Constants!$B$14,B85&lt;&gt;Constants!$B$15,B85&lt;&gt;Constants!$B$16),"stable","radioactive"))</f>
        <v>radioactive</v>
      </c>
      <c r="V85">
        <f>Constants!$B$9</f>
        <v>9.266927083333333</v>
      </c>
      <c r="W85">
        <f>B85*Constants!$B$9+(C85-B85)*Constants!$B$10</f>
        <v>779.078125</v>
      </c>
      <c r="X85">
        <f>W85*Constants!$B$5</f>
        <v>6232.625</v>
      </c>
      <c r="Y85">
        <f>W85*7</f>
        <v>5453.546875</v>
      </c>
      <c r="Z85" t="str">
        <f>"shell "&amp;P85&amp;" occupancy "&amp;R85&amp;"/"&amp;Q85</f>
        <v>shell 5 occupancy 24/32</v>
      </c>
      <c r="AA85" t="str">
        <f>"closure"</f>
        <v>closure</v>
      </c>
      <c r="AB85" t="str">
        <f>"A=Z+N="&amp;B85&amp;"+"&amp;C85&amp;"="&amp;D85</f>
        <v>210</v>
      </c>
      <c r="AC85" t="str">
        <f>"SAM_CONSTANTS_ONLY_NO_FREE_INPUTS"</f>
        <v>SAM_CONSTANTS_ONLY_NO_FREE_INPUTS</v>
      </c>
    </row>
    <row r="86">
      <c r="A86" t="str">
        <f>"SOB"&amp;B86</f>
        <v>SOB85</v>
      </c>
      <c r="B86">
        <f>ROW()-1</f>
        <v>85</v>
      </c>
      <c r="C86">
        <f>B86+H86</f>
        <v>134</v>
      </c>
      <c r="D86">
        <f>B86+C86</f>
        <v>219</v>
      </c>
      <c r="E86">
        <f>INT((B86-1)/Constants!$B$2)+1</f>
        <v>8</v>
      </c>
      <c r="F86">
        <f>MOD(B86-1,Constants!$B$2)+1</f>
        <v>1</v>
      </c>
      <c r="G86">
        <f>MAX(0,E86-1)</f>
        <v>7</v>
      </c>
      <c r="H86">
        <f>INT(B86*G86/Constants!$B$2)</f>
        <v>49</v>
      </c>
      <c r="I86">
        <f>MOD(B86*G86,Constants!$B$2)</f>
        <v>7</v>
      </c>
      <c r="J86" t="str">
        <f>"P_"&amp;B86&amp;","&amp;D86</f>
        <v>P_85,219</v>
      </c>
      <c r="K86" t="str">
        <f>B86&amp;"p+"&amp;C86&amp;"n+"&amp;B86&amp;"e"</f>
        <v>85p+134n+85e</v>
      </c>
      <c r="L86">
        <f>2*B86+C86</f>
        <v>304</v>
      </c>
      <c r="M86">
        <f>B86+2*C86</f>
        <v>353</v>
      </c>
      <c r="N86">
        <f>B86</f>
        <v>85</v>
      </c>
      <c r="O86" t="str">
        <f>L86&amp;"u+"&amp;M86&amp;"d+"&amp;N86&amp;"e"</f>
        <v>304u+353d+85e</v>
      </c>
      <c r="P86">
        <f>COUNTIF(Shells!$E$2:$E$9,"&lt;"&amp;B86)+1</f>
        <v>5</v>
      </c>
      <c r="Q86">
        <f>INDEX(Shells!$C$2:$C$9,P86)</f>
        <v>32</v>
      </c>
      <c r="R86">
        <f>B86-IF(P86=1,0,INDEX(Shells!$E$2:$E$9,P86-1))</f>
        <v>25</v>
      </c>
      <c r="S86" t="str">
        <f>IF(R86=Q86,"CLOSED_SHELL","OPEN_SHELL")</f>
        <v>OPEN_SHELL</v>
      </c>
      <c r="T86" t="str">
        <f>IF(B86&gt;=Constants!$B$8,"CONSTANT_FRONTIER_TAIL_CANDIDATE",IF(I86=0,"CONSTANT_STABLE_ANCHOR_LANE",IF(I86=Constants!$B$2/2,"CONSTANT_HALF_WRITE_LANE","CONSTANT_BOUND_LADDER_LANE")))</f>
        <v>CONSTANT_BOUND_LADDER_LANE</v>
      </c>
      <c r="U86" t="str">
        <f>IF(B86&gt;=Constants!$B$8,"frontier",IF(AND(B86&lt;=Constants!$B$14,B86&lt;&gt;Constants!$B$15,B86&lt;&gt;Constants!$B$16),"stable","radioactive"))</f>
        <v>radioactive</v>
      </c>
      <c r="V86">
        <f>Constants!$B$9</f>
        <v>9.266927083333333</v>
      </c>
      <c r="W86">
        <f>B86*Constants!$B$9+(C86-B86)*Constants!$B$10</f>
        <v>788.454427083333333</v>
      </c>
      <c r="X86">
        <f>W86*Constants!$B$5</f>
        <v>6307.635416666666667</v>
      </c>
      <c r="Y86">
        <f>W86*7</f>
        <v>5519.180989583333333</v>
      </c>
      <c r="Z86" t="str">
        <f>"shell "&amp;P86&amp;" occupancy "&amp;R86&amp;"/"&amp;Q86</f>
        <v>shell 5 occupancy 25/32</v>
      </c>
      <c r="AA86" t="str">
        <f>"closure"</f>
        <v>closure</v>
      </c>
      <c r="AB86" t="str">
        <f>"A=Z+N="&amp;B86&amp;"+"&amp;C86&amp;"="&amp;D86</f>
        <v>219</v>
      </c>
      <c r="AC86" t="str">
        <f>"SAM_CONSTANTS_ONLY_NO_FREE_INPUTS"</f>
        <v>SAM_CONSTANTS_ONLY_NO_FREE_INPUTS</v>
      </c>
    </row>
    <row r="87">
      <c r="A87" t="str">
        <f>"SOB"&amp;B87</f>
        <v>SOB86</v>
      </c>
      <c r="B87">
        <f>ROW()-1</f>
        <v>86</v>
      </c>
      <c r="C87">
        <f>B87+H87</f>
        <v>136</v>
      </c>
      <c r="D87">
        <f>B87+C87</f>
        <v>222</v>
      </c>
      <c r="E87">
        <f>INT((B87-1)/Constants!$B$2)+1</f>
        <v>8</v>
      </c>
      <c r="F87">
        <f>MOD(B87-1,Constants!$B$2)+1</f>
        <v>2</v>
      </c>
      <c r="G87">
        <f>MAX(0,E87-1)</f>
        <v>7</v>
      </c>
      <c r="H87">
        <f>INT(B87*G87/Constants!$B$2)</f>
        <v>50</v>
      </c>
      <c r="I87">
        <f>MOD(B87*G87,Constants!$B$2)</f>
        <v>2</v>
      </c>
      <c r="J87" t="str">
        <f>"P_"&amp;B87&amp;","&amp;D87</f>
        <v>P_86,222</v>
      </c>
      <c r="K87" t="str">
        <f>B87&amp;"p+"&amp;C87&amp;"n+"&amp;B87&amp;"e"</f>
        <v>86p+136n+86e</v>
      </c>
      <c r="L87">
        <f>2*B87+C87</f>
        <v>308</v>
      </c>
      <c r="M87">
        <f>B87+2*C87</f>
        <v>358</v>
      </c>
      <c r="N87">
        <f>B87</f>
        <v>86</v>
      </c>
      <c r="O87" t="str">
        <f>L87&amp;"u+"&amp;M87&amp;"d+"&amp;N87&amp;"e"</f>
        <v>308u+358d+86e</v>
      </c>
      <c r="P87">
        <f>COUNTIF(Shells!$E$2:$E$9,"&lt;"&amp;B87)+1</f>
        <v>5</v>
      </c>
      <c r="Q87">
        <f>INDEX(Shells!$C$2:$C$9,P87)</f>
        <v>32</v>
      </c>
      <c r="R87">
        <f>B87-IF(P87=1,0,INDEX(Shells!$E$2:$E$9,P87-1))</f>
        <v>26</v>
      </c>
      <c r="S87" t="str">
        <f>IF(R87=Q87,"CLOSED_SHELL","OPEN_SHELL")</f>
        <v>OPEN_SHELL</v>
      </c>
      <c r="T87" t="str">
        <f>IF(B87&gt;=Constants!$B$8,"CONSTANT_FRONTIER_TAIL_CANDIDATE",IF(I87=0,"CONSTANT_STABLE_ANCHOR_LANE",IF(I87=Constants!$B$2/2,"CONSTANT_HALF_WRITE_LANE","CONSTANT_BOUND_LADDER_LANE")))</f>
        <v>CONSTANT_BOUND_LADDER_LANE</v>
      </c>
      <c r="U87" t="str">
        <f>IF(B87&gt;=Constants!$B$8,"frontier",IF(AND(B87&lt;=Constants!$B$14,B87&lt;&gt;Constants!$B$15,B87&lt;&gt;Constants!$B$16),"stable","radioactive"))</f>
        <v>radioactive</v>
      </c>
      <c r="V87">
        <f>Constants!$B$9</f>
        <v>9.266927083333333</v>
      </c>
      <c r="W87">
        <f>B87*Constants!$B$9+(C87-B87)*Constants!$B$10</f>
        <v>797.736979166666667</v>
      </c>
      <c r="X87">
        <f>W87*Constants!$B$5</f>
        <v>6381.895833333333333</v>
      </c>
      <c r="Y87">
        <f>W87*7</f>
        <v>5584.158854166666667</v>
      </c>
      <c r="Z87" t="str">
        <f>"shell "&amp;P87&amp;" occupancy "&amp;R87&amp;"/"&amp;Q87</f>
        <v>shell 5 occupancy 26/32</v>
      </c>
      <c r="AA87" t="str">
        <f>"closure"</f>
        <v>closure</v>
      </c>
      <c r="AB87" t="str">
        <f>"A=Z+N="&amp;B87&amp;"+"&amp;C87&amp;"="&amp;D87</f>
        <v>222</v>
      </c>
      <c r="AC87" t="str">
        <f>"SAM_CONSTANTS_ONLY_NO_FREE_INPUTS"</f>
        <v>SAM_CONSTANTS_ONLY_NO_FREE_INPUTS</v>
      </c>
    </row>
    <row r="88">
      <c r="A88" t="str">
        <f>"SOB"&amp;B88</f>
        <v>SOB87</v>
      </c>
      <c r="B88">
        <f>ROW()-1</f>
        <v>87</v>
      </c>
      <c r="C88">
        <f>B88+H88</f>
        <v>137</v>
      </c>
      <c r="D88">
        <f>B88+C88</f>
        <v>224</v>
      </c>
      <c r="E88">
        <f>INT((B88-1)/Constants!$B$2)+1</f>
        <v>8</v>
      </c>
      <c r="F88">
        <f>MOD(B88-1,Constants!$B$2)+1</f>
        <v>3</v>
      </c>
      <c r="G88">
        <f>MAX(0,E88-1)</f>
        <v>7</v>
      </c>
      <c r="H88">
        <f>INT(B88*G88/Constants!$B$2)</f>
        <v>50</v>
      </c>
      <c r="I88">
        <f>MOD(B88*G88,Constants!$B$2)</f>
        <v>9</v>
      </c>
      <c r="J88" t="str">
        <f>"P_"&amp;B88&amp;","&amp;D88</f>
        <v>P_87,224</v>
      </c>
      <c r="K88" t="str">
        <f>B88&amp;"p+"&amp;C88&amp;"n+"&amp;B88&amp;"e"</f>
        <v>87p+137n+87e</v>
      </c>
      <c r="L88">
        <f>2*B88+C88</f>
        <v>311</v>
      </c>
      <c r="M88">
        <f>B88+2*C88</f>
        <v>361</v>
      </c>
      <c r="N88">
        <f>B88</f>
        <v>87</v>
      </c>
      <c r="O88" t="str">
        <f>L88&amp;"u+"&amp;M88&amp;"d+"&amp;N88&amp;"e"</f>
        <v>311u+361d+87e</v>
      </c>
      <c r="P88">
        <f>COUNTIF(Shells!$E$2:$E$9,"&lt;"&amp;B88)+1</f>
        <v>5</v>
      </c>
      <c r="Q88">
        <f>INDEX(Shells!$C$2:$C$9,P88)</f>
        <v>32</v>
      </c>
      <c r="R88">
        <f>B88-IF(P88=1,0,INDEX(Shells!$E$2:$E$9,P88-1))</f>
        <v>27</v>
      </c>
      <c r="S88" t="str">
        <f>IF(R88=Q88,"CLOSED_SHELL","OPEN_SHELL")</f>
        <v>OPEN_SHELL</v>
      </c>
      <c r="T88" t="str">
        <f>IF(B88&gt;=Constants!$B$8,"CONSTANT_FRONTIER_TAIL_CANDIDATE",IF(I88=0,"CONSTANT_STABLE_ANCHOR_LANE",IF(I88=Constants!$B$2/2,"CONSTANT_HALF_WRITE_LANE","CONSTANT_BOUND_LADDER_LANE")))</f>
        <v>CONSTANT_BOUND_LADDER_LANE</v>
      </c>
      <c r="U88" t="str">
        <f>IF(B88&gt;=Constants!$B$8,"frontier",IF(AND(B88&lt;=Constants!$B$14,B88&lt;&gt;Constants!$B$15,B88&lt;&gt;Constants!$B$16),"stable","radioactive"))</f>
        <v>radioactive</v>
      </c>
      <c r="V88">
        <f>Constants!$B$9</f>
        <v>9.266927083333333</v>
      </c>
      <c r="W88">
        <f>B88*Constants!$B$9+(C88-B88)*Constants!$B$10</f>
        <v>807.00390625</v>
      </c>
      <c r="X88">
        <f>W88*Constants!$B$5</f>
        <v>6456.03125</v>
      </c>
      <c r="Y88">
        <f>W88*7</f>
        <v>5649.02734375</v>
      </c>
      <c r="Z88" t="str">
        <f>"shell "&amp;P88&amp;" occupancy "&amp;R88&amp;"/"&amp;Q88</f>
        <v>shell 5 occupancy 27/32</v>
      </c>
      <c r="AA88" t="str">
        <f>"closure"</f>
        <v>closure</v>
      </c>
      <c r="AB88" t="str">
        <f>"A=Z+N="&amp;B88&amp;"+"&amp;C88&amp;"="&amp;D88</f>
        <v>224</v>
      </c>
      <c r="AC88" t="str">
        <f>"SAM_CONSTANTS_ONLY_NO_FREE_INPUTS"</f>
        <v>SAM_CONSTANTS_ONLY_NO_FREE_INPUTS</v>
      </c>
    </row>
    <row r="89">
      <c r="A89" t="str">
        <f>"SOB"&amp;B89</f>
        <v>SOB88</v>
      </c>
      <c r="B89">
        <f>ROW()-1</f>
        <v>88</v>
      </c>
      <c r="C89">
        <f>B89+H89</f>
        <v>139</v>
      </c>
      <c r="D89">
        <f>B89+C89</f>
        <v>227</v>
      </c>
      <c r="E89">
        <f>INT((B89-1)/Constants!$B$2)+1</f>
        <v>8</v>
      </c>
      <c r="F89">
        <f>MOD(B89-1,Constants!$B$2)+1</f>
        <v>4</v>
      </c>
      <c r="G89">
        <f>MAX(0,E89-1)</f>
        <v>7</v>
      </c>
      <c r="H89">
        <f>INT(B89*G89/Constants!$B$2)</f>
        <v>51</v>
      </c>
      <c r="I89">
        <f>MOD(B89*G89,Constants!$B$2)</f>
        <v>4</v>
      </c>
      <c r="J89" t="str">
        <f>"P_"&amp;B89&amp;","&amp;D89</f>
        <v>P_88,227</v>
      </c>
      <c r="K89" t="str">
        <f>B89&amp;"p+"&amp;C89&amp;"n+"&amp;B89&amp;"e"</f>
        <v>88p+139n+88e</v>
      </c>
      <c r="L89">
        <f>2*B89+C89</f>
        <v>315</v>
      </c>
      <c r="M89">
        <f>B89+2*C89</f>
        <v>366</v>
      </c>
      <c r="N89">
        <f>B89</f>
        <v>88</v>
      </c>
      <c r="O89" t="str">
        <f>L89&amp;"u+"&amp;M89&amp;"d+"&amp;N89&amp;"e"</f>
        <v>315u+366d+88e</v>
      </c>
      <c r="P89">
        <f>COUNTIF(Shells!$E$2:$E$9,"&lt;"&amp;B89)+1</f>
        <v>5</v>
      </c>
      <c r="Q89">
        <f>INDEX(Shells!$C$2:$C$9,P89)</f>
        <v>32</v>
      </c>
      <c r="R89">
        <f>B89-IF(P89=1,0,INDEX(Shells!$E$2:$E$9,P89-1))</f>
        <v>28</v>
      </c>
      <c r="S89" t="str">
        <f>IF(R89=Q89,"CLOSED_SHELL","OPEN_SHELL")</f>
        <v>OPEN_SHELL</v>
      </c>
      <c r="T89" t="str">
        <f>IF(B89&gt;=Constants!$B$8,"CONSTANT_FRONTIER_TAIL_CANDIDATE",IF(I89=0,"CONSTANT_STABLE_ANCHOR_LANE",IF(I89=Constants!$B$2/2,"CONSTANT_HALF_WRITE_LANE","CONSTANT_BOUND_LADDER_LANE")))</f>
        <v>CONSTANT_BOUND_LADDER_LANE</v>
      </c>
      <c r="U89" t="str">
        <f>IF(B89&gt;=Constants!$B$8,"frontier",IF(AND(B89&lt;=Constants!$B$14,B89&lt;&gt;Constants!$B$15,B89&lt;&gt;Constants!$B$16),"stable","radioactive"))</f>
        <v>radioactive</v>
      </c>
      <c r="V89">
        <f>Constants!$B$9</f>
        <v>9.266927083333333</v>
      </c>
      <c r="W89">
        <f>B89*Constants!$B$9+(C89-B89)*Constants!$B$10</f>
        <v>816.286458333333333</v>
      </c>
      <c r="X89">
        <f>W89*Constants!$B$5</f>
        <v>6530.291666666666667</v>
      </c>
      <c r="Y89">
        <f>W89*7</f>
        <v>5714.005208333333333</v>
      </c>
      <c r="Z89" t="str">
        <f>"shell "&amp;P89&amp;" occupancy "&amp;R89&amp;"/"&amp;Q89</f>
        <v>shell 5 occupancy 28/32</v>
      </c>
      <c r="AA89" t="str">
        <f>"closure"</f>
        <v>closure</v>
      </c>
      <c r="AB89" t="str">
        <f>"A=Z+N="&amp;B89&amp;"+"&amp;C89&amp;"="&amp;D89</f>
        <v>227</v>
      </c>
      <c r="AC89" t="str">
        <f>"SAM_CONSTANTS_ONLY_NO_FREE_INPUTS"</f>
        <v>SAM_CONSTANTS_ONLY_NO_FREE_INPUTS</v>
      </c>
    </row>
    <row r="90">
      <c r="A90" t="str">
        <f>"SOB"&amp;B90</f>
        <v>SOB89</v>
      </c>
      <c r="B90">
        <f>ROW()-1</f>
        <v>89</v>
      </c>
      <c r="C90">
        <f>B90+H90</f>
        <v>140</v>
      </c>
      <c r="D90">
        <f>B90+C90</f>
        <v>229</v>
      </c>
      <c r="E90">
        <f>INT((B90-1)/Constants!$B$2)+1</f>
        <v>8</v>
      </c>
      <c r="F90">
        <f>MOD(B90-1,Constants!$B$2)+1</f>
        <v>5</v>
      </c>
      <c r="G90">
        <f>MAX(0,E90-1)</f>
        <v>7</v>
      </c>
      <c r="H90">
        <f>INT(B90*G90/Constants!$B$2)</f>
        <v>51</v>
      </c>
      <c r="I90">
        <f>MOD(B90*G90,Constants!$B$2)</f>
        <v>11</v>
      </c>
      <c r="J90" t="str">
        <f>"P_"&amp;B90&amp;","&amp;D90</f>
        <v>P_89,229</v>
      </c>
      <c r="K90" t="str">
        <f>B90&amp;"p+"&amp;C90&amp;"n+"&amp;B90&amp;"e"</f>
        <v>89p+140n+89e</v>
      </c>
      <c r="L90">
        <f>2*B90+C90</f>
        <v>318</v>
      </c>
      <c r="M90">
        <f>B90+2*C90</f>
        <v>369</v>
      </c>
      <c r="N90">
        <f>B90</f>
        <v>89</v>
      </c>
      <c r="O90" t="str">
        <f>L90&amp;"u+"&amp;M90&amp;"d+"&amp;N90&amp;"e"</f>
        <v>318u+369d+89e</v>
      </c>
      <c r="P90">
        <f>COUNTIF(Shells!$E$2:$E$9,"&lt;"&amp;B90)+1</f>
        <v>5</v>
      </c>
      <c r="Q90">
        <f>INDEX(Shells!$C$2:$C$9,P90)</f>
        <v>32</v>
      </c>
      <c r="R90">
        <f>B90-IF(P90=1,0,INDEX(Shells!$E$2:$E$9,P90-1))</f>
        <v>29</v>
      </c>
      <c r="S90" t="str">
        <f>IF(R90=Q90,"CLOSED_SHELL","OPEN_SHELL")</f>
        <v>OPEN_SHELL</v>
      </c>
      <c r="T90" t="str">
        <f>IF(B90&gt;=Constants!$B$8,"CONSTANT_FRONTIER_TAIL_CANDIDATE",IF(I90=0,"CONSTANT_STABLE_ANCHOR_LANE",IF(I90=Constants!$B$2/2,"CONSTANT_HALF_WRITE_LANE","CONSTANT_BOUND_LADDER_LANE")))</f>
        <v>CONSTANT_BOUND_LADDER_LANE</v>
      </c>
      <c r="U90" t="str">
        <f>IF(B90&gt;=Constants!$B$8,"frontier",IF(AND(B90&lt;=Constants!$B$14,B90&lt;&gt;Constants!$B$15,B90&lt;&gt;Constants!$B$16),"stable","radioactive"))</f>
        <v>radioactive</v>
      </c>
      <c r="V90">
        <f>Constants!$B$9</f>
        <v>9.266927083333333</v>
      </c>
      <c r="W90">
        <f>B90*Constants!$B$9+(C90-B90)*Constants!$B$10</f>
        <v>825.553385416666667</v>
      </c>
      <c r="X90">
        <f>W90*Constants!$B$5</f>
        <v>6604.427083333333333</v>
      </c>
      <c r="Y90">
        <f>W90*7</f>
        <v>5778.873697916666667</v>
      </c>
      <c r="Z90" t="str">
        <f>"shell "&amp;P90&amp;" occupancy "&amp;R90&amp;"/"&amp;Q90</f>
        <v>shell 5 occupancy 29/32</v>
      </c>
      <c r="AA90" t="str">
        <f>"closure"</f>
        <v>closure</v>
      </c>
      <c r="AB90" t="str">
        <f>"A=Z+N="&amp;B90&amp;"+"&amp;C90&amp;"="&amp;D90</f>
        <v>229</v>
      </c>
      <c r="AC90" t="str">
        <f>"SAM_CONSTANTS_ONLY_NO_FREE_INPUTS"</f>
        <v>SAM_CONSTANTS_ONLY_NO_FREE_INPUTS</v>
      </c>
    </row>
    <row r="91">
      <c r="A91" t="str">
        <f>"SOB"&amp;B91</f>
        <v>SOB90</v>
      </c>
      <c r="B91">
        <f>ROW()-1</f>
        <v>90</v>
      </c>
      <c r="C91">
        <f>B91+H91</f>
        <v>142</v>
      </c>
      <c r="D91">
        <f>B91+C91</f>
        <v>232</v>
      </c>
      <c r="E91">
        <f>INT((B91-1)/Constants!$B$2)+1</f>
        <v>8</v>
      </c>
      <c r="F91">
        <f>MOD(B91-1,Constants!$B$2)+1</f>
        <v>6</v>
      </c>
      <c r="G91">
        <f>MAX(0,E91-1)</f>
        <v>7</v>
      </c>
      <c r="H91">
        <f>INT(B91*G91/Constants!$B$2)</f>
        <v>52</v>
      </c>
      <c r="I91">
        <f>MOD(B91*G91,Constants!$B$2)</f>
        <v>6</v>
      </c>
      <c r="J91" t="str">
        <f>"P_"&amp;B91&amp;","&amp;D91</f>
        <v>P_90,232</v>
      </c>
      <c r="K91" t="str">
        <f>B91&amp;"p+"&amp;C91&amp;"n+"&amp;B91&amp;"e"</f>
        <v>90p+142n+90e</v>
      </c>
      <c r="L91">
        <f>2*B91+C91</f>
        <v>322</v>
      </c>
      <c r="M91">
        <f>B91+2*C91</f>
        <v>374</v>
      </c>
      <c r="N91">
        <f>B91</f>
        <v>90</v>
      </c>
      <c r="O91" t="str">
        <f>L91&amp;"u+"&amp;M91&amp;"d+"&amp;N91&amp;"e"</f>
        <v>322u+374d+90e</v>
      </c>
      <c r="P91">
        <f>COUNTIF(Shells!$E$2:$E$9,"&lt;"&amp;B91)+1</f>
        <v>5</v>
      </c>
      <c r="Q91">
        <f>INDEX(Shells!$C$2:$C$9,P91)</f>
        <v>32</v>
      </c>
      <c r="R91">
        <f>B91-IF(P91=1,0,INDEX(Shells!$E$2:$E$9,P91-1))</f>
        <v>30</v>
      </c>
      <c r="S91" t="str">
        <f>IF(R91=Q91,"CLOSED_SHELL","OPEN_SHELL")</f>
        <v>OPEN_SHELL</v>
      </c>
      <c r="T91" t="str">
        <f>IF(B91&gt;=Constants!$B$8,"CONSTANT_FRONTIER_TAIL_CANDIDATE",IF(I91=0,"CONSTANT_STABLE_ANCHOR_LANE",IF(I91=Constants!$B$2/2,"CONSTANT_HALF_WRITE_LANE","CONSTANT_BOUND_LADDER_LANE")))</f>
        <v>CONSTANT_HALF_WRITE_LANE</v>
      </c>
      <c r="U91" t="str">
        <f>IF(B91&gt;=Constants!$B$8,"frontier",IF(AND(B91&lt;=Constants!$B$14,B91&lt;&gt;Constants!$B$15,B91&lt;&gt;Constants!$B$16),"stable","radioactive"))</f>
        <v>radioactive</v>
      </c>
      <c r="V91">
        <f>Constants!$B$9</f>
        <v>9.266927083333333</v>
      </c>
      <c r="W91">
        <f>B91*Constants!$B$9+(C91-B91)*Constants!$B$10</f>
        <v>834.8359375</v>
      </c>
      <c r="X91">
        <f>W91*Constants!$B$5</f>
        <v>6678.6875</v>
      </c>
      <c r="Y91">
        <f>W91*7</f>
        <v>5843.8515625</v>
      </c>
      <c r="Z91" t="str">
        <f>"shell "&amp;P91&amp;" occupancy "&amp;R91&amp;"/"&amp;Q91</f>
        <v>shell 5 occupancy 30/32</v>
      </c>
      <c r="AA91" t="str">
        <f>"closure"</f>
        <v>closure</v>
      </c>
      <c r="AB91" t="str">
        <f>"A=Z+N="&amp;B91&amp;"+"&amp;C91&amp;"="&amp;D91</f>
        <v>232</v>
      </c>
      <c r="AC91" t="str">
        <f>"SAM_CONSTANTS_ONLY_NO_FREE_INPUTS"</f>
        <v>SAM_CONSTANTS_ONLY_NO_FREE_INPUTS</v>
      </c>
    </row>
    <row r="92">
      <c r="A92" t="str">
        <f>"SOB"&amp;B92</f>
        <v>SOB91</v>
      </c>
      <c r="B92">
        <f>ROW()-1</f>
        <v>91</v>
      </c>
      <c r="C92">
        <f>B92+H92</f>
        <v>144</v>
      </c>
      <c r="D92">
        <f>B92+C92</f>
        <v>235</v>
      </c>
      <c r="E92">
        <f>INT((B92-1)/Constants!$B$2)+1</f>
        <v>8</v>
      </c>
      <c r="F92">
        <f>MOD(B92-1,Constants!$B$2)+1</f>
        <v>7</v>
      </c>
      <c r="G92">
        <f>MAX(0,E92-1)</f>
        <v>7</v>
      </c>
      <c r="H92">
        <f>INT(B92*G92/Constants!$B$2)</f>
        <v>53</v>
      </c>
      <c r="I92">
        <f>MOD(B92*G92,Constants!$B$2)</f>
        <v>1</v>
      </c>
      <c r="J92" t="str">
        <f>"P_"&amp;B92&amp;","&amp;D92</f>
        <v>P_91,235</v>
      </c>
      <c r="K92" t="str">
        <f>B92&amp;"p+"&amp;C92&amp;"n+"&amp;B92&amp;"e"</f>
        <v>91p+144n+91e</v>
      </c>
      <c r="L92">
        <f>2*B92+C92</f>
        <v>326</v>
      </c>
      <c r="M92">
        <f>B92+2*C92</f>
        <v>379</v>
      </c>
      <c r="N92">
        <f>B92</f>
        <v>91</v>
      </c>
      <c r="O92" t="str">
        <f>L92&amp;"u+"&amp;M92&amp;"d+"&amp;N92&amp;"e"</f>
        <v>326u+379d+91e</v>
      </c>
      <c r="P92">
        <f>COUNTIF(Shells!$E$2:$E$9,"&lt;"&amp;B92)+1</f>
        <v>5</v>
      </c>
      <c r="Q92">
        <f>INDEX(Shells!$C$2:$C$9,P92)</f>
        <v>32</v>
      </c>
      <c r="R92">
        <f>B92-IF(P92=1,0,INDEX(Shells!$E$2:$E$9,P92-1))</f>
        <v>31</v>
      </c>
      <c r="S92" t="str">
        <f>IF(R92=Q92,"CLOSED_SHELL","OPEN_SHELL")</f>
        <v>OPEN_SHELL</v>
      </c>
      <c r="T92" t="str">
        <f>IF(B92&gt;=Constants!$B$8,"CONSTANT_FRONTIER_TAIL_CANDIDATE",IF(I92=0,"CONSTANT_STABLE_ANCHOR_LANE",IF(I92=Constants!$B$2/2,"CONSTANT_HALF_WRITE_LANE","CONSTANT_BOUND_LADDER_LANE")))</f>
        <v>CONSTANT_BOUND_LADDER_LANE</v>
      </c>
      <c r="U92" t="str">
        <f>IF(B92&gt;=Constants!$B$8,"frontier",IF(AND(B92&lt;=Constants!$B$14,B92&lt;&gt;Constants!$B$15,B92&lt;&gt;Constants!$B$16),"stable","radioactive"))</f>
        <v>radioactive</v>
      </c>
      <c r="V92">
        <f>Constants!$B$9</f>
        <v>9.266927083333333</v>
      </c>
      <c r="W92">
        <f>B92*Constants!$B$9+(C92-B92)*Constants!$B$10</f>
        <v>844.118489583333333</v>
      </c>
      <c r="X92">
        <f>W92*Constants!$B$5</f>
        <v>6752.947916666666667</v>
      </c>
      <c r="Y92">
        <f>W92*7</f>
        <v>5908.829427083333333</v>
      </c>
      <c r="Z92" t="str">
        <f>"shell "&amp;P92&amp;" occupancy "&amp;R92&amp;"/"&amp;Q92</f>
        <v>shell 5 occupancy 31/32</v>
      </c>
      <c r="AA92" t="str">
        <f>"closure"</f>
        <v>closure</v>
      </c>
      <c r="AB92" t="str">
        <f>"A=Z+N="&amp;B92&amp;"+"&amp;C92&amp;"="&amp;D92</f>
        <v>235</v>
      </c>
      <c r="AC92" t="str">
        <f>"SAM_CONSTANTS_ONLY_NO_FREE_INPUTS"</f>
        <v>SAM_CONSTANTS_ONLY_NO_FREE_INPUTS</v>
      </c>
    </row>
    <row r="93">
      <c r="A93" t="str">
        <f>"SOB"&amp;B93</f>
        <v>SOB92</v>
      </c>
      <c r="B93">
        <f>ROW()-1</f>
        <v>92</v>
      </c>
      <c r="C93">
        <f>B93+H93</f>
        <v>145</v>
      </c>
      <c r="D93">
        <f>B93+C93</f>
        <v>237</v>
      </c>
      <c r="E93">
        <f>INT((B93-1)/Constants!$B$2)+1</f>
        <v>8</v>
      </c>
      <c r="F93">
        <f>MOD(B93-1,Constants!$B$2)+1</f>
        <v>8</v>
      </c>
      <c r="G93">
        <f>MAX(0,E93-1)</f>
        <v>7</v>
      </c>
      <c r="H93">
        <f>INT(B93*G93/Constants!$B$2)</f>
        <v>53</v>
      </c>
      <c r="I93">
        <f>MOD(B93*G93,Constants!$B$2)</f>
        <v>8</v>
      </c>
      <c r="J93" t="str">
        <f>"P_"&amp;B93&amp;","&amp;D93</f>
        <v>P_92,237</v>
      </c>
      <c r="K93" t="str">
        <f>B93&amp;"p+"&amp;C93&amp;"n+"&amp;B93&amp;"e"</f>
        <v>92p+145n+92e</v>
      </c>
      <c r="L93">
        <f>2*B93+C93</f>
        <v>329</v>
      </c>
      <c r="M93">
        <f>B93+2*C93</f>
        <v>382</v>
      </c>
      <c r="N93">
        <f>B93</f>
        <v>92</v>
      </c>
      <c r="O93" t="str">
        <f>L93&amp;"u+"&amp;M93&amp;"d+"&amp;N93&amp;"e"</f>
        <v>329u+382d+92e</v>
      </c>
      <c r="P93">
        <f>COUNTIF(Shells!$E$2:$E$9,"&lt;"&amp;B93)+1</f>
        <v>5</v>
      </c>
      <c r="Q93">
        <f>INDEX(Shells!$C$2:$C$9,P93)</f>
        <v>32</v>
      </c>
      <c r="R93">
        <f>B93-IF(P93=1,0,INDEX(Shells!$E$2:$E$9,P93-1))</f>
        <v>32</v>
      </c>
      <c r="S93" t="str">
        <f>IF(R93=Q93,"CLOSED_SHELL","OPEN_SHELL")</f>
        <v>CLOSED_SHELL</v>
      </c>
      <c r="T93" t="str">
        <f>IF(B93&gt;=Constants!$B$8,"CONSTANT_FRONTIER_TAIL_CANDIDATE",IF(I93=0,"CONSTANT_STABLE_ANCHOR_LANE",IF(I93=Constants!$B$2/2,"CONSTANT_HALF_WRITE_LANE","CONSTANT_BOUND_LADDER_LANE")))</f>
        <v>CONSTANT_BOUND_LADDER_LANE</v>
      </c>
      <c r="U93" t="str">
        <f>IF(B93&gt;=Constants!$B$8,"frontier",IF(AND(B93&lt;=Constants!$B$14,B93&lt;&gt;Constants!$B$15,B93&lt;&gt;Constants!$B$16),"stable","radioactive"))</f>
        <v>radioactive</v>
      </c>
      <c r="V93">
        <f>Constants!$B$9</f>
        <v>9.266927083333333</v>
      </c>
      <c r="W93">
        <f>B93*Constants!$B$9+(C93-B93)*Constants!$B$10</f>
        <v>853.385416666666667</v>
      </c>
      <c r="X93">
        <f>W93*Constants!$B$5</f>
        <v>6827.083333333333333</v>
      </c>
      <c r="Y93">
        <f>W93*7</f>
        <v>5973.697916666666667</v>
      </c>
      <c r="Z93" t="str">
        <f>"shell "&amp;P93&amp;" occupancy "&amp;R93&amp;"/"&amp;Q93</f>
        <v>shell 5 occupancy 32/32</v>
      </c>
      <c r="AA93" t="str">
        <f>"closure"</f>
        <v>closure</v>
      </c>
      <c r="AB93" t="str">
        <f>"A=Z+N="&amp;B93&amp;"+"&amp;C93&amp;"="&amp;D93</f>
        <v>237</v>
      </c>
      <c r="AC93" t="str">
        <f>"SAM_CONSTANTS_ONLY_NO_FREE_INPUTS"</f>
        <v>SAM_CONSTANTS_ONLY_NO_FREE_INPUTS</v>
      </c>
    </row>
    <row r="94">
      <c r="A94" t="str">
        <f>"SOB"&amp;B94</f>
        <v>SOB93</v>
      </c>
      <c r="B94">
        <f>ROW()-1</f>
        <v>93</v>
      </c>
      <c r="C94">
        <f>B94+H94</f>
        <v>147</v>
      </c>
      <c r="D94">
        <f>B94+C94</f>
        <v>240</v>
      </c>
      <c r="E94">
        <f>INT((B94-1)/Constants!$B$2)+1</f>
        <v>8</v>
      </c>
      <c r="F94">
        <f>MOD(B94-1,Constants!$B$2)+1</f>
        <v>9</v>
      </c>
      <c r="G94">
        <f>MAX(0,E94-1)</f>
        <v>7</v>
      </c>
      <c r="H94">
        <f>INT(B94*G94/Constants!$B$2)</f>
        <v>54</v>
      </c>
      <c r="I94">
        <f>MOD(B94*G94,Constants!$B$2)</f>
        <v>3</v>
      </c>
      <c r="J94" t="str">
        <f>"P_"&amp;B94&amp;","&amp;D94</f>
        <v>P_93,240</v>
      </c>
      <c r="K94" t="str">
        <f>B94&amp;"p+"&amp;C94&amp;"n+"&amp;B94&amp;"e"</f>
        <v>93p+147n+93e</v>
      </c>
      <c r="L94">
        <f>2*B94+C94</f>
        <v>333</v>
      </c>
      <c r="M94">
        <f>B94+2*C94</f>
        <v>387</v>
      </c>
      <c r="N94">
        <f>B94</f>
        <v>93</v>
      </c>
      <c r="O94" t="str">
        <f>L94&amp;"u+"&amp;M94&amp;"d+"&amp;N94&amp;"e"</f>
        <v>333u+387d+93e</v>
      </c>
      <c r="P94">
        <f>COUNTIF(Shells!$E$2:$E$9,"&lt;"&amp;B94)+1</f>
        <v>6</v>
      </c>
      <c r="Q94">
        <f>INDEX(Shells!$C$2:$C$9,P94)</f>
        <v>18</v>
      </c>
      <c r="R94">
        <f>B94-IF(P94=1,0,INDEX(Shells!$E$2:$E$9,P94-1))</f>
        <v>1</v>
      </c>
      <c r="S94" t="str">
        <f>IF(R94=Q94,"CLOSED_SHELL","OPEN_SHELL")</f>
        <v>OPEN_SHELL</v>
      </c>
      <c r="T94" t="str">
        <f>IF(B94&gt;=Constants!$B$8,"CONSTANT_FRONTIER_TAIL_CANDIDATE",IF(I94=0,"CONSTANT_STABLE_ANCHOR_LANE",IF(I94=Constants!$B$2/2,"CONSTANT_HALF_WRITE_LANE","CONSTANT_BOUND_LADDER_LANE")))</f>
        <v>CONSTANT_BOUND_LADDER_LANE</v>
      </c>
      <c r="U94" t="str">
        <f>IF(B94&gt;=Constants!$B$8,"frontier",IF(AND(B94&lt;=Constants!$B$14,B94&lt;&gt;Constants!$B$15,B94&lt;&gt;Constants!$B$16),"stable","radioactive"))</f>
        <v>radioactive</v>
      </c>
      <c r="V94">
        <f>Constants!$B$9</f>
        <v>9.266927083333333</v>
      </c>
      <c r="W94">
        <f>B94*Constants!$B$9+(C94-B94)*Constants!$B$10</f>
        <v>862.66796875</v>
      </c>
      <c r="X94">
        <f>W94*Constants!$B$5</f>
        <v>6901.34375</v>
      </c>
      <c r="Y94">
        <f>W94*7</f>
        <v>6038.67578125</v>
      </c>
      <c r="Z94" t="str">
        <f>"shell "&amp;P94&amp;" occupancy "&amp;R94&amp;"/"&amp;Q94</f>
        <v>shell 6 occupancy 1/18</v>
      </c>
      <c r="AA94" t="str">
        <f>"closure"</f>
        <v>closure</v>
      </c>
      <c r="AB94" t="str">
        <f>"A=Z+N="&amp;B94&amp;"+"&amp;C94&amp;"="&amp;D94</f>
        <v>240</v>
      </c>
      <c r="AC94" t="str">
        <f>"SAM_CONSTANTS_ONLY_NO_FREE_INPUTS"</f>
        <v>SAM_CONSTANTS_ONLY_NO_FREE_INPUTS</v>
      </c>
    </row>
    <row r="95">
      <c r="A95" t="str">
        <f>"SOB"&amp;B95</f>
        <v>SOB94</v>
      </c>
      <c r="B95">
        <f>ROW()-1</f>
        <v>94</v>
      </c>
      <c r="C95">
        <f>B95+H95</f>
        <v>148</v>
      </c>
      <c r="D95">
        <f>B95+C95</f>
        <v>242</v>
      </c>
      <c r="E95">
        <f>INT((B95-1)/Constants!$B$2)+1</f>
        <v>8</v>
      </c>
      <c r="F95">
        <f>MOD(B95-1,Constants!$B$2)+1</f>
        <v>10</v>
      </c>
      <c r="G95">
        <f>MAX(0,E95-1)</f>
        <v>7</v>
      </c>
      <c r="H95">
        <f>INT(B95*G95/Constants!$B$2)</f>
        <v>54</v>
      </c>
      <c r="I95">
        <f>MOD(B95*G95,Constants!$B$2)</f>
        <v>10</v>
      </c>
      <c r="J95" t="str">
        <f>"P_"&amp;B95&amp;","&amp;D95</f>
        <v>P_94,242</v>
      </c>
      <c r="K95" t="str">
        <f>B95&amp;"p+"&amp;C95&amp;"n+"&amp;B95&amp;"e"</f>
        <v>94p+148n+94e</v>
      </c>
      <c r="L95">
        <f>2*B95+C95</f>
        <v>336</v>
      </c>
      <c r="M95">
        <f>B95+2*C95</f>
        <v>390</v>
      </c>
      <c r="N95">
        <f>B95</f>
        <v>94</v>
      </c>
      <c r="O95" t="str">
        <f>L95&amp;"u+"&amp;M95&amp;"d+"&amp;N95&amp;"e"</f>
        <v>336u+390d+94e</v>
      </c>
      <c r="P95">
        <f>COUNTIF(Shells!$E$2:$E$9,"&lt;"&amp;B95)+1</f>
        <v>6</v>
      </c>
      <c r="Q95">
        <f>INDEX(Shells!$C$2:$C$9,P95)</f>
        <v>18</v>
      </c>
      <c r="R95">
        <f>B95-IF(P95=1,0,INDEX(Shells!$E$2:$E$9,P95-1))</f>
        <v>2</v>
      </c>
      <c r="S95" t="str">
        <f>IF(R95=Q95,"CLOSED_SHELL","OPEN_SHELL")</f>
        <v>OPEN_SHELL</v>
      </c>
      <c r="T95" t="str">
        <f>IF(B95&gt;=Constants!$B$8,"CONSTANT_FRONTIER_TAIL_CANDIDATE",IF(I95=0,"CONSTANT_STABLE_ANCHOR_LANE",IF(I95=Constants!$B$2/2,"CONSTANT_HALF_WRITE_LANE","CONSTANT_BOUND_LADDER_LANE")))</f>
        <v>CONSTANT_BOUND_LADDER_LANE</v>
      </c>
      <c r="U95" t="str">
        <f>IF(B95&gt;=Constants!$B$8,"frontier",IF(AND(B95&lt;=Constants!$B$14,B95&lt;&gt;Constants!$B$15,B95&lt;&gt;Constants!$B$16),"stable","radioactive"))</f>
        <v>radioactive</v>
      </c>
      <c r="V95">
        <f>Constants!$B$9</f>
        <v>9.266927083333333</v>
      </c>
      <c r="W95">
        <f>B95*Constants!$B$9+(C95-B95)*Constants!$B$10</f>
        <v>871.934895833333333</v>
      </c>
      <c r="X95">
        <f>W95*Constants!$B$5</f>
        <v>6975.479166666666667</v>
      </c>
      <c r="Y95">
        <f>W95*7</f>
        <v>6103.544270833333333</v>
      </c>
      <c r="Z95" t="str">
        <f>"shell "&amp;P95&amp;" occupancy "&amp;R95&amp;"/"&amp;Q95</f>
        <v>shell 6 occupancy 2/18</v>
      </c>
      <c r="AA95" t="str">
        <f>"closure"</f>
        <v>closure</v>
      </c>
      <c r="AB95" t="str">
        <f>"A=Z+N="&amp;B95&amp;"+"&amp;C95&amp;"="&amp;D95</f>
        <v>242</v>
      </c>
      <c r="AC95" t="str">
        <f>"SAM_CONSTANTS_ONLY_NO_FREE_INPUTS"</f>
        <v>SAM_CONSTANTS_ONLY_NO_FREE_INPUTS</v>
      </c>
    </row>
    <row r="96">
      <c r="A96" t="str">
        <f>"SOB"&amp;B96</f>
        <v>SOB95</v>
      </c>
      <c r="B96">
        <f>ROW()-1</f>
        <v>95</v>
      </c>
      <c r="C96">
        <f>B96+H96</f>
        <v>150</v>
      </c>
      <c r="D96">
        <f>B96+C96</f>
        <v>245</v>
      </c>
      <c r="E96">
        <f>INT((B96-1)/Constants!$B$2)+1</f>
        <v>8</v>
      </c>
      <c r="F96">
        <f>MOD(B96-1,Constants!$B$2)+1</f>
        <v>11</v>
      </c>
      <c r="G96">
        <f>MAX(0,E96-1)</f>
        <v>7</v>
      </c>
      <c r="H96">
        <f>INT(B96*G96/Constants!$B$2)</f>
        <v>55</v>
      </c>
      <c r="I96">
        <f>MOD(B96*G96,Constants!$B$2)</f>
        <v>5</v>
      </c>
      <c r="J96" t="str">
        <f>"P_"&amp;B96&amp;","&amp;D96</f>
        <v>P_95,245</v>
      </c>
      <c r="K96" t="str">
        <f>B96&amp;"p+"&amp;C96&amp;"n+"&amp;B96&amp;"e"</f>
        <v>95p+150n+95e</v>
      </c>
      <c r="L96">
        <f>2*B96+C96</f>
        <v>340</v>
      </c>
      <c r="M96">
        <f>B96+2*C96</f>
        <v>395</v>
      </c>
      <c r="N96">
        <f>B96</f>
        <v>95</v>
      </c>
      <c r="O96" t="str">
        <f>L96&amp;"u+"&amp;M96&amp;"d+"&amp;N96&amp;"e"</f>
        <v>340u+395d+95e</v>
      </c>
      <c r="P96">
        <f>COUNTIF(Shells!$E$2:$E$9,"&lt;"&amp;B96)+1</f>
        <v>6</v>
      </c>
      <c r="Q96">
        <f>INDEX(Shells!$C$2:$C$9,P96)</f>
        <v>18</v>
      </c>
      <c r="R96">
        <f>B96-IF(P96=1,0,INDEX(Shells!$E$2:$E$9,P96-1))</f>
        <v>3</v>
      </c>
      <c r="S96" t="str">
        <f>IF(R96=Q96,"CLOSED_SHELL","OPEN_SHELL")</f>
        <v>OPEN_SHELL</v>
      </c>
      <c r="T96" t="str">
        <f>IF(B96&gt;=Constants!$B$8,"CONSTANT_FRONTIER_TAIL_CANDIDATE",IF(I96=0,"CONSTANT_STABLE_ANCHOR_LANE",IF(I96=Constants!$B$2/2,"CONSTANT_HALF_WRITE_LANE","CONSTANT_BOUND_LADDER_LANE")))</f>
        <v>CONSTANT_BOUND_LADDER_LANE</v>
      </c>
      <c r="U96" t="str">
        <f>IF(B96&gt;=Constants!$B$8,"frontier",IF(AND(B96&lt;=Constants!$B$14,B96&lt;&gt;Constants!$B$15,B96&lt;&gt;Constants!$B$16),"stable","radioactive"))</f>
        <v>radioactive</v>
      </c>
      <c r="V96">
        <f>Constants!$B$9</f>
        <v>9.266927083333333</v>
      </c>
      <c r="W96">
        <f>B96*Constants!$B$9+(C96-B96)*Constants!$B$10</f>
        <v>881.217447916666667</v>
      </c>
      <c r="X96">
        <f>W96*Constants!$B$5</f>
        <v>7049.739583333333333</v>
      </c>
      <c r="Y96">
        <f>W96*7</f>
        <v>6168.522135416666667</v>
      </c>
      <c r="Z96" t="str">
        <f>"shell "&amp;P96&amp;" occupancy "&amp;R96&amp;"/"&amp;Q96</f>
        <v>shell 6 occupancy 3/18</v>
      </c>
      <c r="AA96" t="str">
        <f>"closure"</f>
        <v>closure</v>
      </c>
      <c r="AB96" t="str">
        <f>"A=Z+N="&amp;B96&amp;"+"&amp;C96&amp;"="&amp;D96</f>
        <v>245</v>
      </c>
      <c r="AC96" t="str">
        <f>"SAM_CONSTANTS_ONLY_NO_FREE_INPUTS"</f>
        <v>SAM_CONSTANTS_ONLY_NO_FREE_INPUTS</v>
      </c>
    </row>
    <row r="97">
      <c r="A97" t="str">
        <f>"SOB"&amp;B97</f>
        <v>SOB96</v>
      </c>
      <c r="B97">
        <f>ROW()-1</f>
        <v>96</v>
      </c>
      <c r="C97">
        <f>B97+H97</f>
        <v>152</v>
      </c>
      <c r="D97">
        <f>B97+C97</f>
        <v>248</v>
      </c>
      <c r="E97">
        <f>INT((B97-1)/Constants!$B$2)+1</f>
        <v>8</v>
      </c>
      <c r="F97">
        <f>MOD(B97-1,Constants!$B$2)+1</f>
        <v>12</v>
      </c>
      <c r="G97">
        <f>MAX(0,E97-1)</f>
        <v>7</v>
      </c>
      <c r="H97">
        <f>INT(B97*G97/Constants!$B$2)</f>
        <v>56</v>
      </c>
      <c r="I97">
        <f>MOD(B97*G97,Constants!$B$2)</f>
        <v>0</v>
      </c>
      <c r="J97" t="str">
        <f>"P_"&amp;B97&amp;","&amp;D97</f>
        <v>P_96,248</v>
      </c>
      <c r="K97" t="str">
        <f>B97&amp;"p+"&amp;C97&amp;"n+"&amp;B97&amp;"e"</f>
        <v>96p+152n+96e</v>
      </c>
      <c r="L97">
        <f>2*B97+C97</f>
        <v>344</v>
      </c>
      <c r="M97">
        <f>B97+2*C97</f>
        <v>400</v>
      </c>
      <c r="N97">
        <f>B97</f>
        <v>96</v>
      </c>
      <c r="O97" t="str">
        <f>L97&amp;"u+"&amp;M97&amp;"d+"&amp;N97&amp;"e"</f>
        <v>344u+400d+96e</v>
      </c>
      <c r="P97">
        <f>COUNTIF(Shells!$E$2:$E$9,"&lt;"&amp;B97)+1</f>
        <v>6</v>
      </c>
      <c r="Q97">
        <f>INDEX(Shells!$C$2:$C$9,P97)</f>
        <v>18</v>
      </c>
      <c r="R97">
        <f>B97-IF(P97=1,0,INDEX(Shells!$E$2:$E$9,P97-1))</f>
        <v>4</v>
      </c>
      <c r="S97" t="str">
        <f>IF(R97=Q97,"CLOSED_SHELL","OPEN_SHELL")</f>
        <v>OPEN_SHELL</v>
      </c>
      <c r="T97" t="str">
        <f>IF(B97&gt;=Constants!$B$8,"CONSTANT_FRONTIER_TAIL_CANDIDATE",IF(I97=0,"CONSTANT_STABLE_ANCHOR_LANE",IF(I97=Constants!$B$2/2,"CONSTANT_HALF_WRITE_LANE","CONSTANT_BOUND_LADDER_LANE")))</f>
        <v>CONSTANT_STABLE_ANCHOR_LANE</v>
      </c>
      <c r="U97" t="str">
        <f>IF(B97&gt;=Constants!$B$8,"frontier",IF(AND(B97&lt;=Constants!$B$14,B97&lt;&gt;Constants!$B$15,B97&lt;&gt;Constants!$B$16),"stable","radioactive"))</f>
        <v>radioactive</v>
      </c>
      <c r="V97">
        <f>Constants!$B$9</f>
        <v>9.266927083333333</v>
      </c>
      <c r="W97">
        <f>B97*Constants!$B$9+(C97-B97)*Constants!$B$10</f>
        <v>890.5</v>
      </c>
      <c r="X97">
        <f>W97*Constants!$B$5</f>
        <v>7124</v>
      </c>
      <c r="Y97">
        <f>W97*7</f>
        <v>6233.5</v>
      </c>
      <c r="Z97" t="str">
        <f>"shell "&amp;P97&amp;" occupancy "&amp;R97&amp;"/"&amp;Q97</f>
        <v>shell 6 occupancy 4/18</v>
      </c>
      <c r="AA97" t="str">
        <f>"closure"</f>
        <v>closure</v>
      </c>
      <c r="AB97" t="str">
        <f>"A=Z+N="&amp;B97&amp;"+"&amp;C97&amp;"="&amp;D97</f>
        <v>248</v>
      </c>
      <c r="AC97" t="str">
        <f>"SAM_CONSTANTS_ONLY_NO_FREE_INPUTS"</f>
        <v>SAM_CONSTANTS_ONLY_NO_FREE_INPUTS</v>
      </c>
    </row>
    <row r="98">
      <c r="A98" t="str">
        <f>"SOB"&amp;B98</f>
        <v>SOB97</v>
      </c>
      <c r="B98">
        <f>ROW()-1</f>
        <v>97</v>
      </c>
      <c r="C98">
        <f>B98+H98</f>
        <v>161</v>
      </c>
      <c r="D98">
        <f>B98+C98</f>
        <v>258</v>
      </c>
      <c r="E98">
        <f>INT((B98-1)/Constants!$B$2)+1</f>
        <v>9</v>
      </c>
      <c r="F98">
        <f>MOD(B98-1,Constants!$B$2)+1</f>
        <v>1</v>
      </c>
      <c r="G98">
        <f>MAX(0,E98-1)</f>
        <v>8</v>
      </c>
      <c r="H98">
        <f>INT(B98*G98/Constants!$B$2)</f>
        <v>64</v>
      </c>
      <c r="I98">
        <f>MOD(B98*G98,Constants!$B$2)</f>
        <v>8</v>
      </c>
      <c r="J98" t="str">
        <f>"P_"&amp;B98&amp;","&amp;D98</f>
        <v>P_97,258</v>
      </c>
      <c r="K98" t="str">
        <f>B98&amp;"p+"&amp;C98&amp;"n+"&amp;B98&amp;"e"</f>
        <v>97p+161n+97e</v>
      </c>
      <c r="L98">
        <f>2*B98+C98</f>
        <v>355</v>
      </c>
      <c r="M98">
        <f>B98+2*C98</f>
        <v>419</v>
      </c>
      <c r="N98">
        <f>B98</f>
        <v>97</v>
      </c>
      <c r="O98" t="str">
        <f>L98&amp;"u+"&amp;M98&amp;"d+"&amp;N98&amp;"e"</f>
        <v>355u+419d+97e</v>
      </c>
      <c r="P98">
        <f>COUNTIF(Shells!$E$2:$E$9,"&lt;"&amp;B98)+1</f>
        <v>6</v>
      </c>
      <c r="Q98">
        <f>INDEX(Shells!$C$2:$C$9,P98)</f>
        <v>18</v>
      </c>
      <c r="R98">
        <f>B98-IF(P98=1,0,INDEX(Shells!$E$2:$E$9,P98-1))</f>
        <v>5</v>
      </c>
      <c r="S98" t="str">
        <f>IF(R98=Q98,"CLOSED_SHELL","OPEN_SHELL")</f>
        <v>OPEN_SHELL</v>
      </c>
      <c r="T98" t="str">
        <f>IF(B98&gt;=Constants!$B$8,"CONSTANT_FRONTIER_TAIL_CANDIDATE",IF(I98=0,"CONSTANT_STABLE_ANCHOR_LANE",IF(I98=Constants!$B$2/2,"CONSTANT_HALF_WRITE_LANE","CONSTANT_BOUND_LADDER_LANE")))</f>
        <v>CONSTANT_BOUND_LADDER_LANE</v>
      </c>
      <c r="U98" t="str">
        <f>IF(B98&gt;=Constants!$B$8,"frontier",IF(AND(B98&lt;=Constants!$B$14,B98&lt;&gt;Constants!$B$15,B98&lt;&gt;Constants!$B$16),"stable","radioactive"))</f>
        <v>radioactive</v>
      </c>
      <c r="V98">
        <f>Constants!$B$9</f>
        <v>9.266927083333333</v>
      </c>
      <c r="W98">
        <f>B98*Constants!$B$9+(C98-B98)*Constants!$B$10</f>
        <v>899.891927083333333</v>
      </c>
      <c r="X98">
        <f>W98*Constants!$B$5</f>
        <v>7199.135416666666667</v>
      </c>
      <c r="Y98">
        <f>W98*7</f>
        <v>6299.243489583333333</v>
      </c>
      <c r="Z98" t="str">
        <f>"shell "&amp;P98&amp;" occupancy "&amp;R98&amp;"/"&amp;Q98</f>
        <v>shell 6 occupancy 5/18</v>
      </c>
      <c r="AA98" t="str">
        <f>"closure"</f>
        <v>closure</v>
      </c>
      <c r="AB98" t="str">
        <f>"A=Z+N="&amp;B98&amp;"+"&amp;C98&amp;"="&amp;D98</f>
        <v>258</v>
      </c>
      <c r="AC98" t="str">
        <f>"SAM_CONSTANTS_ONLY_NO_FREE_INPUTS"</f>
        <v>SAM_CONSTANTS_ONLY_NO_FREE_INPUTS</v>
      </c>
    </row>
    <row r="99">
      <c r="A99" t="str">
        <f>"SOB"&amp;B99</f>
        <v>SOB98</v>
      </c>
      <c r="B99">
        <f>ROW()-1</f>
        <v>98</v>
      </c>
      <c r="C99">
        <f>B99+H99</f>
        <v>163</v>
      </c>
      <c r="D99">
        <f>B99+C99</f>
        <v>261</v>
      </c>
      <c r="E99">
        <f>INT((B99-1)/Constants!$B$2)+1</f>
        <v>9</v>
      </c>
      <c r="F99">
        <f>MOD(B99-1,Constants!$B$2)+1</f>
        <v>2</v>
      </c>
      <c r="G99">
        <f>MAX(0,E99-1)</f>
        <v>8</v>
      </c>
      <c r="H99">
        <f>INT(B99*G99/Constants!$B$2)</f>
        <v>65</v>
      </c>
      <c r="I99">
        <f>MOD(B99*G99,Constants!$B$2)</f>
        <v>4</v>
      </c>
      <c r="J99" t="str">
        <f>"P_"&amp;B99&amp;","&amp;D99</f>
        <v>P_98,261</v>
      </c>
      <c r="K99" t="str">
        <f>B99&amp;"p+"&amp;C99&amp;"n+"&amp;B99&amp;"e"</f>
        <v>98p+163n+98e</v>
      </c>
      <c r="L99">
        <f>2*B99+C99</f>
        <v>359</v>
      </c>
      <c r="M99">
        <f>B99+2*C99</f>
        <v>424</v>
      </c>
      <c r="N99">
        <f>B99</f>
        <v>98</v>
      </c>
      <c r="O99" t="str">
        <f>L99&amp;"u+"&amp;M99&amp;"d+"&amp;N99&amp;"e"</f>
        <v>359u+424d+98e</v>
      </c>
      <c r="P99">
        <f>COUNTIF(Shells!$E$2:$E$9,"&lt;"&amp;B99)+1</f>
        <v>6</v>
      </c>
      <c r="Q99">
        <f>INDEX(Shells!$C$2:$C$9,P99)</f>
        <v>18</v>
      </c>
      <c r="R99">
        <f>B99-IF(P99=1,0,INDEX(Shells!$E$2:$E$9,P99-1))</f>
        <v>6</v>
      </c>
      <c r="S99" t="str">
        <f>IF(R99=Q99,"CLOSED_SHELL","OPEN_SHELL")</f>
        <v>OPEN_SHELL</v>
      </c>
      <c r="T99" t="str">
        <f>IF(B99&gt;=Constants!$B$8,"CONSTANT_FRONTIER_TAIL_CANDIDATE",IF(I99=0,"CONSTANT_STABLE_ANCHOR_LANE",IF(I99=Constants!$B$2/2,"CONSTANT_HALF_WRITE_LANE","CONSTANT_BOUND_LADDER_LANE")))</f>
        <v>CONSTANT_BOUND_LADDER_LANE</v>
      </c>
      <c r="U99" t="str">
        <f>IF(B99&gt;=Constants!$B$8,"frontier",IF(AND(B99&lt;=Constants!$B$14,B99&lt;&gt;Constants!$B$15,B99&lt;&gt;Constants!$B$16),"stable","radioactive"))</f>
        <v>radioactive</v>
      </c>
      <c r="V99">
        <f>Constants!$B$9</f>
        <v>9.266927083333333</v>
      </c>
      <c r="W99">
        <f>B99*Constants!$B$9+(C99-B99)*Constants!$B$10</f>
        <v>909.174479166666667</v>
      </c>
      <c r="X99">
        <f>W99*Constants!$B$5</f>
        <v>7273.395833333333333</v>
      </c>
      <c r="Y99">
        <f>W99*7</f>
        <v>6364.221354166666667</v>
      </c>
      <c r="Z99" t="str">
        <f>"shell "&amp;P99&amp;" occupancy "&amp;R99&amp;"/"&amp;Q99</f>
        <v>shell 6 occupancy 6/18</v>
      </c>
      <c r="AA99" t="str">
        <f>"closure"</f>
        <v>closure</v>
      </c>
      <c r="AB99" t="str">
        <f>"A=Z+N="&amp;B99&amp;"+"&amp;C99&amp;"="&amp;D99</f>
        <v>261</v>
      </c>
      <c r="AC99" t="str">
        <f>"SAM_CONSTANTS_ONLY_NO_FREE_INPUTS"</f>
        <v>SAM_CONSTANTS_ONLY_NO_FREE_INPUTS</v>
      </c>
    </row>
    <row r="100">
      <c r="A100" t="str">
        <f>"SOB"&amp;B100</f>
        <v>SOB99</v>
      </c>
      <c r="B100">
        <f>ROW()-1</f>
        <v>99</v>
      </c>
      <c r="C100">
        <f>B100+H100</f>
        <v>165</v>
      </c>
      <c r="D100">
        <f>B100+C100</f>
        <v>264</v>
      </c>
      <c r="E100">
        <f>INT((B100-1)/Constants!$B$2)+1</f>
        <v>9</v>
      </c>
      <c r="F100">
        <f>MOD(B100-1,Constants!$B$2)+1</f>
        <v>3</v>
      </c>
      <c r="G100">
        <f>MAX(0,E100-1)</f>
        <v>8</v>
      </c>
      <c r="H100">
        <f>INT(B100*G100/Constants!$B$2)</f>
        <v>66</v>
      </c>
      <c r="I100">
        <f>MOD(B100*G100,Constants!$B$2)</f>
        <v>0</v>
      </c>
      <c r="J100" t="str">
        <f>"P_"&amp;B100&amp;","&amp;D100</f>
        <v>P_99,264</v>
      </c>
      <c r="K100" t="str">
        <f>B100&amp;"p+"&amp;C100&amp;"n+"&amp;B100&amp;"e"</f>
        <v>99p+165n+99e</v>
      </c>
      <c r="L100">
        <f>2*B100+C100</f>
        <v>363</v>
      </c>
      <c r="M100">
        <f>B100+2*C100</f>
        <v>429</v>
      </c>
      <c r="N100">
        <f>B100</f>
        <v>99</v>
      </c>
      <c r="O100" t="str">
        <f>L100&amp;"u+"&amp;M100&amp;"d+"&amp;N100&amp;"e"</f>
        <v>363u+429d+99e</v>
      </c>
      <c r="P100">
        <f>COUNTIF(Shells!$E$2:$E$9,"&lt;"&amp;B100)+1</f>
        <v>6</v>
      </c>
      <c r="Q100">
        <f>INDEX(Shells!$C$2:$C$9,P100)</f>
        <v>18</v>
      </c>
      <c r="R100">
        <f>B100-IF(P100=1,0,INDEX(Shells!$E$2:$E$9,P100-1))</f>
        <v>7</v>
      </c>
      <c r="S100" t="str">
        <f>IF(R100=Q100,"CLOSED_SHELL","OPEN_SHELL")</f>
        <v>OPEN_SHELL</v>
      </c>
      <c r="T100" t="str">
        <f>IF(B100&gt;=Constants!$B$8,"CONSTANT_FRONTIER_TAIL_CANDIDATE",IF(I100=0,"CONSTANT_STABLE_ANCHOR_LANE",IF(I100=Constants!$B$2/2,"CONSTANT_HALF_WRITE_LANE","CONSTANT_BOUND_LADDER_LANE")))</f>
        <v>CONSTANT_STABLE_ANCHOR_LANE</v>
      </c>
      <c r="U100" t="str">
        <f>IF(B100&gt;=Constants!$B$8,"frontier",IF(AND(B100&lt;=Constants!$B$14,B100&lt;&gt;Constants!$B$15,B100&lt;&gt;Constants!$B$16),"stable","radioactive"))</f>
        <v>radioactive</v>
      </c>
      <c r="V100">
        <f>Constants!$B$9</f>
        <v>9.266927083333333</v>
      </c>
      <c r="W100">
        <f>B100*Constants!$B$9+(C100-B100)*Constants!$B$10</f>
        <v>918.45703125</v>
      </c>
      <c r="X100">
        <f>W100*Constants!$B$5</f>
        <v>7347.65625</v>
      </c>
      <c r="Y100">
        <f>W100*7</f>
        <v>6429.19921875</v>
      </c>
      <c r="Z100" t="str">
        <f>"shell "&amp;P100&amp;" occupancy "&amp;R100&amp;"/"&amp;Q100</f>
        <v>shell 6 occupancy 7/18</v>
      </c>
      <c r="AA100" t="str">
        <f>"closure"</f>
        <v>closure</v>
      </c>
      <c r="AB100" t="str">
        <f>"A=Z+N="&amp;B100&amp;"+"&amp;C100&amp;"="&amp;D100</f>
        <v>264</v>
      </c>
      <c r="AC100" t="str">
        <f>"SAM_CONSTANTS_ONLY_NO_FREE_INPUTS"</f>
        <v>SAM_CONSTANTS_ONLY_NO_FREE_INPUTS</v>
      </c>
    </row>
    <row r="101">
      <c r="A101" t="str">
        <f>"SOB"&amp;B101</f>
        <v>SOB100</v>
      </c>
      <c r="B101">
        <f>ROW()-1</f>
        <v>100</v>
      </c>
      <c r="C101">
        <f>B101+H101</f>
        <v>166</v>
      </c>
      <c r="D101">
        <f>B101+C101</f>
        <v>266</v>
      </c>
      <c r="E101">
        <f>INT((B101-1)/Constants!$B$2)+1</f>
        <v>9</v>
      </c>
      <c r="F101">
        <f>MOD(B101-1,Constants!$B$2)+1</f>
        <v>4</v>
      </c>
      <c r="G101">
        <f>MAX(0,E101-1)</f>
        <v>8</v>
      </c>
      <c r="H101">
        <f>INT(B101*G101/Constants!$B$2)</f>
        <v>66</v>
      </c>
      <c r="I101">
        <f>MOD(B101*G101,Constants!$B$2)</f>
        <v>8</v>
      </c>
      <c r="J101" t="str">
        <f>"P_"&amp;B101&amp;","&amp;D101</f>
        <v>P_100,266</v>
      </c>
      <c r="K101" t="str">
        <f>B101&amp;"p+"&amp;C101&amp;"n+"&amp;B101&amp;"e"</f>
        <v>100p+166n+100e</v>
      </c>
      <c r="L101">
        <f>2*B101+C101</f>
        <v>366</v>
      </c>
      <c r="M101">
        <f>B101+2*C101</f>
        <v>432</v>
      </c>
      <c r="N101">
        <f>B101</f>
        <v>100</v>
      </c>
      <c r="O101" t="str">
        <f>L101&amp;"u+"&amp;M101&amp;"d+"&amp;N101&amp;"e"</f>
        <v>366u+432d+100e</v>
      </c>
      <c r="P101">
        <f>COUNTIF(Shells!$E$2:$E$9,"&lt;"&amp;B101)+1</f>
        <v>6</v>
      </c>
      <c r="Q101">
        <f>INDEX(Shells!$C$2:$C$9,P101)</f>
        <v>18</v>
      </c>
      <c r="R101">
        <f>B101-IF(P101=1,0,INDEX(Shells!$E$2:$E$9,P101-1))</f>
        <v>8</v>
      </c>
      <c r="S101" t="str">
        <f>IF(R101=Q101,"CLOSED_SHELL","OPEN_SHELL")</f>
        <v>OPEN_SHELL</v>
      </c>
      <c r="T101" t="str">
        <f>IF(B101&gt;=Constants!$B$8,"CONSTANT_FRONTIER_TAIL_CANDIDATE",IF(I101=0,"CONSTANT_STABLE_ANCHOR_LANE",IF(I101=Constants!$B$2/2,"CONSTANT_HALF_WRITE_LANE","CONSTANT_BOUND_LADDER_LANE")))</f>
        <v>CONSTANT_BOUND_LADDER_LANE</v>
      </c>
      <c r="U101" t="str">
        <f>IF(B101&gt;=Constants!$B$8,"frontier",IF(AND(B101&lt;=Constants!$B$14,B101&lt;&gt;Constants!$B$15,B101&lt;&gt;Constants!$B$16),"stable","radioactive"))</f>
        <v>radioactive</v>
      </c>
      <c r="V101">
        <f>Constants!$B$9</f>
        <v>9.266927083333333</v>
      </c>
      <c r="W101">
        <f>B101*Constants!$B$9+(C101-B101)*Constants!$B$10</f>
        <v>927.723958333333333</v>
      </c>
      <c r="X101">
        <f>W101*Constants!$B$5</f>
        <v>7421.791666666666667</v>
      </c>
      <c r="Y101">
        <f>W101*7</f>
        <v>6494.067708333333333</v>
      </c>
      <c r="Z101" t="str">
        <f>"shell "&amp;P101&amp;" occupancy "&amp;R101&amp;"/"&amp;Q101</f>
        <v>shell 6 occupancy 8/18</v>
      </c>
      <c r="AA101" t="str">
        <f>"closure"</f>
        <v>closure</v>
      </c>
      <c r="AB101" t="str">
        <f>"A=Z+N="&amp;B101&amp;"+"&amp;C101&amp;"="&amp;D101</f>
        <v>266</v>
      </c>
      <c r="AC101" t="str">
        <f>"SAM_CONSTANTS_ONLY_NO_FREE_INPUTS"</f>
        <v>SAM_CONSTANTS_ONLY_NO_FREE_INPUTS</v>
      </c>
    </row>
    <row r="102">
      <c r="A102" t="str">
        <f>"SOB"&amp;B102</f>
        <v>SOB101</v>
      </c>
      <c r="B102">
        <f>ROW()-1</f>
        <v>101</v>
      </c>
      <c r="C102">
        <f>B102+H102</f>
        <v>168</v>
      </c>
      <c r="D102">
        <f>B102+C102</f>
        <v>269</v>
      </c>
      <c r="E102">
        <f>INT((B102-1)/Constants!$B$2)+1</f>
        <v>9</v>
      </c>
      <c r="F102">
        <f>MOD(B102-1,Constants!$B$2)+1</f>
        <v>5</v>
      </c>
      <c r="G102">
        <f>MAX(0,E102-1)</f>
        <v>8</v>
      </c>
      <c r="H102">
        <f>INT(B102*G102/Constants!$B$2)</f>
        <v>67</v>
      </c>
      <c r="I102">
        <f>MOD(B102*G102,Constants!$B$2)</f>
        <v>4</v>
      </c>
      <c r="J102" t="str">
        <f>"P_"&amp;B102&amp;","&amp;D102</f>
        <v>P_101,269</v>
      </c>
      <c r="K102" t="str">
        <f>B102&amp;"p+"&amp;C102&amp;"n+"&amp;B102&amp;"e"</f>
        <v>101p+168n+101e</v>
      </c>
      <c r="L102">
        <f>2*B102+C102</f>
        <v>370</v>
      </c>
      <c r="M102">
        <f>B102+2*C102</f>
        <v>437</v>
      </c>
      <c r="N102">
        <f>B102</f>
        <v>101</v>
      </c>
      <c r="O102" t="str">
        <f>L102&amp;"u+"&amp;M102&amp;"d+"&amp;N102&amp;"e"</f>
        <v>370u+437d+101e</v>
      </c>
      <c r="P102">
        <f>COUNTIF(Shells!$E$2:$E$9,"&lt;"&amp;B102)+1</f>
        <v>6</v>
      </c>
      <c r="Q102">
        <f>INDEX(Shells!$C$2:$C$9,P102)</f>
        <v>18</v>
      </c>
      <c r="R102">
        <f>B102-IF(P102=1,0,INDEX(Shells!$E$2:$E$9,P102-1))</f>
        <v>9</v>
      </c>
      <c r="S102" t="str">
        <f>IF(R102=Q102,"CLOSED_SHELL","OPEN_SHELL")</f>
        <v>OPEN_SHELL</v>
      </c>
      <c r="T102" t="str">
        <f>IF(B102&gt;=Constants!$B$8,"CONSTANT_FRONTIER_TAIL_CANDIDATE",IF(I102=0,"CONSTANT_STABLE_ANCHOR_LANE",IF(I102=Constants!$B$2/2,"CONSTANT_HALF_WRITE_LANE","CONSTANT_BOUND_LADDER_LANE")))</f>
        <v>CONSTANT_BOUND_LADDER_LANE</v>
      </c>
      <c r="U102" t="str">
        <f>IF(B102&gt;=Constants!$B$8,"frontier",IF(AND(B102&lt;=Constants!$B$14,B102&lt;&gt;Constants!$B$15,B102&lt;&gt;Constants!$B$16),"stable","radioactive"))</f>
        <v>radioactive</v>
      </c>
      <c r="V102">
        <f>Constants!$B$9</f>
        <v>9.266927083333333</v>
      </c>
      <c r="W102">
        <f>B102*Constants!$B$9+(C102-B102)*Constants!$B$10</f>
        <v>937.006510416666667</v>
      </c>
      <c r="X102">
        <f>W102*Constants!$B$5</f>
        <v>7496.052083333333333</v>
      </c>
      <c r="Y102">
        <f>W102*7</f>
        <v>6559.045572916666667</v>
      </c>
      <c r="Z102" t="str">
        <f>"shell "&amp;P102&amp;" occupancy "&amp;R102&amp;"/"&amp;Q102</f>
        <v>shell 6 occupancy 9/18</v>
      </c>
      <c r="AA102" t="str">
        <f>"closure"</f>
        <v>closure</v>
      </c>
      <c r="AB102" t="str">
        <f>"A=Z+N="&amp;B102&amp;"+"&amp;C102&amp;"="&amp;D102</f>
        <v>269</v>
      </c>
      <c r="AC102" t="str">
        <f>"SAM_CONSTANTS_ONLY_NO_FREE_INPUTS"</f>
        <v>SAM_CONSTANTS_ONLY_NO_FREE_INPUTS</v>
      </c>
    </row>
    <row r="103">
      <c r="A103" t="str">
        <f>"SOB"&amp;B103</f>
        <v>SOB102</v>
      </c>
      <c r="B103">
        <f>ROW()-1</f>
        <v>102</v>
      </c>
      <c r="C103">
        <f>B103+H103</f>
        <v>170</v>
      </c>
      <c r="D103">
        <f>B103+C103</f>
        <v>272</v>
      </c>
      <c r="E103">
        <f>INT((B103-1)/Constants!$B$2)+1</f>
        <v>9</v>
      </c>
      <c r="F103">
        <f>MOD(B103-1,Constants!$B$2)+1</f>
        <v>6</v>
      </c>
      <c r="G103">
        <f>MAX(0,E103-1)</f>
        <v>8</v>
      </c>
      <c r="H103">
        <f>INT(B103*G103/Constants!$B$2)</f>
        <v>68</v>
      </c>
      <c r="I103">
        <f>MOD(B103*G103,Constants!$B$2)</f>
        <v>0</v>
      </c>
      <c r="J103" t="str">
        <f>"P_"&amp;B103&amp;","&amp;D103</f>
        <v>P_102,272</v>
      </c>
      <c r="K103" t="str">
        <f>B103&amp;"p+"&amp;C103&amp;"n+"&amp;B103&amp;"e"</f>
        <v>102p+170n+102e</v>
      </c>
      <c r="L103">
        <f>2*B103+C103</f>
        <v>374</v>
      </c>
      <c r="M103">
        <f>B103+2*C103</f>
        <v>442</v>
      </c>
      <c r="N103">
        <f>B103</f>
        <v>102</v>
      </c>
      <c r="O103" t="str">
        <f>L103&amp;"u+"&amp;M103&amp;"d+"&amp;N103&amp;"e"</f>
        <v>374u+442d+102e</v>
      </c>
      <c r="P103">
        <f>COUNTIF(Shells!$E$2:$E$9,"&lt;"&amp;B103)+1</f>
        <v>6</v>
      </c>
      <c r="Q103">
        <f>INDEX(Shells!$C$2:$C$9,P103)</f>
        <v>18</v>
      </c>
      <c r="R103">
        <f>B103-IF(P103=1,0,INDEX(Shells!$E$2:$E$9,P103-1))</f>
        <v>10</v>
      </c>
      <c r="S103" t="str">
        <f>IF(R103=Q103,"CLOSED_SHELL","OPEN_SHELL")</f>
        <v>OPEN_SHELL</v>
      </c>
      <c r="T103" t="str">
        <f>IF(B103&gt;=Constants!$B$8,"CONSTANT_FRONTIER_TAIL_CANDIDATE",IF(I103=0,"CONSTANT_STABLE_ANCHOR_LANE",IF(I103=Constants!$B$2/2,"CONSTANT_HALF_WRITE_LANE","CONSTANT_BOUND_LADDER_LANE")))</f>
        <v>CONSTANT_STABLE_ANCHOR_LANE</v>
      </c>
      <c r="U103" t="str">
        <f>IF(B103&gt;=Constants!$B$8,"frontier",IF(AND(B103&lt;=Constants!$B$14,B103&lt;&gt;Constants!$B$15,B103&lt;&gt;Constants!$B$16),"stable","radioactive"))</f>
        <v>radioactive</v>
      </c>
      <c r="V103">
        <f>Constants!$B$9</f>
        <v>9.266927083333333</v>
      </c>
      <c r="W103">
        <f>B103*Constants!$B$9+(C103-B103)*Constants!$B$10</f>
        <v>946.2890625</v>
      </c>
      <c r="X103">
        <f>W103*Constants!$B$5</f>
        <v>7570.3125</v>
      </c>
      <c r="Y103">
        <f>W103*7</f>
        <v>6624.0234375</v>
      </c>
      <c r="Z103" t="str">
        <f>"shell "&amp;P103&amp;" occupancy "&amp;R103&amp;"/"&amp;Q103</f>
        <v>shell 6 occupancy 10/18</v>
      </c>
      <c r="AA103" t="str">
        <f>"closure"</f>
        <v>closure</v>
      </c>
      <c r="AB103" t="str">
        <f>"A=Z+N="&amp;B103&amp;"+"&amp;C103&amp;"="&amp;D103</f>
        <v>272</v>
      </c>
      <c r="AC103" t="str">
        <f>"SAM_CONSTANTS_ONLY_NO_FREE_INPUTS"</f>
        <v>SAM_CONSTANTS_ONLY_NO_FREE_INPUTS</v>
      </c>
    </row>
    <row r="104">
      <c r="A104" t="str">
        <f>"SOB"&amp;B104</f>
        <v>SOB103</v>
      </c>
      <c r="B104">
        <f>ROW()-1</f>
        <v>103</v>
      </c>
      <c r="C104">
        <f>B104+H104</f>
        <v>171</v>
      </c>
      <c r="D104">
        <f>B104+C104</f>
        <v>274</v>
      </c>
      <c r="E104">
        <f>INT((B104-1)/Constants!$B$2)+1</f>
        <v>9</v>
      </c>
      <c r="F104">
        <f>MOD(B104-1,Constants!$B$2)+1</f>
        <v>7</v>
      </c>
      <c r="G104">
        <f>MAX(0,E104-1)</f>
        <v>8</v>
      </c>
      <c r="H104">
        <f>INT(B104*G104/Constants!$B$2)</f>
        <v>68</v>
      </c>
      <c r="I104">
        <f>MOD(B104*G104,Constants!$B$2)</f>
        <v>8</v>
      </c>
      <c r="J104" t="str">
        <f>"P_"&amp;B104&amp;","&amp;D104</f>
        <v>P_103,274</v>
      </c>
      <c r="K104" t="str">
        <f>B104&amp;"p+"&amp;C104&amp;"n+"&amp;B104&amp;"e"</f>
        <v>103p+171n+103e</v>
      </c>
      <c r="L104">
        <f>2*B104+C104</f>
        <v>377</v>
      </c>
      <c r="M104">
        <f>B104+2*C104</f>
        <v>445</v>
      </c>
      <c r="N104">
        <f>B104</f>
        <v>103</v>
      </c>
      <c r="O104" t="str">
        <f>L104&amp;"u+"&amp;M104&amp;"d+"&amp;N104&amp;"e"</f>
        <v>377u+445d+103e</v>
      </c>
      <c r="P104">
        <f>COUNTIF(Shells!$E$2:$E$9,"&lt;"&amp;B104)+1</f>
        <v>6</v>
      </c>
      <c r="Q104">
        <f>INDEX(Shells!$C$2:$C$9,P104)</f>
        <v>18</v>
      </c>
      <c r="R104">
        <f>B104-IF(P104=1,0,INDEX(Shells!$E$2:$E$9,P104-1))</f>
        <v>11</v>
      </c>
      <c r="S104" t="str">
        <f>IF(R104=Q104,"CLOSED_SHELL","OPEN_SHELL")</f>
        <v>OPEN_SHELL</v>
      </c>
      <c r="T104" t="str">
        <f>IF(B104&gt;=Constants!$B$8,"CONSTANT_FRONTIER_TAIL_CANDIDATE",IF(I104=0,"CONSTANT_STABLE_ANCHOR_LANE",IF(I104=Constants!$B$2/2,"CONSTANT_HALF_WRITE_LANE","CONSTANT_BOUND_LADDER_LANE")))</f>
        <v>CONSTANT_BOUND_LADDER_LANE</v>
      </c>
      <c r="U104" t="str">
        <f>IF(B104&gt;=Constants!$B$8,"frontier",IF(AND(B104&lt;=Constants!$B$14,B104&lt;&gt;Constants!$B$15,B104&lt;&gt;Constants!$B$16),"stable","radioactive"))</f>
        <v>radioactive</v>
      </c>
      <c r="V104">
        <f>Constants!$B$9</f>
        <v>9.266927083333333</v>
      </c>
      <c r="W104">
        <f>B104*Constants!$B$9+(C104-B104)*Constants!$B$10</f>
        <v>955.555989583333333</v>
      </c>
      <c r="X104">
        <f>W104*Constants!$B$5</f>
        <v>7644.447916666666667</v>
      </c>
      <c r="Y104">
        <f>W104*7</f>
        <v>6688.891927083333333</v>
      </c>
      <c r="Z104" t="str">
        <f>"shell "&amp;P104&amp;" occupancy "&amp;R104&amp;"/"&amp;Q104</f>
        <v>shell 6 occupancy 11/18</v>
      </c>
      <c r="AA104" t="str">
        <f>"closure"</f>
        <v>closure</v>
      </c>
      <c r="AB104" t="str">
        <f>"A=Z+N="&amp;B104&amp;"+"&amp;C104&amp;"="&amp;D104</f>
        <v>274</v>
      </c>
      <c r="AC104" t="str">
        <f>"SAM_CONSTANTS_ONLY_NO_FREE_INPUTS"</f>
        <v>SAM_CONSTANTS_ONLY_NO_FREE_INPUTS</v>
      </c>
    </row>
    <row r="105">
      <c r="A105" t="str">
        <f>"SOB"&amp;B105</f>
        <v>SOB104</v>
      </c>
      <c r="B105">
        <f>ROW()-1</f>
        <v>104</v>
      </c>
      <c r="C105">
        <f>B105+H105</f>
        <v>173</v>
      </c>
      <c r="D105">
        <f>B105+C105</f>
        <v>277</v>
      </c>
      <c r="E105">
        <f>INT((B105-1)/Constants!$B$2)+1</f>
        <v>9</v>
      </c>
      <c r="F105">
        <f>MOD(B105-1,Constants!$B$2)+1</f>
        <v>8</v>
      </c>
      <c r="G105">
        <f>MAX(0,E105-1)</f>
        <v>8</v>
      </c>
      <c r="H105">
        <f>INT(B105*G105/Constants!$B$2)</f>
        <v>69</v>
      </c>
      <c r="I105">
        <f>MOD(B105*G105,Constants!$B$2)</f>
        <v>4</v>
      </c>
      <c r="J105" t="str">
        <f>"P_"&amp;B105&amp;","&amp;D105</f>
        <v>P_104,277</v>
      </c>
      <c r="K105" t="str">
        <f>B105&amp;"p+"&amp;C105&amp;"n+"&amp;B105&amp;"e"</f>
        <v>104p+173n+104e</v>
      </c>
      <c r="L105">
        <f>2*B105+C105</f>
        <v>381</v>
      </c>
      <c r="M105">
        <f>B105+2*C105</f>
        <v>450</v>
      </c>
      <c r="N105">
        <f>B105</f>
        <v>104</v>
      </c>
      <c r="O105" t="str">
        <f>L105&amp;"u+"&amp;M105&amp;"d+"&amp;N105&amp;"e"</f>
        <v>381u+450d+104e</v>
      </c>
      <c r="P105">
        <f>COUNTIF(Shells!$E$2:$E$9,"&lt;"&amp;B105)+1</f>
        <v>6</v>
      </c>
      <c r="Q105">
        <f>INDEX(Shells!$C$2:$C$9,P105)</f>
        <v>18</v>
      </c>
      <c r="R105">
        <f>B105-IF(P105=1,0,INDEX(Shells!$E$2:$E$9,P105-1))</f>
        <v>12</v>
      </c>
      <c r="S105" t="str">
        <f>IF(R105=Q105,"CLOSED_SHELL","OPEN_SHELL")</f>
        <v>OPEN_SHELL</v>
      </c>
      <c r="T105" t="str">
        <f>IF(B105&gt;=Constants!$B$8,"CONSTANT_FRONTIER_TAIL_CANDIDATE",IF(I105=0,"CONSTANT_STABLE_ANCHOR_LANE",IF(I105=Constants!$B$2/2,"CONSTANT_HALF_WRITE_LANE","CONSTANT_BOUND_LADDER_LANE")))</f>
        <v>CONSTANT_BOUND_LADDER_LANE</v>
      </c>
      <c r="U105" t="str">
        <f>IF(B105&gt;=Constants!$B$8,"frontier",IF(AND(B105&lt;=Constants!$B$14,B105&lt;&gt;Constants!$B$15,B105&lt;&gt;Constants!$B$16),"stable","radioactive"))</f>
        <v>radioactive</v>
      </c>
      <c r="V105">
        <f>Constants!$B$9</f>
        <v>9.266927083333333</v>
      </c>
      <c r="W105">
        <f>B105*Constants!$B$9+(C105-B105)*Constants!$B$10</f>
        <v>964.838541666666667</v>
      </c>
      <c r="X105">
        <f>W105*Constants!$B$5</f>
        <v>7718.708333333333333</v>
      </c>
      <c r="Y105">
        <f>W105*7</f>
        <v>6753.869791666666667</v>
      </c>
      <c r="Z105" t="str">
        <f>"shell "&amp;P105&amp;" occupancy "&amp;R105&amp;"/"&amp;Q105</f>
        <v>shell 6 occupancy 12/18</v>
      </c>
      <c r="AA105" t="str">
        <f>"closure"</f>
        <v>closure</v>
      </c>
      <c r="AB105" t="str">
        <f>"A=Z+N="&amp;B105&amp;"+"&amp;C105&amp;"="&amp;D105</f>
        <v>277</v>
      </c>
      <c r="AC105" t="str">
        <f>"SAM_CONSTANTS_ONLY_NO_FREE_INPUTS"</f>
        <v>SAM_CONSTANTS_ONLY_NO_FREE_INPUTS</v>
      </c>
    </row>
    <row r="106">
      <c r="A106" t="str">
        <f>"SOB"&amp;B106</f>
        <v>SOB105</v>
      </c>
      <c r="B106">
        <f>ROW()-1</f>
        <v>105</v>
      </c>
      <c r="C106">
        <f>B106+H106</f>
        <v>175</v>
      </c>
      <c r="D106">
        <f>B106+C106</f>
        <v>280</v>
      </c>
      <c r="E106">
        <f>INT((B106-1)/Constants!$B$2)+1</f>
        <v>9</v>
      </c>
      <c r="F106">
        <f>MOD(B106-1,Constants!$B$2)+1</f>
        <v>9</v>
      </c>
      <c r="G106">
        <f>MAX(0,E106-1)</f>
        <v>8</v>
      </c>
      <c r="H106">
        <f>INT(B106*G106/Constants!$B$2)</f>
        <v>70</v>
      </c>
      <c r="I106">
        <f>MOD(B106*G106,Constants!$B$2)</f>
        <v>0</v>
      </c>
      <c r="J106" t="str">
        <f>"P_"&amp;B106&amp;","&amp;D106</f>
        <v>P_105,280</v>
      </c>
      <c r="K106" t="str">
        <f>B106&amp;"p+"&amp;C106&amp;"n+"&amp;B106&amp;"e"</f>
        <v>105p+175n+105e</v>
      </c>
      <c r="L106">
        <f>2*B106+C106</f>
        <v>385</v>
      </c>
      <c r="M106">
        <f>B106+2*C106</f>
        <v>455</v>
      </c>
      <c r="N106">
        <f>B106</f>
        <v>105</v>
      </c>
      <c r="O106" t="str">
        <f>L106&amp;"u+"&amp;M106&amp;"d+"&amp;N106&amp;"e"</f>
        <v>385u+455d+105e</v>
      </c>
      <c r="P106">
        <f>COUNTIF(Shells!$E$2:$E$9,"&lt;"&amp;B106)+1</f>
        <v>6</v>
      </c>
      <c r="Q106">
        <f>INDEX(Shells!$C$2:$C$9,P106)</f>
        <v>18</v>
      </c>
      <c r="R106">
        <f>B106-IF(P106=1,0,INDEX(Shells!$E$2:$E$9,P106-1))</f>
        <v>13</v>
      </c>
      <c r="S106" t="str">
        <f>IF(R106=Q106,"CLOSED_SHELL","OPEN_SHELL")</f>
        <v>OPEN_SHELL</v>
      </c>
      <c r="T106" t="str">
        <f>IF(B106&gt;=Constants!$B$8,"CONSTANT_FRONTIER_TAIL_CANDIDATE",IF(I106=0,"CONSTANT_STABLE_ANCHOR_LANE",IF(I106=Constants!$B$2/2,"CONSTANT_HALF_WRITE_LANE","CONSTANT_BOUND_LADDER_LANE")))</f>
        <v>CONSTANT_STABLE_ANCHOR_LANE</v>
      </c>
      <c r="U106" t="str">
        <f>IF(B106&gt;=Constants!$B$8,"frontier",IF(AND(B106&lt;=Constants!$B$14,B106&lt;&gt;Constants!$B$15,B106&lt;&gt;Constants!$B$16),"stable","radioactive"))</f>
        <v>radioactive</v>
      </c>
      <c r="V106">
        <f>Constants!$B$9</f>
        <v>9.266927083333333</v>
      </c>
      <c r="W106">
        <f>B106*Constants!$B$9+(C106-B106)*Constants!$B$10</f>
        <v>974.12109375</v>
      </c>
      <c r="X106">
        <f>W106*Constants!$B$5</f>
        <v>7792.96875</v>
      </c>
      <c r="Y106">
        <f>W106*7</f>
        <v>6818.84765625</v>
      </c>
      <c r="Z106" t="str">
        <f>"shell "&amp;P106&amp;" occupancy "&amp;R106&amp;"/"&amp;Q106</f>
        <v>shell 6 occupancy 13/18</v>
      </c>
      <c r="AA106" t="str">
        <f>"closure"</f>
        <v>closure</v>
      </c>
      <c r="AB106" t="str">
        <f>"A=Z+N="&amp;B106&amp;"+"&amp;C106&amp;"="&amp;D106</f>
        <v>280</v>
      </c>
      <c r="AC106" t="str">
        <f>"SAM_CONSTANTS_ONLY_NO_FREE_INPUTS"</f>
        <v>SAM_CONSTANTS_ONLY_NO_FREE_INPUTS</v>
      </c>
    </row>
    <row r="107">
      <c r="A107" t="str">
        <f>"SOB"&amp;B107</f>
        <v>SOB106</v>
      </c>
      <c r="B107">
        <f>ROW()-1</f>
        <v>106</v>
      </c>
      <c r="C107">
        <f>B107+H107</f>
        <v>176</v>
      </c>
      <c r="D107">
        <f>B107+C107</f>
        <v>282</v>
      </c>
      <c r="E107">
        <f>INT((B107-1)/Constants!$B$2)+1</f>
        <v>9</v>
      </c>
      <c r="F107">
        <f>MOD(B107-1,Constants!$B$2)+1</f>
        <v>10</v>
      </c>
      <c r="G107">
        <f>MAX(0,E107-1)</f>
        <v>8</v>
      </c>
      <c r="H107">
        <f>INT(B107*G107/Constants!$B$2)</f>
        <v>70</v>
      </c>
      <c r="I107">
        <f>MOD(B107*G107,Constants!$B$2)</f>
        <v>8</v>
      </c>
      <c r="J107" t="str">
        <f>"P_"&amp;B107&amp;","&amp;D107</f>
        <v>P_106,282</v>
      </c>
      <c r="K107" t="str">
        <f>B107&amp;"p+"&amp;C107&amp;"n+"&amp;B107&amp;"e"</f>
        <v>106p+176n+106e</v>
      </c>
      <c r="L107">
        <f>2*B107+C107</f>
        <v>388</v>
      </c>
      <c r="M107">
        <f>B107+2*C107</f>
        <v>458</v>
      </c>
      <c r="N107">
        <f>B107</f>
        <v>106</v>
      </c>
      <c r="O107" t="str">
        <f>L107&amp;"u+"&amp;M107&amp;"d+"&amp;N107&amp;"e"</f>
        <v>388u+458d+106e</v>
      </c>
      <c r="P107">
        <f>COUNTIF(Shells!$E$2:$E$9,"&lt;"&amp;B107)+1</f>
        <v>6</v>
      </c>
      <c r="Q107">
        <f>INDEX(Shells!$C$2:$C$9,P107)</f>
        <v>18</v>
      </c>
      <c r="R107">
        <f>B107-IF(P107=1,0,INDEX(Shells!$E$2:$E$9,P107-1))</f>
        <v>14</v>
      </c>
      <c r="S107" t="str">
        <f>IF(R107=Q107,"CLOSED_SHELL","OPEN_SHELL")</f>
        <v>OPEN_SHELL</v>
      </c>
      <c r="T107" t="str">
        <f>IF(B107&gt;=Constants!$B$8,"CONSTANT_FRONTIER_TAIL_CANDIDATE",IF(I107=0,"CONSTANT_STABLE_ANCHOR_LANE",IF(I107=Constants!$B$2/2,"CONSTANT_HALF_WRITE_LANE","CONSTANT_BOUND_LADDER_LANE")))</f>
        <v>CONSTANT_BOUND_LADDER_LANE</v>
      </c>
      <c r="U107" t="str">
        <f>IF(B107&gt;=Constants!$B$8,"frontier",IF(AND(B107&lt;=Constants!$B$14,B107&lt;&gt;Constants!$B$15,B107&lt;&gt;Constants!$B$16),"stable","radioactive"))</f>
        <v>radioactive</v>
      </c>
      <c r="V107">
        <f>Constants!$B$9</f>
        <v>9.266927083333333</v>
      </c>
      <c r="W107">
        <f>B107*Constants!$B$9+(C107-B107)*Constants!$B$10</f>
        <v>983.388020833333333</v>
      </c>
      <c r="X107">
        <f>W107*Constants!$B$5</f>
        <v>7867.104166666666667</v>
      </c>
      <c r="Y107">
        <f>W107*7</f>
        <v>6883.716145833333333</v>
      </c>
      <c r="Z107" t="str">
        <f>"shell "&amp;P107&amp;" occupancy "&amp;R107&amp;"/"&amp;Q107</f>
        <v>shell 6 occupancy 14/18</v>
      </c>
      <c r="AA107" t="str">
        <f>"closure"</f>
        <v>closure</v>
      </c>
      <c r="AB107" t="str">
        <f>"A=Z+N="&amp;B107&amp;"+"&amp;C107&amp;"="&amp;D107</f>
        <v>282</v>
      </c>
      <c r="AC107" t="str">
        <f>"SAM_CONSTANTS_ONLY_NO_FREE_INPUTS"</f>
        <v>SAM_CONSTANTS_ONLY_NO_FREE_INPUTS</v>
      </c>
    </row>
    <row r="108">
      <c r="A108" t="str">
        <f>"SOB"&amp;B108</f>
        <v>SOB107</v>
      </c>
      <c r="B108">
        <f>ROW()-1</f>
        <v>107</v>
      </c>
      <c r="C108">
        <f>B108+H108</f>
        <v>178</v>
      </c>
      <c r="D108">
        <f>B108+C108</f>
        <v>285</v>
      </c>
      <c r="E108">
        <f>INT((B108-1)/Constants!$B$2)+1</f>
        <v>9</v>
      </c>
      <c r="F108">
        <f>MOD(B108-1,Constants!$B$2)+1</f>
        <v>11</v>
      </c>
      <c r="G108">
        <f>MAX(0,E108-1)</f>
        <v>8</v>
      </c>
      <c r="H108">
        <f>INT(B108*G108/Constants!$B$2)</f>
        <v>71</v>
      </c>
      <c r="I108">
        <f>MOD(B108*G108,Constants!$B$2)</f>
        <v>4</v>
      </c>
      <c r="J108" t="str">
        <f>"P_"&amp;B108&amp;","&amp;D108</f>
        <v>P_107,285</v>
      </c>
      <c r="K108" t="str">
        <f>B108&amp;"p+"&amp;C108&amp;"n+"&amp;B108&amp;"e"</f>
        <v>107p+178n+107e</v>
      </c>
      <c r="L108">
        <f>2*B108+C108</f>
        <v>392</v>
      </c>
      <c r="M108">
        <f>B108+2*C108</f>
        <v>463</v>
      </c>
      <c r="N108">
        <f>B108</f>
        <v>107</v>
      </c>
      <c r="O108" t="str">
        <f>L108&amp;"u+"&amp;M108&amp;"d+"&amp;N108&amp;"e"</f>
        <v>392u+463d+107e</v>
      </c>
      <c r="P108">
        <f>COUNTIF(Shells!$E$2:$E$9,"&lt;"&amp;B108)+1</f>
        <v>6</v>
      </c>
      <c r="Q108">
        <f>INDEX(Shells!$C$2:$C$9,P108)</f>
        <v>18</v>
      </c>
      <c r="R108">
        <f>B108-IF(P108=1,0,INDEX(Shells!$E$2:$E$9,P108-1))</f>
        <v>15</v>
      </c>
      <c r="S108" t="str">
        <f>IF(R108=Q108,"CLOSED_SHELL","OPEN_SHELL")</f>
        <v>OPEN_SHELL</v>
      </c>
      <c r="T108" t="str">
        <f>IF(B108&gt;=Constants!$B$8,"CONSTANT_FRONTIER_TAIL_CANDIDATE",IF(I108=0,"CONSTANT_STABLE_ANCHOR_LANE",IF(I108=Constants!$B$2/2,"CONSTANT_HALF_WRITE_LANE","CONSTANT_BOUND_LADDER_LANE")))</f>
        <v>CONSTANT_BOUND_LADDER_LANE</v>
      </c>
      <c r="U108" t="str">
        <f>IF(B108&gt;=Constants!$B$8,"frontier",IF(AND(B108&lt;=Constants!$B$14,B108&lt;&gt;Constants!$B$15,B108&lt;&gt;Constants!$B$16),"stable","radioactive"))</f>
        <v>radioactive</v>
      </c>
      <c r="V108">
        <f>Constants!$B$9</f>
        <v>9.266927083333333</v>
      </c>
      <c r="W108">
        <f>B108*Constants!$B$9+(C108-B108)*Constants!$B$10</f>
        <v>992.670572916666667</v>
      </c>
      <c r="X108">
        <f>W108*Constants!$B$5</f>
        <v>7941.364583333333333</v>
      </c>
      <c r="Y108">
        <f>W108*7</f>
        <v>6948.694010416666667</v>
      </c>
      <c r="Z108" t="str">
        <f>"shell "&amp;P108&amp;" occupancy "&amp;R108&amp;"/"&amp;Q108</f>
        <v>shell 6 occupancy 15/18</v>
      </c>
      <c r="AA108" t="str">
        <f>"closure"</f>
        <v>closure</v>
      </c>
      <c r="AB108" t="str">
        <f>"A=Z+N="&amp;B108&amp;"+"&amp;C108&amp;"="&amp;D108</f>
        <v>285</v>
      </c>
      <c r="AC108" t="str">
        <f>"SAM_CONSTANTS_ONLY_NO_FREE_INPUTS"</f>
        <v>SAM_CONSTANTS_ONLY_NO_FREE_INPUTS</v>
      </c>
    </row>
    <row r="109">
      <c r="A109" t="str">
        <f>"SOB"&amp;B109</f>
        <v>SOB108</v>
      </c>
      <c r="B109">
        <f>ROW()-1</f>
        <v>108</v>
      </c>
      <c r="C109">
        <f>B109+H109</f>
        <v>180</v>
      </c>
      <c r="D109">
        <f>B109+C109</f>
        <v>288</v>
      </c>
      <c r="E109">
        <f>INT((B109-1)/Constants!$B$2)+1</f>
        <v>9</v>
      </c>
      <c r="F109">
        <f>MOD(B109-1,Constants!$B$2)+1</f>
        <v>12</v>
      </c>
      <c r="G109">
        <f>MAX(0,E109-1)</f>
        <v>8</v>
      </c>
      <c r="H109">
        <f>INT(B109*G109/Constants!$B$2)</f>
        <v>72</v>
      </c>
      <c r="I109">
        <f>MOD(B109*G109,Constants!$B$2)</f>
        <v>0</v>
      </c>
      <c r="J109" t="str">
        <f>"P_"&amp;B109&amp;","&amp;D109</f>
        <v>P_108,288</v>
      </c>
      <c r="K109" t="str">
        <f>B109&amp;"p+"&amp;C109&amp;"n+"&amp;B109&amp;"e"</f>
        <v>108p+180n+108e</v>
      </c>
      <c r="L109">
        <f>2*B109+C109</f>
        <v>396</v>
      </c>
      <c r="M109">
        <f>B109+2*C109</f>
        <v>468</v>
      </c>
      <c r="N109">
        <f>B109</f>
        <v>108</v>
      </c>
      <c r="O109" t="str">
        <f>L109&amp;"u+"&amp;M109&amp;"d+"&amp;N109&amp;"e"</f>
        <v>396u+468d+108e</v>
      </c>
      <c r="P109">
        <f>COUNTIF(Shells!$E$2:$E$9,"&lt;"&amp;B109)+1</f>
        <v>6</v>
      </c>
      <c r="Q109">
        <f>INDEX(Shells!$C$2:$C$9,P109)</f>
        <v>18</v>
      </c>
      <c r="R109">
        <f>B109-IF(P109=1,0,INDEX(Shells!$E$2:$E$9,P109-1))</f>
        <v>16</v>
      </c>
      <c r="S109" t="str">
        <f>IF(R109=Q109,"CLOSED_SHELL","OPEN_SHELL")</f>
        <v>OPEN_SHELL</v>
      </c>
      <c r="T109" t="str">
        <f>IF(B109&gt;=Constants!$B$8,"CONSTANT_FRONTIER_TAIL_CANDIDATE",IF(I109=0,"CONSTANT_STABLE_ANCHOR_LANE",IF(I109=Constants!$B$2/2,"CONSTANT_HALF_WRITE_LANE","CONSTANT_BOUND_LADDER_LANE")))</f>
        <v>CONSTANT_STABLE_ANCHOR_LANE</v>
      </c>
      <c r="U109" t="str">
        <f>IF(B109&gt;=Constants!$B$8,"frontier",IF(AND(B109&lt;=Constants!$B$14,B109&lt;&gt;Constants!$B$15,B109&lt;&gt;Constants!$B$16),"stable","radioactive"))</f>
        <v>radioactive</v>
      </c>
      <c r="V109">
        <f>Constants!$B$9</f>
        <v>9.266927083333333</v>
      </c>
      <c r="W109">
        <f>B109*Constants!$B$9+(C109-B109)*Constants!$B$10</f>
        <v>1001.953125</v>
      </c>
      <c r="X109">
        <f>W109*Constants!$B$5</f>
        <v>8015.625</v>
      </c>
      <c r="Y109">
        <f>W109*7</f>
        <v>7013.671875</v>
      </c>
      <c r="Z109" t="str">
        <f>"shell "&amp;P109&amp;" occupancy "&amp;R109&amp;"/"&amp;Q109</f>
        <v>shell 6 occupancy 16/18</v>
      </c>
      <c r="AA109" t="str">
        <f>"closure"</f>
        <v>closure</v>
      </c>
      <c r="AB109" t="str">
        <f>"A=Z+N="&amp;B109&amp;"+"&amp;C109&amp;"="&amp;D109</f>
        <v>288</v>
      </c>
      <c r="AC109" t="str">
        <f>"SAM_CONSTANTS_ONLY_NO_FREE_INPUTS"</f>
        <v>SAM_CONSTANTS_ONLY_NO_FREE_INPUTS</v>
      </c>
    </row>
    <row r="110">
      <c r="A110" t="str">
        <f>"SOB"&amp;B110</f>
        <v>SOB109</v>
      </c>
      <c r="B110">
        <f>ROW()-1</f>
        <v>109</v>
      </c>
      <c r="C110">
        <f>B110+H110</f>
        <v>190</v>
      </c>
      <c r="D110">
        <f>B110+C110</f>
        <v>299</v>
      </c>
      <c r="E110">
        <f>INT((B110-1)/Constants!$B$2)+1</f>
        <v>10</v>
      </c>
      <c r="F110">
        <f>MOD(B110-1,Constants!$B$2)+1</f>
        <v>1</v>
      </c>
      <c r="G110">
        <f>MAX(0,E110-1)</f>
        <v>9</v>
      </c>
      <c r="H110">
        <f>INT(B110*G110/Constants!$B$2)</f>
        <v>81</v>
      </c>
      <c r="I110">
        <f>MOD(B110*G110,Constants!$B$2)</f>
        <v>9</v>
      </c>
      <c r="J110" t="str">
        <f>"P_"&amp;B110&amp;","&amp;D110</f>
        <v>P_109,299</v>
      </c>
      <c r="K110" t="str">
        <f>B110&amp;"p+"&amp;C110&amp;"n+"&amp;B110&amp;"e"</f>
        <v>109p+190n+109e</v>
      </c>
      <c r="L110">
        <f>2*B110+C110</f>
        <v>408</v>
      </c>
      <c r="M110">
        <f>B110+2*C110</f>
        <v>489</v>
      </c>
      <c r="N110">
        <f>B110</f>
        <v>109</v>
      </c>
      <c r="O110" t="str">
        <f>L110&amp;"u+"&amp;M110&amp;"d+"&amp;N110&amp;"e"</f>
        <v>408u+489d+109e</v>
      </c>
      <c r="P110">
        <f>COUNTIF(Shells!$E$2:$E$9,"&lt;"&amp;B110)+1</f>
        <v>6</v>
      </c>
      <c r="Q110">
        <f>INDEX(Shells!$C$2:$C$9,P110)</f>
        <v>18</v>
      </c>
      <c r="R110">
        <f>B110-IF(P110=1,0,INDEX(Shells!$E$2:$E$9,P110-1))</f>
        <v>17</v>
      </c>
      <c r="S110" t="str">
        <f>IF(R110=Q110,"CLOSED_SHELL","OPEN_SHELL")</f>
        <v>OPEN_SHELL</v>
      </c>
      <c r="T110" t="str">
        <f>IF(B110&gt;=Constants!$B$8,"CONSTANT_FRONTIER_TAIL_CANDIDATE",IF(I110=0,"CONSTANT_STABLE_ANCHOR_LANE",IF(I110=Constants!$B$2/2,"CONSTANT_HALF_WRITE_LANE","CONSTANT_BOUND_LADDER_LANE")))</f>
        <v>CONSTANT_BOUND_LADDER_LANE</v>
      </c>
      <c r="U110" t="str">
        <f>IF(B110&gt;=Constants!$B$8,"frontier",IF(AND(B110&lt;=Constants!$B$14,B110&lt;&gt;Constants!$B$15,B110&lt;&gt;Constants!$B$16),"stable","radioactive"))</f>
        <v>radioactive</v>
      </c>
      <c r="V110">
        <f>Constants!$B$9</f>
        <v>9.266927083333333</v>
      </c>
      <c r="W110">
        <f>B110*Constants!$B$9+(C110-B110)*Constants!$B$10</f>
        <v>1011.360677083333333</v>
      </c>
      <c r="X110">
        <f>W110*Constants!$B$5</f>
        <v>8090.885416666666667</v>
      </c>
      <c r="Y110">
        <f>W110*7</f>
        <v>7079.524739583333333</v>
      </c>
      <c r="Z110" t="str">
        <f>"shell "&amp;P110&amp;" occupancy "&amp;R110&amp;"/"&amp;Q110</f>
        <v>shell 6 occupancy 17/18</v>
      </c>
      <c r="AA110" t="str">
        <f>"closure"</f>
        <v>closure</v>
      </c>
      <c r="AB110" t="str">
        <f>"A=Z+N="&amp;B110&amp;"+"&amp;C110&amp;"="&amp;D110</f>
        <v>299</v>
      </c>
      <c r="AC110" t="str">
        <f>"SAM_CONSTANTS_ONLY_NO_FREE_INPUTS"</f>
        <v>SAM_CONSTANTS_ONLY_NO_FREE_INPUTS</v>
      </c>
    </row>
    <row r="111">
      <c r="A111" t="str">
        <f>"SOB"&amp;B111</f>
        <v>SOB110</v>
      </c>
      <c r="B111">
        <f>ROW()-1</f>
        <v>110</v>
      </c>
      <c r="C111">
        <f>B111+H111</f>
        <v>192</v>
      </c>
      <c r="D111">
        <f>B111+C111</f>
        <v>302</v>
      </c>
      <c r="E111">
        <f>INT((B111-1)/Constants!$B$2)+1</f>
        <v>10</v>
      </c>
      <c r="F111">
        <f>MOD(B111-1,Constants!$B$2)+1</f>
        <v>2</v>
      </c>
      <c r="G111">
        <f>MAX(0,E111-1)</f>
        <v>9</v>
      </c>
      <c r="H111">
        <f>INT(B111*G111/Constants!$B$2)</f>
        <v>82</v>
      </c>
      <c r="I111">
        <f>MOD(B111*G111,Constants!$B$2)</f>
        <v>6</v>
      </c>
      <c r="J111" t="str">
        <f>"P_"&amp;B111&amp;","&amp;D111</f>
        <v>P_110,302</v>
      </c>
      <c r="K111" t="str">
        <f>B111&amp;"p+"&amp;C111&amp;"n+"&amp;B111&amp;"e"</f>
        <v>110p+192n+110e</v>
      </c>
      <c r="L111">
        <f>2*B111+C111</f>
        <v>412</v>
      </c>
      <c r="M111">
        <f>B111+2*C111</f>
        <v>494</v>
      </c>
      <c r="N111">
        <f>B111</f>
        <v>110</v>
      </c>
      <c r="O111" t="str">
        <f>L111&amp;"u+"&amp;M111&amp;"d+"&amp;N111&amp;"e"</f>
        <v>412u+494d+110e</v>
      </c>
      <c r="P111">
        <f>COUNTIF(Shells!$E$2:$E$9,"&lt;"&amp;B111)+1</f>
        <v>6</v>
      </c>
      <c r="Q111">
        <f>INDEX(Shells!$C$2:$C$9,P111)</f>
        <v>18</v>
      </c>
      <c r="R111">
        <f>B111-IF(P111=1,0,INDEX(Shells!$E$2:$E$9,P111-1))</f>
        <v>18</v>
      </c>
      <c r="S111" t="str">
        <f>IF(R111=Q111,"CLOSED_SHELL","OPEN_SHELL")</f>
        <v>CLOSED_SHELL</v>
      </c>
      <c r="T111" t="str">
        <f>IF(B111&gt;=Constants!$B$8,"CONSTANT_FRONTIER_TAIL_CANDIDATE",IF(I111=0,"CONSTANT_STABLE_ANCHOR_LANE",IF(I111=Constants!$B$2/2,"CONSTANT_HALF_WRITE_LANE","CONSTANT_BOUND_LADDER_LANE")))</f>
        <v>CONSTANT_HALF_WRITE_LANE</v>
      </c>
      <c r="U111" t="str">
        <f>IF(B111&gt;=Constants!$B$8,"frontier",IF(AND(B111&lt;=Constants!$B$14,B111&lt;&gt;Constants!$B$15,B111&lt;&gt;Constants!$B$16),"stable","radioactive"))</f>
        <v>radioactive</v>
      </c>
      <c r="V111">
        <f>Constants!$B$9</f>
        <v>9.266927083333333</v>
      </c>
      <c r="W111">
        <f>B111*Constants!$B$9+(C111-B111)*Constants!$B$10</f>
        <v>1020.643229166666667</v>
      </c>
      <c r="X111">
        <f>W111*Constants!$B$5</f>
        <v>8165.145833333333333</v>
      </c>
      <c r="Y111">
        <f>W111*7</f>
        <v>7144.502604166666667</v>
      </c>
      <c r="Z111" t="str">
        <f>"shell "&amp;P111&amp;" occupancy "&amp;R111&amp;"/"&amp;Q111</f>
        <v>shell 6 occupancy 18/18</v>
      </c>
      <c r="AA111" t="str">
        <f>"closure"</f>
        <v>closure</v>
      </c>
      <c r="AB111" t="str">
        <f>"A=Z+N="&amp;B111&amp;"+"&amp;C111&amp;"="&amp;D111</f>
        <v>302</v>
      </c>
      <c r="AC111" t="str">
        <f>"SAM_CONSTANTS_ONLY_NO_FREE_INPUTS"</f>
        <v>SAM_CONSTANTS_ONLY_NO_FREE_INPUTS</v>
      </c>
    </row>
    <row r="112">
      <c r="A112" t="str">
        <f>"SOB"&amp;B112</f>
        <v>SOB111</v>
      </c>
      <c r="B112">
        <f>ROW()-1</f>
        <v>111</v>
      </c>
      <c r="C112">
        <f>B112+H112</f>
        <v>194</v>
      </c>
      <c r="D112">
        <f>B112+C112</f>
        <v>305</v>
      </c>
      <c r="E112">
        <f>INT((B112-1)/Constants!$B$2)+1</f>
        <v>10</v>
      </c>
      <c r="F112">
        <f>MOD(B112-1,Constants!$B$2)+1</f>
        <v>3</v>
      </c>
      <c r="G112">
        <f>MAX(0,E112-1)</f>
        <v>9</v>
      </c>
      <c r="H112">
        <f>INT(B112*G112/Constants!$B$2)</f>
        <v>83</v>
      </c>
      <c r="I112">
        <f>MOD(B112*G112,Constants!$B$2)</f>
        <v>3</v>
      </c>
      <c r="J112" t="str">
        <f>"P_"&amp;B112&amp;","&amp;D112</f>
        <v>P_111,305</v>
      </c>
      <c r="K112" t="str">
        <f>B112&amp;"p+"&amp;C112&amp;"n+"&amp;B112&amp;"e"</f>
        <v>111p+194n+111e</v>
      </c>
      <c r="L112">
        <f>2*B112+C112</f>
        <v>416</v>
      </c>
      <c r="M112">
        <f>B112+2*C112</f>
        <v>499</v>
      </c>
      <c r="N112">
        <f>B112</f>
        <v>111</v>
      </c>
      <c r="O112" t="str">
        <f>L112&amp;"u+"&amp;M112&amp;"d+"&amp;N112&amp;"e"</f>
        <v>416u+499d+111e</v>
      </c>
      <c r="P112">
        <f>COUNTIF(Shells!$E$2:$E$9,"&lt;"&amp;B112)+1</f>
        <v>7</v>
      </c>
      <c r="Q112">
        <f>INDEX(Shells!$C$2:$C$9,P112)</f>
        <v>8</v>
      </c>
      <c r="R112">
        <f>B112-IF(P112=1,0,INDEX(Shells!$E$2:$E$9,P112-1))</f>
        <v>1</v>
      </c>
      <c r="S112" t="str">
        <f>IF(R112=Q112,"CLOSED_SHELL","OPEN_SHELL")</f>
        <v>OPEN_SHELL</v>
      </c>
      <c r="T112" t="str">
        <f>IF(B112&gt;=Constants!$B$8,"CONSTANT_FRONTIER_TAIL_CANDIDATE",IF(I112=0,"CONSTANT_STABLE_ANCHOR_LANE",IF(I112=Constants!$B$2/2,"CONSTANT_HALF_WRITE_LANE","CONSTANT_BOUND_LADDER_LANE")))</f>
        <v>CONSTANT_BOUND_LADDER_LANE</v>
      </c>
      <c r="U112" t="str">
        <f>IF(B112&gt;=Constants!$B$8,"frontier",IF(AND(B112&lt;=Constants!$B$14,B112&lt;&gt;Constants!$B$15,B112&lt;&gt;Constants!$B$16),"stable","radioactive"))</f>
        <v>radioactive</v>
      </c>
      <c r="V112">
        <f>Constants!$B$9</f>
        <v>9.266927083333333</v>
      </c>
      <c r="W112">
        <f>B112*Constants!$B$9+(C112-B112)*Constants!$B$10</f>
        <v>1029.92578125</v>
      </c>
      <c r="X112">
        <f>W112*Constants!$B$5</f>
        <v>8239.40625</v>
      </c>
      <c r="Y112">
        <f>W112*7</f>
        <v>7209.48046875</v>
      </c>
      <c r="Z112" t="str">
        <f>"shell "&amp;P112&amp;" occupancy "&amp;R112&amp;"/"&amp;Q112</f>
        <v>shell 7 occupancy 1/8</v>
      </c>
      <c r="AA112" t="str">
        <f>"closure"</f>
        <v>closure</v>
      </c>
      <c r="AB112" t="str">
        <f>"A=Z+N="&amp;B112&amp;"+"&amp;C112&amp;"="&amp;D112</f>
        <v>305</v>
      </c>
      <c r="AC112" t="str">
        <f>"SAM_CONSTANTS_ONLY_NO_FREE_INPUTS"</f>
        <v>SAM_CONSTANTS_ONLY_NO_FREE_INPUTS</v>
      </c>
    </row>
    <row r="113">
      <c r="A113" t="str">
        <f>"SOB"&amp;B113</f>
        <v>SOB112</v>
      </c>
      <c r="B113">
        <f>ROW()-1</f>
        <v>112</v>
      </c>
      <c r="C113">
        <f>B113+H113</f>
        <v>196</v>
      </c>
      <c r="D113">
        <f>B113+C113</f>
        <v>308</v>
      </c>
      <c r="E113">
        <f>INT((B113-1)/Constants!$B$2)+1</f>
        <v>10</v>
      </c>
      <c r="F113">
        <f>MOD(B113-1,Constants!$B$2)+1</f>
        <v>4</v>
      </c>
      <c r="G113">
        <f>MAX(0,E113-1)</f>
        <v>9</v>
      </c>
      <c r="H113">
        <f>INT(B113*G113/Constants!$B$2)</f>
        <v>84</v>
      </c>
      <c r="I113">
        <f>MOD(B113*G113,Constants!$B$2)</f>
        <v>0</v>
      </c>
      <c r="J113" t="str">
        <f>"P_"&amp;B113&amp;","&amp;D113</f>
        <v>P_112,308</v>
      </c>
      <c r="K113" t="str">
        <f>B113&amp;"p+"&amp;C113&amp;"n+"&amp;B113&amp;"e"</f>
        <v>112p+196n+112e</v>
      </c>
      <c r="L113">
        <f>2*B113+C113</f>
        <v>420</v>
      </c>
      <c r="M113">
        <f>B113+2*C113</f>
        <v>504</v>
      </c>
      <c r="N113">
        <f>B113</f>
        <v>112</v>
      </c>
      <c r="O113" t="str">
        <f>L113&amp;"u+"&amp;M113&amp;"d+"&amp;N113&amp;"e"</f>
        <v>420u+504d+112e</v>
      </c>
      <c r="P113">
        <f>COUNTIF(Shells!$E$2:$E$9,"&lt;"&amp;B113)+1</f>
        <v>7</v>
      </c>
      <c r="Q113">
        <f>INDEX(Shells!$C$2:$C$9,P113)</f>
        <v>8</v>
      </c>
      <c r="R113">
        <f>B113-IF(P113=1,0,INDEX(Shells!$E$2:$E$9,P113-1))</f>
        <v>2</v>
      </c>
      <c r="S113" t="str">
        <f>IF(R113=Q113,"CLOSED_SHELL","OPEN_SHELL")</f>
        <v>OPEN_SHELL</v>
      </c>
      <c r="T113" t="str">
        <f>IF(B113&gt;=Constants!$B$8,"CONSTANT_FRONTIER_TAIL_CANDIDATE",IF(I113=0,"CONSTANT_STABLE_ANCHOR_LANE",IF(I113=Constants!$B$2/2,"CONSTANT_HALF_WRITE_LANE","CONSTANT_BOUND_LADDER_LANE")))</f>
        <v>CONSTANT_STABLE_ANCHOR_LANE</v>
      </c>
      <c r="U113" t="str">
        <f>IF(B113&gt;=Constants!$B$8,"frontier",IF(AND(B113&lt;=Constants!$B$14,B113&lt;&gt;Constants!$B$15,B113&lt;&gt;Constants!$B$16),"stable","radioactive"))</f>
        <v>radioactive</v>
      </c>
      <c r="V113">
        <f>Constants!$B$9</f>
        <v>9.266927083333333</v>
      </c>
      <c r="W113">
        <f>B113*Constants!$B$9+(C113-B113)*Constants!$B$10</f>
        <v>1039.208333333333333</v>
      </c>
      <c r="X113">
        <f>W113*Constants!$B$5</f>
        <v>8313.666666666666667</v>
      </c>
      <c r="Y113">
        <f>W113*7</f>
        <v>7274.458333333333333</v>
      </c>
      <c r="Z113" t="str">
        <f>"shell "&amp;P113&amp;" occupancy "&amp;R113&amp;"/"&amp;Q113</f>
        <v>shell 7 occupancy 2/8</v>
      </c>
      <c r="AA113" t="str">
        <f>"closure"</f>
        <v>closure</v>
      </c>
      <c r="AB113" t="str">
        <f>"A=Z+N="&amp;B113&amp;"+"&amp;C113&amp;"="&amp;D113</f>
        <v>308</v>
      </c>
      <c r="AC113" t="str">
        <f>"SAM_CONSTANTS_ONLY_NO_FREE_INPUTS"</f>
        <v>SAM_CONSTANTS_ONLY_NO_FREE_INPUTS</v>
      </c>
    </row>
    <row r="114">
      <c r="A114" t="str">
        <f>"SOB"&amp;B114</f>
        <v>SOB113</v>
      </c>
      <c r="B114">
        <f>ROW()-1</f>
        <v>113</v>
      </c>
      <c r="C114">
        <f>B114+H114</f>
        <v>197</v>
      </c>
      <c r="D114">
        <f>B114+C114</f>
        <v>310</v>
      </c>
      <c r="E114">
        <f>INT((B114-1)/Constants!$B$2)+1</f>
        <v>10</v>
      </c>
      <c r="F114">
        <f>MOD(B114-1,Constants!$B$2)+1</f>
        <v>5</v>
      </c>
      <c r="G114">
        <f>MAX(0,E114-1)</f>
        <v>9</v>
      </c>
      <c r="H114">
        <f>INT(B114*G114/Constants!$B$2)</f>
        <v>84</v>
      </c>
      <c r="I114">
        <f>MOD(B114*G114,Constants!$B$2)</f>
        <v>9</v>
      </c>
      <c r="J114" t="str">
        <f>"P_"&amp;B114&amp;","&amp;D114</f>
        <v>P_113,310</v>
      </c>
      <c r="K114" t="str">
        <f>B114&amp;"p+"&amp;C114&amp;"n+"&amp;B114&amp;"e"</f>
        <v>113p+197n+113e</v>
      </c>
      <c r="L114">
        <f>2*B114+C114</f>
        <v>423</v>
      </c>
      <c r="M114">
        <f>B114+2*C114</f>
        <v>507</v>
      </c>
      <c r="N114">
        <f>B114</f>
        <v>113</v>
      </c>
      <c r="O114" t="str">
        <f>L114&amp;"u+"&amp;M114&amp;"d+"&amp;N114&amp;"e"</f>
        <v>423u+507d+113e</v>
      </c>
      <c r="P114">
        <f>COUNTIF(Shells!$E$2:$E$9,"&lt;"&amp;B114)+1</f>
        <v>7</v>
      </c>
      <c r="Q114">
        <f>INDEX(Shells!$C$2:$C$9,P114)</f>
        <v>8</v>
      </c>
      <c r="R114">
        <f>B114-IF(P114=1,0,INDEX(Shells!$E$2:$E$9,P114-1))</f>
        <v>3</v>
      </c>
      <c r="S114" t="str">
        <f>IF(R114=Q114,"CLOSED_SHELL","OPEN_SHELL")</f>
        <v>OPEN_SHELL</v>
      </c>
      <c r="T114" t="str">
        <f>IF(B114&gt;=Constants!$B$8,"CONSTANT_FRONTIER_TAIL_CANDIDATE",IF(I114=0,"CONSTANT_STABLE_ANCHOR_LANE",IF(I114=Constants!$B$2/2,"CONSTANT_HALF_WRITE_LANE","CONSTANT_BOUND_LADDER_LANE")))</f>
        <v>CONSTANT_BOUND_LADDER_LANE</v>
      </c>
      <c r="U114" t="str">
        <f>IF(B114&gt;=Constants!$B$8,"frontier",IF(AND(B114&lt;=Constants!$B$14,B114&lt;&gt;Constants!$B$15,B114&lt;&gt;Constants!$B$16),"stable","radioactive"))</f>
        <v>radioactive</v>
      </c>
      <c r="V114">
        <f>Constants!$B$9</f>
        <v>9.266927083333333</v>
      </c>
      <c r="W114">
        <f>B114*Constants!$B$9+(C114-B114)*Constants!$B$10</f>
        <v>1048.475260416666667</v>
      </c>
      <c r="X114">
        <f>W114*Constants!$B$5</f>
        <v>8387.802083333333333</v>
      </c>
      <c r="Y114">
        <f>W114*7</f>
        <v>7339.326822916666667</v>
      </c>
      <c r="Z114" t="str">
        <f>"shell "&amp;P114&amp;" occupancy "&amp;R114&amp;"/"&amp;Q114</f>
        <v>shell 7 occupancy 3/8</v>
      </c>
      <c r="AA114" t="str">
        <f>"closure"</f>
        <v>closure</v>
      </c>
      <c r="AB114" t="str">
        <f>"A=Z+N="&amp;B114&amp;"+"&amp;C114&amp;"="&amp;D114</f>
        <v>310</v>
      </c>
      <c r="AC114" t="str">
        <f>"SAM_CONSTANTS_ONLY_NO_FREE_INPUTS"</f>
        <v>SAM_CONSTANTS_ONLY_NO_FREE_INPUTS</v>
      </c>
    </row>
    <row r="115">
      <c r="A115" t="str">
        <f>"SOB"&amp;B115</f>
        <v>SOB114</v>
      </c>
      <c r="B115">
        <f>ROW()-1</f>
        <v>114</v>
      </c>
      <c r="C115">
        <f>B115+H115</f>
        <v>199</v>
      </c>
      <c r="D115">
        <f>B115+C115</f>
        <v>313</v>
      </c>
      <c r="E115">
        <f>INT((B115-1)/Constants!$B$2)+1</f>
        <v>10</v>
      </c>
      <c r="F115">
        <f>MOD(B115-1,Constants!$B$2)+1</f>
        <v>6</v>
      </c>
      <c r="G115">
        <f>MAX(0,E115-1)</f>
        <v>9</v>
      </c>
      <c r="H115">
        <f>INT(B115*G115/Constants!$B$2)</f>
        <v>85</v>
      </c>
      <c r="I115">
        <f>MOD(B115*G115,Constants!$B$2)</f>
        <v>6</v>
      </c>
      <c r="J115" t="str">
        <f>"P_"&amp;B115&amp;","&amp;D115</f>
        <v>P_114,313</v>
      </c>
      <c r="K115" t="str">
        <f>B115&amp;"p+"&amp;C115&amp;"n+"&amp;B115&amp;"e"</f>
        <v>114p+199n+114e</v>
      </c>
      <c r="L115">
        <f>2*B115+C115</f>
        <v>427</v>
      </c>
      <c r="M115">
        <f>B115+2*C115</f>
        <v>512</v>
      </c>
      <c r="N115">
        <f>B115</f>
        <v>114</v>
      </c>
      <c r="O115" t="str">
        <f>L115&amp;"u+"&amp;M115&amp;"d+"&amp;N115&amp;"e"</f>
        <v>427u+512d+114e</v>
      </c>
      <c r="P115">
        <f>COUNTIF(Shells!$E$2:$E$9,"&lt;"&amp;B115)+1</f>
        <v>7</v>
      </c>
      <c r="Q115">
        <f>INDEX(Shells!$C$2:$C$9,P115)</f>
        <v>8</v>
      </c>
      <c r="R115">
        <f>B115-IF(P115=1,0,INDEX(Shells!$E$2:$E$9,P115-1))</f>
        <v>4</v>
      </c>
      <c r="S115" t="str">
        <f>IF(R115=Q115,"CLOSED_SHELL","OPEN_SHELL")</f>
        <v>OPEN_SHELL</v>
      </c>
      <c r="T115" t="str">
        <f>IF(B115&gt;=Constants!$B$8,"CONSTANT_FRONTIER_TAIL_CANDIDATE",IF(I115=0,"CONSTANT_STABLE_ANCHOR_LANE",IF(I115=Constants!$B$2/2,"CONSTANT_HALF_WRITE_LANE","CONSTANT_BOUND_LADDER_LANE")))</f>
        <v>CONSTANT_HALF_WRITE_LANE</v>
      </c>
      <c r="U115" t="str">
        <f>IF(B115&gt;=Constants!$B$8,"frontier",IF(AND(B115&lt;=Constants!$B$14,B115&lt;&gt;Constants!$B$15,B115&lt;&gt;Constants!$B$16),"stable","radioactive"))</f>
        <v>radioactive</v>
      </c>
      <c r="V115">
        <f>Constants!$B$9</f>
        <v>9.266927083333333</v>
      </c>
      <c r="W115">
        <f>B115*Constants!$B$9+(C115-B115)*Constants!$B$10</f>
        <v>1057.7578125</v>
      </c>
      <c r="X115">
        <f>W115*Constants!$B$5</f>
        <v>8462.0625</v>
      </c>
      <c r="Y115">
        <f>W115*7</f>
        <v>7404.3046875</v>
      </c>
      <c r="Z115" t="str">
        <f>"shell "&amp;P115&amp;" occupancy "&amp;R115&amp;"/"&amp;Q115</f>
        <v>shell 7 occupancy 4/8</v>
      </c>
      <c r="AA115" t="str">
        <f>"closure"</f>
        <v>closure</v>
      </c>
      <c r="AB115" t="str">
        <f>"A=Z+N="&amp;B115&amp;"+"&amp;C115&amp;"="&amp;D115</f>
        <v>313</v>
      </c>
      <c r="AC115" t="str">
        <f>"SAM_CONSTANTS_ONLY_NO_FREE_INPUTS"</f>
        <v>SAM_CONSTANTS_ONLY_NO_FREE_INPUTS</v>
      </c>
    </row>
    <row r="116">
      <c r="A116" t="str">
        <f>"SOB"&amp;B116</f>
        <v>SOB115</v>
      </c>
      <c r="B116">
        <f>ROW()-1</f>
        <v>115</v>
      </c>
      <c r="C116">
        <f>B116+H116</f>
        <v>201</v>
      </c>
      <c r="D116">
        <f>B116+C116</f>
        <v>316</v>
      </c>
      <c r="E116">
        <f>INT((B116-1)/Constants!$B$2)+1</f>
        <v>10</v>
      </c>
      <c r="F116">
        <f>MOD(B116-1,Constants!$B$2)+1</f>
        <v>7</v>
      </c>
      <c r="G116">
        <f>MAX(0,E116-1)</f>
        <v>9</v>
      </c>
      <c r="H116">
        <f>INT(B116*G116/Constants!$B$2)</f>
        <v>86</v>
      </c>
      <c r="I116">
        <f>MOD(B116*G116,Constants!$B$2)</f>
        <v>3</v>
      </c>
      <c r="J116" t="str">
        <f>"P_"&amp;B116&amp;","&amp;D116</f>
        <v>P_115,316</v>
      </c>
      <c r="K116" t="str">
        <f>B116&amp;"p+"&amp;C116&amp;"n+"&amp;B116&amp;"e"</f>
        <v>115p+201n+115e</v>
      </c>
      <c r="L116">
        <f>2*B116+C116</f>
        <v>431</v>
      </c>
      <c r="M116">
        <f>B116+2*C116</f>
        <v>517</v>
      </c>
      <c r="N116">
        <f>B116</f>
        <v>115</v>
      </c>
      <c r="O116" t="str">
        <f>L116&amp;"u+"&amp;M116&amp;"d+"&amp;N116&amp;"e"</f>
        <v>431u+517d+115e</v>
      </c>
      <c r="P116">
        <f>COUNTIF(Shells!$E$2:$E$9,"&lt;"&amp;B116)+1</f>
        <v>7</v>
      </c>
      <c r="Q116">
        <f>INDEX(Shells!$C$2:$C$9,P116)</f>
        <v>8</v>
      </c>
      <c r="R116">
        <f>B116-IF(P116=1,0,INDEX(Shells!$E$2:$E$9,P116-1))</f>
        <v>5</v>
      </c>
      <c r="S116" t="str">
        <f>IF(R116=Q116,"CLOSED_SHELL","OPEN_SHELL")</f>
        <v>OPEN_SHELL</v>
      </c>
      <c r="T116" t="str">
        <f>IF(B116&gt;=Constants!$B$8,"CONSTANT_FRONTIER_TAIL_CANDIDATE",IF(I116=0,"CONSTANT_STABLE_ANCHOR_LANE",IF(I116=Constants!$B$2/2,"CONSTANT_HALF_WRITE_LANE","CONSTANT_BOUND_LADDER_LANE")))</f>
        <v>CONSTANT_BOUND_LADDER_LANE</v>
      </c>
      <c r="U116" t="str">
        <f>IF(B116&gt;=Constants!$B$8,"frontier",IF(AND(B116&lt;=Constants!$B$14,B116&lt;&gt;Constants!$B$15,B116&lt;&gt;Constants!$B$16),"stable","radioactive"))</f>
        <v>radioactive</v>
      </c>
      <c r="V116">
        <f>Constants!$B$9</f>
        <v>9.266927083333333</v>
      </c>
      <c r="W116">
        <f>B116*Constants!$B$9+(C116-B116)*Constants!$B$10</f>
        <v>1067.040364583333333</v>
      </c>
      <c r="X116">
        <f>W116*Constants!$B$5</f>
        <v>8536.322916666666667</v>
      </c>
      <c r="Y116">
        <f>W116*7</f>
        <v>7469.282552083333333</v>
      </c>
      <c r="Z116" t="str">
        <f>"shell "&amp;P116&amp;" occupancy "&amp;R116&amp;"/"&amp;Q116</f>
        <v>shell 7 occupancy 5/8</v>
      </c>
      <c r="AA116" t="str">
        <f>"closure"</f>
        <v>closure</v>
      </c>
      <c r="AB116" t="str">
        <f>"A=Z+N="&amp;B116&amp;"+"&amp;C116&amp;"="&amp;D116</f>
        <v>316</v>
      </c>
      <c r="AC116" t="str">
        <f>"SAM_CONSTANTS_ONLY_NO_FREE_INPUTS"</f>
        <v>SAM_CONSTANTS_ONLY_NO_FREE_INPUTS</v>
      </c>
    </row>
    <row r="117">
      <c r="A117" t="str">
        <f>"SOB"&amp;B117</f>
        <v>SOB116</v>
      </c>
      <c r="B117">
        <f>ROW()-1</f>
        <v>116</v>
      </c>
      <c r="C117">
        <f>B117+H117</f>
        <v>203</v>
      </c>
      <c r="D117">
        <f>B117+C117</f>
        <v>319</v>
      </c>
      <c r="E117">
        <f>INT((B117-1)/Constants!$B$2)+1</f>
        <v>10</v>
      </c>
      <c r="F117">
        <f>MOD(B117-1,Constants!$B$2)+1</f>
        <v>8</v>
      </c>
      <c r="G117">
        <f>MAX(0,E117-1)</f>
        <v>9</v>
      </c>
      <c r="H117">
        <f>INT(B117*G117/Constants!$B$2)</f>
        <v>87</v>
      </c>
      <c r="I117">
        <f>MOD(B117*G117,Constants!$B$2)</f>
        <v>0</v>
      </c>
      <c r="J117" t="str">
        <f>"P_"&amp;B117&amp;","&amp;D117</f>
        <v>P_116,319</v>
      </c>
      <c r="K117" t="str">
        <f>B117&amp;"p+"&amp;C117&amp;"n+"&amp;B117&amp;"e"</f>
        <v>116p+203n+116e</v>
      </c>
      <c r="L117">
        <f>2*B117+C117</f>
        <v>435</v>
      </c>
      <c r="M117">
        <f>B117+2*C117</f>
        <v>522</v>
      </c>
      <c r="N117">
        <f>B117</f>
        <v>116</v>
      </c>
      <c r="O117" t="str">
        <f>L117&amp;"u+"&amp;M117&amp;"d+"&amp;N117&amp;"e"</f>
        <v>435u+522d+116e</v>
      </c>
      <c r="P117">
        <f>COUNTIF(Shells!$E$2:$E$9,"&lt;"&amp;B117)+1</f>
        <v>7</v>
      </c>
      <c r="Q117">
        <f>INDEX(Shells!$C$2:$C$9,P117)</f>
        <v>8</v>
      </c>
      <c r="R117">
        <f>B117-IF(P117=1,0,INDEX(Shells!$E$2:$E$9,P117-1))</f>
        <v>6</v>
      </c>
      <c r="S117" t="str">
        <f>IF(R117=Q117,"CLOSED_SHELL","OPEN_SHELL")</f>
        <v>OPEN_SHELL</v>
      </c>
      <c r="T117" t="str">
        <f>IF(B117&gt;=Constants!$B$8,"CONSTANT_FRONTIER_TAIL_CANDIDATE",IF(I117=0,"CONSTANT_STABLE_ANCHOR_LANE",IF(I117=Constants!$B$2/2,"CONSTANT_HALF_WRITE_LANE","CONSTANT_BOUND_LADDER_LANE")))</f>
        <v>CONSTANT_STABLE_ANCHOR_LANE</v>
      </c>
      <c r="U117" t="str">
        <f>IF(B117&gt;=Constants!$B$8,"frontier",IF(AND(B117&lt;=Constants!$B$14,B117&lt;&gt;Constants!$B$15,B117&lt;&gt;Constants!$B$16),"stable","radioactive"))</f>
        <v>radioactive</v>
      </c>
      <c r="V117">
        <f>Constants!$B$9</f>
        <v>9.266927083333333</v>
      </c>
      <c r="W117">
        <f>B117*Constants!$B$9+(C117-B117)*Constants!$B$10</f>
        <v>1076.322916666666667</v>
      </c>
      <c r="X117">
        <f>W117*Constants!$B$5</f>
        <v>8610.583333333333333</v>
      </c>
      <c r="Y117">
        <f>W117*7</f>
        <v>7534.260416666666667</v>
      </c>
      <c r="Z117" t="str">
        <f>"shell "&amp;P117&amp;" occupancy "&amp;R117&amp;"/"&amp;Q117</f>
        <v>shell 7 occupancy 6/8</v>
      </c>
      <c r="AA117" t="str">
        <f>"closure"</f>
        <v>closure</v>
      </c>
      <c r="AB117" t="str">
        <f>"A=Z+N="&amp;B117&amp;"+"&amp;C117&amp;"="&amp;D117</f>
        <v>319</v>
      </c>
      <c r="AC117" t="str">
        <f>"SAM_CONSTANTS_ONLY_NO_FREE_INPUTS"</f>
        <v>SAM_CONSTANTS_ONLY_NO_FREE_INPUTS</v>
      </c>
    </row>
    <row r="118">
      <c r="A118" t="str">
        <f>"SOB"&amp;B118</f>
        <v>SOB117</v>
      </c>
      <c r="B118">
        <f>ROW()-1</f>
        <v>117</v>
      </c>
      <c r="C118">
        <f>B118+H118</f>
        <v>204</v>
      </c>
      <c r="D118">
        <f>B118+C118</f>
        <v>321</v>
      </c>
      <c r="E118">
        <f>INT((B118-1)/Constants!$B$2)+1</f>
        <v>10</v>
      </c>
      <c r="F118">
        <f>MOD(B118-1,Constants!$B$2)+1</f>
        <v>9</v>
      </c>
      <c r="G118">
        <f>MAX(0,E118-1)</f>
        <v>9</v>
      </c>
      <c r="H118">
        <f>INT(B118*G118/Constants!$B$2)</f>
        <v>87</v>
      </c>
      <c r="I118">
        <f>MOD(B118*G118,Constants!$B$2)</f>
        <v>9</v>
      </c>
      <c r="J118" t="str">
        <f>"P_"&amp;B118&amp;","&amp;D118</f>
        <v>P_117,321</v>
      </c>
      <c r="K118" t="str">
        <f>B118&amp;"p+"&amp;C118&amp;"n+"&amp;B118&amp;"e"</f>
        <v>117p+204n+117e</v>
      </c>
      <c r="L118">
        <f>2*B118+C118</f>
        <v>438</v>
      </c>
      <c r="M118">
        <f>B118+2*C118</f>
        <v>525</v>
      </c>
      <c r="N118">
        <f>B118</f>
        <v>117</v>
      </c>
      <c r="O118" t="str">
        <f>L118&amp;"u+"&amp;M118&amp;"d+"&amp;N118&amp;"e"</f>
        <v>438u+525d+117e</v>
      </c>
      <c r="P118">
        <f>COUNTIF(Shells!$E$2:$E$9,"&lt;"&amp;B118)+1</f>
        <v>7</v>
      </c>
      <c r="Q118">
        <f>INDEX(Shells!$C$2:$C$9,P118)</f>
        <v>8</v>
      </c>
      <c r="R118">
        <f>B118-IF(P118=1,0,INDEX(Shells!$E$2:$E$9,P118-1))</f>
        <v>7</v>
      </c>
      <c r="S118" t="str">
        <f>IF(R118=Q118,"CLOSED_SHELL","OPEN_SHELL")</f>
        <v>OPEN_SHELL</v>
      </c>
      <c r="T118" t="str">
        <f>IF(B118&gt;=Constants!$B$8,"CONSTANT_FRONTIER_TAIL_CANDIDATE",IF(I118=0,"CONSTANT_STABLE_ANCHOR_LANE",IF(I118=Constants!$B$2/2,"CONSTANT_HALF_WRITE_LANE","CONSTANT_BOUND_LADDER_LANE")))</f>
        <v>CONSTANT_BOUND_LADDER_LANE</v>
      </c>
      <c r="U118" t="str">
        <f>IF(B118&gt;=Constants!$B$8,"frontier",IF(AND(B118&lt;=Constants!$B$14,B118&lt;&gt;Constants!$B$15,B118&lt;&gt;Constants!$B$16),"stable","radioactive"))</f>
        <v>radioactive</v>
      </c>
      <c r="V118">
        <f>Constants!$B$9</f>
        <v>9.266927083333333</v>
      </c>
      <c r="W118">
        <f>B118*Constants!$B$9+(C118-B118)*Constants!$B$10</f>
        <v>1085.58984375</v>
      </c>
      <c r="X118">
        <f>W118*Constants!$B$5</f>
        <v>8684.71875</v>
      </c>
      <c r="Y118">
        <f>W118*7</f>
        <v>7599.12890625</v>
      </c>
      <c r="Z118" t="str">
        <f>"shell "&amp;P118&amp;" occupancy "&amp;R118&amp;"/"&amp;Q118</f>
        <v>shell 7 occupancy 7/8</v>
      </c>
      <c r="AA118" t="str">
        <f>"closure"</f>
        <v>closure</v>
      </c>
      <c r="AB118" t="str">
        <f>"A=Z+N="&amp;B118&amp;"+"&amp;C118&amp;"="&amp;D118</f>
        <v>321</v>
      </c>
      <c r="AC118" t="str">
        <f>"SAM_CONSTANTS_ONLY_NO_FREE_INPUTS"</f>
        <v>SAM_CONSTANTS_ONLY_NO_FREE_INPUTS</v>
      </c>
    </row>
    <row r="119">
      <c r="A119" t="str">
        <f>"SOB"&amp;B119</f>
        <v>SOB118</v>
      </c>
      <c r="B119">
        <f>ROW()-1</f>
        <v>118</v>
      </c>
      <c r="C119">
        <f>B119+H119</f>
        <v>206</v>
      </c>
      <c r="D119">
        <f>B119+C119</f>
        <v>324</v>
      </c>
      <c r="E119">
        <f>INT((B119-1)/Constants!$B$2)+1</f>
        <v>10</v>
      </c>
      <c r="F119">
        <f>MOD(B119-1,Constants!$B$2)+1</f>
        <v>10</v>
      </c>
      <c r="G119">
        <f>MAX(0,E119-1)</f>
        <v>9</v>
      </c>
      <c r="H119">
        <f>INT(B119*G119/Constants!$B$2)</f>
        <v>88</v>
      </c>
      <c r="I119">
        <f>MOD(B119*G119,Constants!$B$2)</f>
        <v>6</v>
      </c>
      <c r="J119" t="str">
        <f>"P_"&amp;B119&amp;","&amp;D119</f>
        <v>P_118,324</v>
      </c>
      <c r="K119" t="str">
        <f>B119&amp;"p+"&amp;C119&amp;"n+"&amp;B119&amp;"e"</f>
        <v>118p+206n+118e</v>
      </c>
      <c r="L119">
        <f>2*B119+C119</f>
        <v>442</v>
      </c>
      <c r="M119">
        <f>B119+2*C119</f>
        <v>530</v>
      </c>
      <c r="N119">
        <f>B119</f>
        <v>118</v>
      </c>
      <c r="O119" t="str">
        <f>L119&amp;"u+"&amp;M119&amp;"d+"&amp;N119&amp;"e"</f>
        <v>442u+530d+118e</v>
      </c>
      <c r="P119">
        <f>COUNTIF(Shells!$E$2:$E$9,"&lt;"&amp;B119)+1</f>
        <v>7</v>
      </c>
      <c r="Q119">
        <f>INDEX(Shells!$C$2:$C$9,P119)</f>
        <v>8</v>
      </c>
      <c r="R119">
        <f>B119-IF(P119=1,0,INDEX(Shells!$E$2:$E$9,P119-1))</f>
        <v>8</v>
      </c>
      <c r="S119" t="str">
        <f>IF(R119=Q119,"CLOSED_SHELL","OPEN_SHELL")</f>
        <v>CLOSED_SHELL</v>
      </c>
      <c r="T119" t="str">
        <f>IF(B119&gt;=Constants!$B$8,"CONSTANT_FRONTIER_TAIL_CANDIDATE",IF(I119=0,"CONSTANT_STABLE_ANCHOR_LANE",IF(I119=Constants!$B$2/2,"CONSTANT_HALF_WRITE_LANE","CONSTANT_BOUND_LADDER_LANE")))</f>
        <v>CONSTANT_HALF_WRITE_LANE</v>
      </c>
      <c r="U119" t="str">
        <f>IF(B119&gt;=Constants!$B$8,"frontier",IF(AND(B119&lt;=Constants!$B$14,B119&lt;&gt;Constants!$B$15,B119&lt;&gt;Constants!$B$16),"stable","radioactive"))</f>
        <v>radioactive</v>
      </c>
      <c r="V119">
        <f>Constants!$B$9</f>
        <v>9.266927083333333</v>
      </c>
      <c r="W119">
        <f>B119*Constants!$B$9+(C119-B119)*Constants!$B$10</f>
        <v>1094.872395833333333</v>
      </c>
      <c r="X119">
        <f>W119*Constants!$B$5</f>
        <v>8758.979166666666667</v>
      </c>
      <c r="Y119">
        <f>W119*7</f>
        <v>7664.106770833333333</v>
      </c>
      <c r="Z119" t="str">
        <f>"shell "&amp;P119&amp;" occupancy "&amp;R119&amp;"/"&amp;Q119</f>
        <v>shell 7 occupancy 8/8</v>
      </c>
      <c r="AA119" t="str">
        <f>"closure"</f>
        <v>closure</v>
      </c>
      <c r="AB119" t="str">
        <f>"A=Z+N="&amp;B119&amp;"+"&amp;C119&amp;"="&amp;D119</f>
        <v>324</v>
      </c>
      <c r="AC119" t="str">
        <f>"SAM_CONSTANTS_ONLY_NO_FREE_INPUTS"</f>
        <v>SAM_CONSTANTS_ONLY_NO_FREE_INPUTS</v>
      </c>
    </row>
    <row r="120">
      <c r="A120" t="str">
        <f>"SOB"&amp;B120</f>
        <v>SOB119</v>
      </c>
      <c r="B120">
        <f>ROW()-1</f>
        <v>119</v>
      </c>
      <c r="C120">
        <f>B120+H120</f>
        <v>208</v>
      </c>
      <c r="D120">
        <f>B120+C120</f>
        <v>327</v>
      </c>
      <c r="E120">
        <f>INT((B120-1)/Constants!$B$2)+1</f>
        <v>10</v>
      </c>
      <c r="F120">
        <f>MOD(B120-1,Constants!$B$2)+1</f>
        <v>11</v>
      </c>
      <c r="G120">
        <f>MAX(0,E120-1)</f>
        <v>9</v>
      </c>
      <c r="H120">
        <f>INT(B120*G120/Constants!$B$2)</f>
        <v>89</v>
      </c>
      <c r="I120">
        <f>MOD(B120*G120,Constants!$B$2)</f>
        <v>3</v>
      </c>
      <c r="J120" t="str">
        <f>"P_"&amp;B120&amp;","&amp;D120</f>
        <v>P_119,327</v>
      </c>
      <c r="K120" t="str">
        <f>B120&amp;"p+"&amp;C120&amp;"n+"&amp;B120&amp;"e"</f>
        <v>119p+208n+119e</v>
      </c>
      <c r="L120">
        <f>2*B120+C120</f>
        <v>446</v>
      </c>
      <c r="M120">
        <f>B120+2*C120</f>
        <v>535</v>
      </c>
      <c r="N120">
        <f>B120</f>
        <v>119</v>
      </c>
      <c r="O120" t="str">
        <f>L120&amp;"u+"&amp;M120&amp;"d+"&amp;N120&amp;"e"</f>
        <v>446u+535d+119e</v>
      </c>
      <c r="P120">
        <f>COUNTIF(Shells!$E$2:$E$9,"&lt;"&amp;B120)+1</f>
        <v>8</v>
      </c>
      <c r="Q120">
        <f>INDEX(Shells!$C$2:$C$9,P120)</f>
        <v>8</v>
      </c>
      <c r="R120">
        <f>B120-IF(P120=1,0,INDEX(Shells!$E$2:$E$9,P120-1))</f>
        <v>1</v>
      </c>
      <c r="S120" t="str">
        <f>IF(R120=Q120,"CLOSED_SHELL","OPEN_SHELL")</f>
        <v>OPEN_SHELL</v>
      </c>
      <c r="T120" t="str">
        <f>IF(B120&gt;=Constants!$B$8,"CONSTANT_FRONTIER_TAIL_CANDIDATE",IF(I120=0,"CONSTANT_STABLE_ANCHOR_LANE",IF(I120=Constants!$B$2/2,"CONSTANT_HALF_WRITE_LANE","CONSTANT_BOUND_LADDER_LANE")))</f>
        <v>CONSTANT_FRONTIER_TAIL_CANDIDATE</v>
      </c>
      <c r="U120" t="str">
        <f>IF(B120&gt;=Constants!$B$8,"frontier",IF(AND(B120&lt;=Constants!$B$14,B120&lt;&gt;Constants!$B$15,B120&lt;&gt;Constants!$B$16),"stable","radioactive"))</f>
        <v>frontier</v>
      </c>
      <c r="V120">
        <f>Constants!$B$9</f>
        <v>9.266927083333333</v>
      </c>
      <c r="W120">
        <f>B120*Constants!$B$9+(C120-B120)*Constants!$B$10</f>
        <v>1104.154947916666667</v>
      </c>
      <c r="X120">
        <f>W120*Constants!$B$5</f>
        <v>8833.239583333333333</v>
      </c>
      <c r="Y120">
        <f>W120*7</f>
        <v>7729.084635416666667</v>
      </c>
      <c r="Z120" t="str">
        <f>"shell "&amp;P120&amp;" occupancy "&amp;R120&amp;"/"&amp;Q120</f>
        <v>shell 8 occupancy 1/8</v>
      </c>
      <c r="AA120" t="str">
        <f>"closure"</f>
        <v>closure</v>
      </c>
      <c r="AB120" t="str">
        <f>"A=Z+N="&amp;B120&amp;"+"&amp;C120&amp;"="&amp;D120</f>
        <v>327</v>
      </c>
      <c r="AC120" t="str">
        <f>"SAM_CONSTANTS_ONLY_NO_FREE_INPUTS"</f>
        <v>SAM_CONSTANTS_ONLY_NO_FREE_INPUTS</v>
      </c>
    </row>
    <row r="121">
      <c r="A121" t="str">
        <f>"SOB"&amp;B121</f>
        <v>SOB120</v>
      </c>
      <c r="B121">
        <f>ROW()-1</f>
        <v>120</v>
      </c>
      <c r="C121">
        <f>B121+H121</f>
        <v>210</v>
      </c>
      <c r="D121">
        <f>B121+C121</f>
        <v>330</v>
      </c>
      <c r="E121">
        <f>INT((B121-1)/Constants!$B$2)+1</f>
        <v>10</v>
      </c>
      <c r="F121">
        <f>MOD(B121-1,Constants!$B$2)+1</f>
        <v>12</v>
      </c>
      <c r="G121">
        <f>MAX(0,E121-1)</f>
        <v>9</v>
      </c>
      <c r="H121">
        <f>INT(B121*G121/Constants!$B$2)</f>
        <v>90</v>
      </c>
      <c r="I121">
        <f>MOD(B121*G121,Constants!$B$2)</f>
        <v>0</v>
      </c>
      <c r="J121" t="str">
        <f>"P_"&amp;B121&amp;","&amp;D121</f>
        <v>P_120,330</v>
      </c>
      <c r="K121" t="str">
        <f>B121&amp;"p+"&amp;C121&amp;"n+"&amp;B121&amp;"e"</f>
        <v>120p+210n+120e</v>
      </c>
      <c r="L121">
        <f>2*B121+C121</f>
        <v>450</v>
      </c>
      <c r="M121">
        <f>B121+2*C121</f>
        <v>540</v>
      </c>
      <c r="N121">
        <f>B121</f>
        <v>120</v>
      </c>
      <c r="O121" t="str">
        <f>L121&amp;"u+"&amp;M121&amp;"d+"&amp;N121&amp;"e"</f>
        <v>450u+540d+120e</v>
      </c>
      <c r="P121">
        <f>COUNTIF(Shells!$E$2:$E$9,"&lt;"&amp;B121)+1</f>
        <v>8</v>
      </c>
      <c r="Q121">
        <f>INDEX(Shells!$C$2:$C$9,P121)</f>
        <v>8</v>
      </c>
      <c r="R121">
        <f>B121-IF(P121=1,0,INDEX(Shells!$E$2:$E$9,P121-1))</f>
        <v>2</v>
      </c>
      <c r="S121" t="str">
        <f>IF(R121=Q121,"CLOSED_SHELL","OPEN_SHELL")</f>
        <v>OPEN_SHELL</v>
      </c>
      <c r="T121" t="str">
        <f>IF(B121&gt;=Constants!$B$8,"CONSTANT_FRONTIER_TAIL_CANDIDATE",IF(I121=0,"CONSTANT_STABLE_ANCHOR_LANE",IF(I121=Constants!$B$2/2,"CONSTANT_HALF_WRITE_LANE","CONSTANT_BOUND_LADDER_LANE")))</f>
        <v>CONSTANT_FRONTIER_TAIL_CANDIDATE</v>
      </c>
      <c r="U121" t="str">
        <f>IF(B121&gt;=Constants!$B$8,"frontier",IF(AND(B121&lt;=Constants!$B$14,B121&lt;&gt;Constants!$B$15,B121&lt;&gt;Constants!$B$16),"stable","radioactive"))</f>
        <v>frontier</v>
      </c>
      <c r="V121">
        <f>Constants!$B$9</f>
        <v>9.266927083333333</v>
      </c>
      <c r="W121">
        <f>B121*Constants!$B$9+(C121-B121)*Constants!$B$10</f>
        <v>1113.4375</v>
      </c>
      <c r="X121">
        <f>W121*Constants!$B$5</f>
        <v>8907.5</v>
      </c>
      <c r="Y121">
        <f>W121*7</f>
        <v>7794.0625</v>
      </c>
      <c r="Z121" t="str">
        <f>"shell "&amp;P121&amp;" occupancy "&amp;R121&amp;"/"&amp;Q121</f>
        <v>shell 8 occupancy 2/8</v>
      </c>
      <c r="AA121" t="str">
        <f>"closure"</f>
        <v>closure</v>
      </c>
      <c r="AB121" t="str">
        <f>"A=Z+N="&amp;B121&amp;"+"&amp;C121&amp;"="&amp;D121</f>
        <v>330</v>
      </c>
      <c r="AC121" t="str">
        <f>"SAM_CONSTANTS_ONLY_NO_FREE_INPUTS"</f>
        <v>SAM_CONSTANTS_ONLY_NO_FREE_INPUTS</v>
      </c>
    </row>
    <row r="122">
      <c r="A122" t="str">
        <f>"SOB"&amp;B122</f>
        <v>SOB121</v>
      </c>
      <c r="B122">
        <f>ROW()-1</f>
        <v>121</v>
      </c>
      <c r="C122">
        <f>B122+H122</f>
        <v>221</v>
      </c>
      <c r="D122">
        <f>B122+C122</f>
        <v>342</v>
      </c>
      <c r="E122">
        <f>INT((B122-1)/Constants!$B$2)+1</f>
        <v>11</v>
      </c>
      <c r="F122">
        <f>MOD(B122-1,Constants!$B$2)+1</f>
        <v>1</v>
      </c>
      <c r="G122">
        <f>MAX(0,E122-1)</f>
        <v>10</v>
      </c>
      <c r="H122">
        <f>INT(B122*G122/Constants!$B$2)</f>
        <v>100</v>
      </c>
      <c r="I122">
        <f>MOD(B122*G122,Constants!$B$2)</f>
        <v>10</v>
      </c>
      <c r="J122" t="str">
        <f>"P_"&amp;B122&amp;","&amp;D122</f>
        <v>P_121,342</v>
      </c>
      <c r="K122" t="str">
        <f>B122&amp;"p+"&amp;C122&amp;"n+"&amp;B122&amp;"e"</f>
        <v>121p+221n+121e</v>
      </c>
      <c r="L122">
        <f>2*B122+C122</f>
        <v>463</v>
      </c>
      <c r="M122">
        <f>B122+2*C122</f>
        <v>563</v>
      </c>
      <c r="N122">
        <f>B122</f>
        <v>121</v>
      </c>
      <c r="O122" t="str">
        <f>L122&amp;"u+"&amp;M122&amp;"d+"&amp;N122&amp;"e"</f>
        <v>463u+563d+121e</v>
      </c>
      <c r="P122">
        <f>COUNTIF(Shells!$E$2:$E$9,"&lt;"&amp;B122)+1</f>
        <v>8</v>
      </c>
      <c r="Q122">
        <f>INDEX(Shells!$C$2:$C$9,P122)</f>
        <v>8</v>
      </c>
      <c r="R122">
        <f>B122-IF(P122=1,0,INDEX(Shells!$E$2:$E$9,P122-1))</f>
        <v>3</v>
      </c>
      <c r="S122" t="str">
        <f>IF(R122=Q122,"CLOSED_SHELL","OPEN_SHELL")</f>
        <v>OPEN_SHELL</v>
      </c>
      <c r="T122" t="str">
        <f>IF(B122&gt;=Constants!$B$8,"CONSTANT_FRONTIER_TAIL_CANDIDATE",IF(I122=0,"CONSTANT_STABLE_ANCHOR_LANE",IF(I122=Constants!$B$2/2,"CONSTANT_HALF_WRITE_LANE","CONSTANT_BOUND_LADDER_LANE")))</f>
        <v>CONSTANT_FRONTIER_TAIL_CANDIDATE</v>
      </c>
      <c r="U122" t="str">
        <f>IF(B122&gt;=Constants!$B$8,"frontier",IF(AND(B122&lt;=Constants!$B$14,B122&lt;&gt;Constants!$B$15,B122&lt;&gt;Constants!$B$16),"stable","radioactive"))</f>
        <v>frontier</v>
      </c>
      <c r="V122">
        <f>Constants!$B$9</f>
        <v>9.266927083333333</v>
      </c>
      <c r="W122">
        <f>B122*Constants!$B$9+(C122-B122)*Constants!$B$10</f>
        <v>1122.860677083333333</v>
      </c>
      <c r="X122">
        <f>W122*Constants!$B$5</f>
        <v>8982.885416666666667</v>
      </c>
      <c r="Y122">
        <f>W122*7</f>
        <v>7860.024739583333333</v>
      </c>
      <c r="Z122" t="str">
        <f>"shell "&amp;P122&amp;" occupancy "&amp;R122&amp;"/"&amp;Q122</f>
        <v>shell 8 occupancy 3/8</v>
      </c>
      <c r="AA122" t="str">
        <f>"closure"</f>
        <v>closure</v>
      </c>
      <c r="AB122" t="str">
        <f>"A=Z+N="&amp;B122&amp;"+"&amp;C122&amp;"="&amp;D122</f>
        <v>342</v>
      </c>
      <c r="AC122" t="str">
        <f>"SAM_CONSTANTS_ONLY_NO_FREE_INPUTS"</f>
        <v>SAM_CONSTANTS_ONLY_NO_FREE_INPUTS</v>
      </c>
    </row>
    <row r="123">
      <c r="A123" t="str">
        <f>"SOB"&amp;B123</f>
        <v>SOB122</v>
      </c>
      <c r="B123">
        <f>ROW()-1</f>
        <v>122</v>
      </c>
      <c r="C123">
        <f>B123+H123</f>
        <v>223</v>
      </c>
      <c r="D123">
        <f>B123+C123</f>
        <v>345</v>
      </c>
      <c r="E123">
        <f>INT((B123-1)/Constants!$B$2)+1</f>
        <v>11</v>
      </c>
      <c r="F123">
        <f>MOD(B123-1,Constants!$B$2)+1</f>
        <v>2</v>
      </c>
      <c r="G123">
        <f>MAX(0,E123-1)</f>
        <v>10</v>
      </c>
      <c r="H123">
        <f>INT(B123*G123/Constants!$B$2)</f>
        <v>101</v>
      </c>
      <c r="I123">
        <f>MOD(B123*G123,Constants!$B$2)</f>
        <v>8</v>
      </c>
      <c r="J123" t="str">
        <f>"P_"&amp;B123&amp;","&amp;D123</f>
        <v>P_122,345</v>
      </c>
      <c r="K123" t="str">
        <f>B123&amp;"p+"&amp;C123&amp;"n+"&amp;B123&amp;"e"</f>
        <v>122p+223n+122e</v>
      </c>
      <c r="L123">
        <f>2*B123+C123</f>
        <v>467</v>
      </c>
      <c r="M123">
        <f>B123+2*C123</f>
        <v>568</v>
      </c>
      <c r="N123">
        <f>B123</f>
        <v>122</v>
      </c>
      <c r="O123" t="str">
        <f>L123&amp;"u+"&amp;M123&amp;"d+"&amp;N123&amp;"e"</f>
        <v>467u+568d+122e</v>
      </c>
      <c r="P123">
        <f>COUNTIF(Shells!$E$2:$E$9,"&lt;"&amp;B123)+1</f>
        <v>8</v>
      </c>
      <c r="Q123">
        <f>INDEX(Shells!$C$2:$C$9,P123)</f>
        <v>8</v>
      </c>
      <c r="R123">
        <f>B123-IF(P123=1,0,INDEX(Shells!$E$2:$E$9,P123-1))</f>
        <v>4</v>
      </c>
      <c r="S123" t="str">
        <f>IF(R123=Q123,"CLOSED_SHELL","OPEN_SHELL")</f>
        <v>OPEN_SHELL</v>
      </c>
      <c r="T123" t="str">
        <f>IF(B123&gt;=Constants!$B$8,"CONSTANT_FRONTIER_TAIL_CANDIDATE",IF(I123=0,"CONSTANT_STABLE_ANCHOR_LANE",IF(I123=Constants!$B$2/2,"CONSTANT_HALF_WRITE_LANE","CONSTANT_BOUND_LADDER_LANE")))</f>
        <v>CONSTANT_FRONTIER_TAIL_CANDIDATE</v>
      </c>
      <c r="U123" t="str">
        <f>IF(B123&gt;=Constants!$B$8,"frontier",IF(AND(B123&lt;=Constants!$B$14,B123&lt;&gt;Constants!$B$15,B123&lt;&gt;Constants!$B$16),"stable","radioactive"))</f>
        <v>frontier</v>
      </c>
      <c r="V123">
        <f>Constants!$B$9</f>
        <v>9.266927083333333</v>
      </c>
      <c r="W123">
        <f>B123*Constants!$B$9+(C123-B123)*Constants!$B$10</f>
        <v>1132.143229166666667</v>
      </c>
      <c r="X123">
        <f>W123*Constants!$B$5</f>
        <v>9057.145833333333333</v>
      </c>
      <c r="Y123">
        <f>W123*7</f>
        <v>7925.002604166666667</v>
      </c>
      <c r="Z123" t="str">
        <f>"shell "&amp;P123&amp;" occupancy "&amp;R123&amp;"/"&amp;Q123</f>
        <v>shell 8 occupancy 4/8</v>
      </c>
      <c r="AA123" t="str">
        <f>"closure"</f>
        <v>closure</v>
      </c>
      <c r="AB123" t="str">
        <f>"A=Z+N="&amp;B123&amp;"+"&amp;C123&amp;"="&amp;D123</f>
        <v>345</v>
      </c>
      <c r="AC123" t="str">
        <f>"SAM_CONSTANTS_ONLY_NO_FREE_INPUTS"</f>
        <v>SAM_CONSTANTS_ONLY_NO_FREE_INPUTS</v>
      </c>
    </row>
    <row r="124">
      <c r="A124" t="str">
        <f>"SOB"&amp;B124</f>
        <v>SOB123</v>
      </c>
      <c r="B124">
        <f>ROW()-1</f>
        <v>123</v>
      </c>
      <c r="C124">
        <f>B124+H124</f>
        <v>225</v>
      </c>
      <c r="D124">
        <f>B124+C124</f>
        <v>348</v>
      </c>
      <c r="E124">
        <f>INT((B124-1)/Constants!$B$2)+1</f>
        <v>11</v>
      </c>
      <c r="F124">
        <f>MOD(B124-1,Constants!$B$2)+1</f>
        <v>3</v>
      </c>
      <c r="G124">
        <f>MAX(0,E124-1)</f>
        <v>10</v>
      </c>
      <c r="H124">
        <f>INT(B124*G124/Constants!$B$2)</f>
        <v>102</v>
      </c>
      <c r="I124">
        <f>MOD(B124*G124,Constants!$B$2)</f>
        <v>6</v>
      </c>
      <c r="J124" t="str">
        <f>"P_"&amp;B124&amp;","&amp;D124</f>
        <v>P_123,348</v>
      </c>
      <c r="K124" t="str">
        <f>B124&amp;"p+"&amp;C124&amp;"n+"&amp;B124&amp;"e"</f>
        <v>123p+225n+123e</v>
      </c>
      <c r="L124">
        <f>2*B124+C124</f>
        <v>471</v>
      </c>
      <c r="M124">
        <f>B124+2*C124</f>
        <v>573</v>
      </c>
      <c r="N124">
        <f>B124</f>
        <v>123</v>
      </c>
      <c r="O124" t="str">
        <f>L124&amp;"u+"&amp;M124&amp;"d+"&amp;N124&amp;"e"</f>
        <v>471u+573d+123e</v>
      </c>
      <c r="P124">
        <f>COUNTIF(Shells!$E$2:$E$9,"&lt;"&amp;B124)+1</f>
        <v>8</v>
      </c>
      <c r="Q124">
        <f>INDEX(Shells!$C$2:$C$9,P124)</f>
        <v>8</v>
      </c>
      <c r="R124">
        <f>B124-IF(P124=1,0,INDEX(Shells!$E$2:$E$9,P124-1))</f>
        <v>5</v>
      </c>
      <c r="S124" t="str">
        <f>IF(R124=Q124,"CLOSED_SHELL","OPEN_SHELL")</f>
        <v>OPEN_SHELL</v>
      </c>
      <c r="T124" t="str">
        <f>IF(B124&gt;=Constants!$B$8,"CONSTANT_FRONTIER_TAIL_CANDIDATE",IF(I124=0,"CONSTANT_STABLE_ANCHOR_LANE",IF(I124=Constants!$B$2/2,"CONSTANT_HALF_WRITE_LANE","CONSTANT_BOUND_LADDER_LANE")))</f>
        <v>CONSTANT_FRONTIER_TAIL_CANDIDATE</v>
      </c>
      <c r="U124" t="str">
        <f>IF(B124&gt;=Constants!$B$8,"frontier",IF(AND(B124&lt;=Constants!$B$14,B124&lt;&gt;Constants!$B$15,B124&lt;&gt;Constants!$B$16),"stable","radioactive"))</f>
        <v>frontier</v>
      </c>
      <c r="V124">
        <f>Constants!$B$9</f>
        <v>9.266927083333333</v>
      </c>
      <c r="W124">
        <f>B124*Constants!$B$9+(C124-B124)*Constants!$B$10</f>
        <v>1141.42578125</v>
      </c>
      <c r="X124">
        <f>W124*Constants!$B$5</f>
        <v>9131.40625</v>
      </c>
      <c r="Y124">
        <f>W124*7</f>
        <v>7989.98046875</v>
      </c>
      <c r="Z124" t="str">
        <f>"shell "&amp;P124&amp;" occupancy "&amp;R124&amp;"/"&amp;Q124</f>
        <v>shell 8 occupancy 5/8</v>
      </c>
      <c r="AA124" t="str">
        <f>"closure"</f>
        <v>closure</v>
      </c>
      <c r="AB124" t="str">
        <f>"A=Z+N="&amp;B124&amp;"+"&amp;C124&amp;"="&amp;D124</f>
        <v>348</v>
      </c>
      <c r="AC124" t="str">
        <f>"SAM_CONSTANTS_ONLY_NO_FREE_INPUTS"</f>
        <v>SAM_CONSTANTS_ONLY_NO_FREE_INPUTS</v>
      </c>
    </row>
    <row r="125">
      <c r="A125" t="str">
        <f>"SOB"&amp;B125</f>
        <v>SOB124</v>
      </c>
      <c r="B125">
        <f>ROW()-1</f>
        <v>124</v>
      </c>
      <c r="C125">
        <f>B125+H125</f>
        <v>227</v>
      </c>
      <c r="D125">
        <f>B125+C125</f>
        <v>351</v>
      </c>
      <c r="E125">
        <f>INT((B125-1)/Constants!$B$2)+1</f>
        <v>11</v>
      </c>
      <c r="F125">
        <f>MOD(B125-1,Constants!$B$2)+1</f>
        <v>4</v>
      </c>
      <c r="G125">
        <f>MAX(0,E125-1)</f>
        <v>10</v>
      </c>
      <c r="H125">
        <f>INT(B125*G125/Constants!$B$2)</f>
        <v>103</v>
      </c>
      <c r="I125">
        <f>MOD(B125*G125,Constants!$B$2)</f>
        <v>4</v>
      </c>
      <c r="J125" t="str">
        <f>"P_"&amp;B125&amp;","&amp;D125</f>
        <v>P_124,351</v>
      </c>
      <c r="K125" t="str">
        <f>B125&amp;"p+"&amp;C125&amp;"n+"&amp;B125&amp;"e"</f>
        <v>124p+227n+124e</v>
      </c>
      <c r="L125">
        <f>2*B125+C125</f>
        <v>475</v>
      </c>
      <c r="M125">
        <f>B125+2*C125</f>
        <v>578</v>
      </c>
      <c r="N125">
        <f>B125</f>
        <v>124</v>
      </c>
      <c r="O125" t="str">
        <f>L125&amp;"u+"&amp;M125&amp;"d+"&amp;N125&amp;"e"</f>
        <v>475u+578d+124e</v>
      </c>
      <c r="P125">
        <f>COUNTIF(Shells!$E$2:$E$9,"&lt;"&amp;B125)+1</f>
        <v>8</v>
      </c>
      <c r="Q125">
        <f>INDEX(Shells!$C$2:$C$9,P125)</f>
        <v>8</v>
      </c>
      <c r="R125">
        <f>B125-IF(P125=1,0,INDEX(Shells!$E$2:$E$9,P125-1))</f>
        <v>6</v>
      </c>
      <c r="S125" t="str">
        <f>IF(R125=Q125,"CLOSED_SHELL","OPEN_SHELL")</f>
        <v>OPEN_SHELL</v>
      </c>
      <c r="T125" t="str">
        <f>IF(B125&gt;=Constants!$B$8,"CONSTANT_FRONTIER_TAIL_CANDIDATE",IF(I125=0,"CONSTANT_STABLE_ANCHOR_LANE",IF(I125=Constants!$B$2/2,"CONSTANT_HALF_WRITE_LANE","CONSTANT_BOUND_LADDER_LANE")))</f>
        <v>CONSTANT_FRONTIER_TAIL_CANDIDATE</v>
      </c>
      <c r="U125" t="str">
        <f>IF(B125&gt;=Constants!$B$8,"frontier",IF(AND(B125&lt;=Constants!$B$14,B125&lt;&gt;Constants!$B$15,B125&lt;&gt;Constants!$B$16),"stable","radioactive"))</f>
        <v>frontier</v>
      </c>
      <c r="V125">
        <f>Constants!$B$9</f>
        <v>9.266927083333333</v>
      </c>
      <c r="W125">
        <f>B125*Constants!$B$9+(C125-B125)*Constants!$B$10</f>
        <v>1150.708333333333333</v>
      </c>
      <c r="X125">
        <f>W125*Constants!$B$5</f>
        <v>9205.666666666666667</v>
      </c>
      <c r="Y125">
        <f>W125*7</f>
        <v>8054.958333333333333</v>
      </c>
      <c r="Z125" t="str">
        <f>"shell "&amp;P125&amp;" occupancy "&amp;R125&amp;"/"&amp;Q125</f>
        <v>shell 8 occupancy 6/8</v>
      </c>
      <c r="AA125" t="str">
        <f>"closure"</f>
        <v>closure</v>
      </c>
      <c r="AB125" t="str">
        <f>"A=Z+N="&amp;B125&amp;"+"&amp;C125&amp;"="&amp;D125</f>
        <v>351</v>
      </c>
      <c r="AC125" t="str">
        <f>"SAM_CONSTANTS_ONLY_NO_FREE_INPUTS"</f>
        <v>SAM_CONSTANTS_ONLY_NO_FREE_INPUTS</v>
      </c>
    </row>
    <row r="126">
      <c r="A126" t="str">
        <f>"SOB"&amp;B126</f>
        <v>SOB125</v>
      </c>
      <c r="B126">
        <f>ROW()-1</f>
        <v>125</v>
      </c>
      <c r="C126">
        <f>B126+H126</f>
        <v>229</v>
      </c>
      <c r="D126">
        <f>B126+C126</f>
        <v>354</v>
      </c>
      <c r="E126">
        <f>INT((B126-1)/Constants!$B$2)+1</f>
        <v>11</v>
      </c>
      <c r="F126">
        <f>MOD(B126-1,Constants!$B$2)+1</f>
        <v>5</v>
      </c>
      <c r="G126">
        <f>MAX(0,E126-1)</f>
        <v>10</v>
      </c>
      <c r="H126">
        <f>INT(B126*G126/Constants!$B$2)</f>
        <v>104</v>
      </c>
      <c r="I126">
        <f>MOD(B126*G126,Constants!$B$2)</f>
        <v>2</v>
      </c>
      <c r="J126" t="str">
        <f>"P_"&amp;B126&amp;","&amp;D126</f>
        <v>P_125,354</v>
      </c>
      <c r="K126" t="str">
        <f>B126&amp;"p+"&amp;C126&amp;"n+"&amp;B126&amp;"e"</f>
        <v>125p+229n+125e</v>
      </c>
      <c r="L126">
        <f>2*B126+C126</f>
        <v>479</v>
      </c>
      <c r="M126">
        <f>B126+2*C126</f>
        <v>583</v>
      </c>
      <c r="N126">
        <f>B126</f>
        <v>125</v>
      </c>
      <c r="O126" t="str">
        <f>L126&amp;"u+"&amp;M126&amp;"d+"&amp;N126&amp;"e"</f>
        <v>479u+583d+125e</v>
      </c>
      <c r="P126">
        <f>COUNTIF(Shells!$E$2:$E$9,"&lt;"&amp;B126)+1</f>
        <v>8</v>
      </c>
      <c r="Q126">
        <f>INDEX(Shells!$C$2:$C$9,P126)</f>
        <v>8</v>
      </c>
      <c r="R126">
        <f>B126-IF(P126=1,0,INDEX(Shells!$E$2:$E$9,P126-1))</f>
        <v>7</v>
      </c>
      <c r="S126" t="str">
        <f>IF(R126=Q126,"CLOSED_SHELL","OPEN_SHELL")</f>
        <v>OPEN_SHELL</v>
      </c>
      <c r="T126" t="str">
        <f>IF(B126&gt;=Constants!$B$8,"CONSTANT_FRONTIER_TAIL_CANDIDATE",IF(I126=0,"CONSTANT_STABLE_ANCHOR_LANE",IF(I126=Constants!$B$2/2,"CONSTANT_HALF_WRITE_LANE","CONSTANT_BOUND_LADDER_LANE")))</f>
        <v>CONSTANT_FRONTIER_TAIL_CANDIDATE</v>
      </c>
      <c r="U126" t="str">
        <f>IF(B126&gt;=Constants!$B$8,"frontier",IF(AND(B126&lt;=Constants!$B$14,B126&lt;&gt;Constants!$B$15,B126&lt;&gt;Constants!$B$16),"stable","radioactive"))</f>
        <v>frontier</v>
      </c>
      <c r="V126">
        <f>Constants!$B$9</f>
        <v>9.266927083333333</v>
      </c>
      <c r="W126">
        <f>B126*Constants!$B$9+(C126-B126)*Constants!$B$10</f>
        <v>1159.990885416666667</v>
      </c>
      <c r="X126">
        <f>W126*Constants!$B$5</f>
        <v>9279.927083333333333</v>
      </c>
      <c r="Y126">
        <f>W126*7</f>
        <v>8119.936197916666667</v>
      </c>
      <c r="Z126" t="str">
        <f>"shell "&amp;P126&amp;" occupancy "&amp;R126&amp;"/"&amp;Q126</f>
        <v>shell 8 occupancy 7/8</v>
      </c>
      <c r="AA126" t="str">
        <f>"closure"</f>
        <v>closure</v>
      </c>
      <c r="AB126" t="str">
        <f>"A=Z+N="&amp;B126&amp;"+"&amp;C126&amp;"="&amp;D126</f>
        <v>354</v>
      </c>
      <c r="AC126" t="str">
        <f>"SAM_CONSTANTS_ONLY_NO_FREE_INPUTS"</f>
        <v>SAM_CONSTANTS_ONLY_NO_FREE_INPUTS</v>
      </c>
    </row>
    <row r="127">
      <c r="A127" t="str">
        <f>"SOB"&amp;B127</f>
        <v>SOB126</v>
      </c>
      <c r="B127">
        <f>ROW()-1</f>
        <v>126</v>
      </c>
      <c r="C127">
        <f>B127+H127</f>
        <v>231</v>
      </c>
      <c r="D127">
        <f>B127+C127</f>
        <v>357</v>
      </c>
      <c r="E127">
        <f>INT((B127-1)/Constants!$B$2)+1</f>
        <v>11</v>
      </c>
      <c r="F127">
        <f>MOD(B127-1,Constants!$B$2)+1</f>
        <v>6</v>
      </c>
      <c r="G127">
        <f>MAX(0,E127-1)</f>
        <v>10</v>
      </c>
      <c r="H127">
        <f>INT(B127*G127/Constants!$B$2)</f>
        <v>105</v>
      </c>
      <c r="I127">
        <f>MOD(B127*G127,Constants!$B$2)</f>
        <v>0</v>
      </c>
      <c r="J127" t="str">
        <f>"P_"&amp;B127&amp;","&amp;D127</f>
        <v>P_126,357</v>
      </c>
      <c r="K127" t="str">
        <f>B127&amp;"p+"&amp;C127&amp;"n+"&amp;B127&amp;"e"</f>
        <v>126p+231n+126e</v>
      </c>
      <c r="L127">
        <f>2*B127+C127</f>
        <v>483</v>
      </c>
      <c r="M127">
        <f>B127+2*C127</f>
        <v>588</v>
      </c>
      <c r="N127">
        <f>B127</f>
        <v>126</v>
      </c>
      <c r="O127" t="str">
        <f>L127&amp;"u+"&amp;M127&amp;"d+"&amp;N127&amp;"e"</f>
        <v>483u+588d+126e</v>
      </c>
      <c r="P127">
        <f>COUNTIF(Shells!$E$2:$E$9,"&lt;"&amp;B127)+1</f>
        <v>8</v>
      </c>
      <c r="Q127">
        <f>INDEX(Shells!$C$2:$C$9,P127)</f>
        <v>8</v>
      </c>
      <c r="R127">
        <f>B127-IF(P127=1,0,INDEX(Shells!$E$2:$E$9,P127-1))</f>
        <v>8</v>
      </c>
      <c r="S127" t="str">
        <f>IF(R127=Q127,"CLOSED_SHELL","OPEN_SHELL")</f>
        <v>CLOSED_SHELL</v>
      </c>
      <c r="T127" t="str">
        <f>IF(B127&gt;=Constants!$B$8,"CONSTANT_FRONTIER_TAIL_CANDIDATE",IF(I127=0,"CONSTANT_STABLE_ANCHOR_LANE",IF(I127=Constants!$B$2/2,"CONSTANT_HALF_WRITE_LANE","CONSTANT_BOUND_LADDER_LANE")))</f>
        <v>CONSTANT_FRONTIER_TAIL_CANDIDATE</v>
      </c>
      <c r="U127" t="str">
        <f>IF(B127&gt;=Constants!$B$8,"frontier",IF(AND(B127&lt;=Constants!$B$14,B127&lt;&gt;Constants!$B$15,B127&lt;&gt;Constants!$B$16),"stable","radioactive"))</f>
        <v>frontier</v>
      </c>
      <c r="V127">
        <f>Constants!$B$9</f>
        <v>9.266927083333333</v>
      </c>
      <c r="W127">
        <f>B127*Constants!$B$9+(C127-B127)*Constants!$B$10</f>
        <v>1169.2734375</v>
      </c>
      <c r="X127">
        <f>W127*Constants!$B$5</f>
        <v>9354.1875</v>
      </c>
      <c r="Y127">
        <f>W127*7</f>
        <v>8184.9140625</v>
      </c>
      <c r="Z127" t="str">
        <f>"shell "&amp;P127&amp;" occupancy "&amp;R127&amp;"/"&amp;Q127</f>
        <v>shell 8 occupancy 8/8</v>
      </c>
      <c r="AA127" t="str">
        <f>"closure"</f>
        <v>closure</v>
      </c>
      <c r="AB127" t="str">
        <f>"A=Z+N="&amp;B127&amp;"+"&amp;C127&amp;"="&amp;D127</f>
        <v>357</v>
      </c>
      <c r="AC127" t="str">
        <f>"SAM_CONSTANTS_ONLY_NO_FREE_INPUTS"</f>
        <v>SAM_CONSTANTS_ONLY_NO_FREE_INPUTS</v>
      </c>
    </row>
  </sheetData>
  <autoFilter ref="A1:AC127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7"/>
  <sheetViews>
    <sheetView workbookViewId="0">
      <pane ySplit="1" topLeftCell="A2" activePane="bottomLeft" state="frozen"/>
      <selection pane="bottomLeft"/>
    </sheetView>
  </sheetViews>
  <cols>
    <col min="1" max="1" width="12" customWidth="1"/>
    <col min="2" max="2" width="18" customWidth="1"/>
    <col min="3" max="3" width="16" customWidth="1"/>
    <col min="4" max="4" width="16" customWidth="1"/>
    <col min="5" max="5" width="16" customWidth="1"/>
    <col min="8" max="8" width="16" customWidth="1"/>
    <col min="9" max="9" width="18" customWidth="1"/>
    <col min="10" max="10" width="22" customWidth="1"/>
    <col min="11" max="11" width="22" customWidth="1"/>
    <col min="12" max="12" width="26" customWidth="1"/>
    <col min="13" max="13" width="22" customWidth="1"/>
    <col min="14" max="14" width="24" customWidth="1"/>
  </cols>
  <sheetData>
    <row r="1">
      <c r="A1" t="inlineStr" s="1">
        <is>
          <t>sob_id</t>
        </is>
      </c>
      <c r="B1" t="inlineStr" s="1">
        <is>
          <t>card_title_native</t>
        </is>
      </c>
      <c r="C1" t="inlineStr" s="1">
        <is>
          <t>element_face</t>
        </is>
      </c>
      <c r="D1" t="inlineStr" s="1">
        <is>
          <t>matter_face_native</t>
        </is>
      </c>
      <c r="E1" t="inlineStr" s="1">
        <is>
          <t>clock_face</t>
        </is>
      </c>
      <c r="F1" t="inlineStr" s="1">
        <is>
          <t>light_face</t>
        </is>
      </c>
      <c r="G1" t="inlineStr" s="1">
        <is>
          <t>action_face</t>
        </is>
      </c>
      <c r="H1" t="inlineStr" s="1">
        <is>
          <t>P_subscript</t>
        </is>
      </c>
      <c r="I1" t="inlineStr" s="1">
        <is>
          <t>P_address</t>
        </is>
      </c>
      <c r="J1" t="inlineStr" s="1">
        <is>
          <t>quark_address</t>
        </is>
      </c>
      <c r="K1" t="inlineStr" s="1">
        <is>
          <t>kernel_line_1</t>
        </is>
      </c>
      <c r="L1" t="inlineStr" s="1">
        <is>
          <t>kernel_line_2</t>
        </is>
      </c>
      <c r="M1" t="inlineStr" s="1">
        <is>
          <t>kernel_line_3</t>
        </is>
      </c>
      <c r="N1" t="inlineStr" s="1">
        <is>
          <t>bottom_A_line</t>
        </is>
      </c>
      <c r="O1" t="inlineStr" s="1">
        <is>
          <t>reveal_name</t>
        </is>
      </c>
      <c r="P1" t="inlineStr" s="1">
        <is>
          <t>reveal_symbol</t>
        </is>
      </c>
      <c r="Q1" t="inlineStr" s="1">
        <is>
          <t>matter_reference_mass</t>
        </is>
      </c>
    </row>
    <row r="2">
      <c r="A2" t="str">
        <f>SOB_126!A2</f>
        <v>SOB1</v>
      </c>
      <c r="B2" t="str">
        <f>SOB_126!A2</f>
        <v>SOB1</v>
      </c>
      <c r="C2" t="str">
        <f>"E Z="&amp;SOB_126!B2</f>
        <v>E Z=1</v>
      </c>
      <c r="D2" t="str">
        <f>"A="&amp;SOB_126!D2</f>
        <v>A=2</v>
      </c>
      <c r="E2" t="str">
        <f>SOB_126!U2</f>
        <v>stable</v>
      </c>
      <c r="F2" t="str">
        <f>SOB_126!Z2</f>
        <v>shell 1 occupancy 1/2</v>
      </c>
      <c r="G2" t="str">
        <f>SOB_126!AA2</f>
        <v>closure</v>
      </c>
      <c r="H2" t="str">
        <f>SOB_126!J2</f>
        <v>P_1,2</v>
      </c>
      <c r="I2" t="str">
        <f>SOB_126!K2</f>
        <v>1p+1n+1e</v>
      </c>
      <c r="J2" t="str">
        <f>SOB_126!O2</f>
        <v>3u+3d+1e</v>
      </c>
      <c r="K2" t="str">
        <f>"G(P)="&amp;TEXT(SOB_126!W2,"0.000000")</f>
        <v>G(P)=9.266927</v>
      </c>
      <c r="L2" t="str">
        <f>"GR(P)=8G(P)="&amp;TEXT(SOB_126!X2,"0.000000")</f>
        <v>GR(P)=8G(P)=74.135417</v>
      </c>
      <c r="M2" t="str">
        <f>"GR(P)=7G(P)+G(P)"</f>
        <v>GR(P)=7G(P)+G(P)</v>
      </c>
      <c r="N2" t="str">
        <f>SOB_126!AB2</f>
        <v>2</v>
      </c>
    </row>
    <row r="3">
      <c r="A3" t="str">
        <f>SOB_126!A3</f>
        <v>SOB2</v>
      </c>
      <c r="B3" t="str">
        <f>SOB_126!A3</f>
        <v>SOB2</v>
      </c>
      <c r="C3" t="str">
        <f>"E Z="&amp;SOB_126!B3</f>
        <v>E Z=2</v>
      </c>
      <c r="D3" t="str">
        <f>"A="&amp;SOB_126!D3</f>
        <v>A=4</v>
      </c>
      <c r="E3" t="str">
        <f>SOB_126!U3</f>
        <v>stable</v>
      </c>
      <c r="F3" t="str">
        <f>SOB_126!Z3</f>
        <v>shell 1 occupancy 2/2</v>
      </c>
      <c r="G3" t="str">
        <f>SOB_126!AA3</f>
        <v>closure</v>
      </c>
      <c r="H3" t="str">
        <f>SOB_126!J3</f>
        <v>P_2,4</v>
      </c>
      <c r="I3" t="str">
        <f>SOB_126!K3</f>
        <v>2p+2n+2e</v>
      </c>
      <c r="J3" t="str">
        <f>SOB_126!O3</f>
        <v>6u+6d+2e</v>
      </c>
      <c r="K3" t="str">
        <f>"G(P)="&amp;TEXT(SOB_126!W3,"0.000000")</f>
        <v>G(P)=18.533854</v>
      </c>
      <c r="L3" t="str">
        <f>"GR(P)=8G(P)="&amp;TEXT(SOB_126!X3,"0.000000")</f>
        <v>GR(P)=8G(P)=148.270833</v>
      </c>
      <c r="M3" t="str">
        <f>"GR(P)=7G(P)+G(P)"</f>
        <v>GR(P)=7G(P)+G(P)</v>
      </c>
      <c r="N3" t="str">
        <f>SOB_126!AB3</f>
        <v>4</v>
      </c>
    </row>
    <row r="4">
      <c r="A4" t="str">
        <f>SOB_126!A4</f>
        <v>SOB3</v>
      </c>
      <c r="B4" t="str">
        <f>SOB_126!A4</f>
        <v>SOB3</v>
      </c>
      <c r="C4" t="str">
        <f>"E Z="&amp;SOB_126!B4</f>
        <v>E Z=3</v>
      </c>
      <c r="D4" t="str">
        <f>"A="&amp;SOB_126!D4</f>
        <v>A=6</v>
      </c>
      <c r="E4" t="str">
        <f>SOB_126!U4</f>
        <v>stable</v>
      </c>
      <c r="F4" t="str">
        <f>SOB_126!Z4</f>
        <v>shell 2 occupancy 1/8</v>
      </c>
      <c r="G4" t="str">
        <f>SOB_126!AA4</f>
        <v>closure</v>
      </c>
      <c r="H4" t="str">
        <f>SOB_126!J4</f>
        <v>P_3,6</v>
      </c>
      <c r="I4" t="str">
        <f>SOB_126!K4</f>
        <v>3p+3n+3e</v>
      </c>
      <c r="J4" t="str">
        <f>SOB_126!O4</f>
        <v>9u+9d+3e</v>
      </c>
      <c r="K4" t="str">
        <f>"G(P)="&amp;TEXT(SOB_126!W4,"0.000000")</f>
        <v>G(P)=27.800781</v>
      </c>
      <c r="L4" t="str">
        <f>"GR(P)=8G(P)="&amp;TEXT(SOB_126!X4,"0.000000")</f>
        <v>GR(P)=8G(P)=222.40625</v>
      </c>
      <c r="M4" t="str">
        <f>"GR(P)=7G(P)+G(P)"</f>
        <v>GR(P)=7G(P)+G(P)</v>
      </c>
      <c r="N4" t="str">
        <f>SOB_126!AB4</f>
        <v>6</v>
      </c>
    </row>
    <row r="5">
      <c r="A5" t="str">
        <f>SOB_126!A5</f>
        <v>SOB4</v>
      </c>
      <c r="B5" t="str">
        <f>SOB_126!A5</f>
        <v>SOB4</v>
      </c>
      <c r="C5" t="str">
        <f>"E Z="&amp;SOB_126!B5</f>
        <v>E Z=4</v>
      </c>
      <c r="D5" t="str">
        <f>"A="&amp;SOB_126!D5</f>
        <v>A=8</v>
      </c>
      <c r="E5" t="str">
        <f>SOB_126!U5</f>
        <v>stable</v>
      </c>
      <c r="F5" t="str">
        <f>SOB_126!Z5</f>
        <v>shell 2 occupancy 2/8</v>
      </c>
      <c r="G5" t="str">
        <f>SOB_126!AA5</f>
        <v>closure</v>
      </c>
      <c r="H5" t="str">
        <f>SOB_126!J5</f>
        <v>P_4,8</v>
      </c>
      <c r="I5" t="str">
        <f>SOB_126!K5</f>
        <v>4p+4n+4e</v>
      </c>
      <c r="J5" t="str">
        <f>SOB_126!O5</f>
        <v>12u+12d+4e</v>
      </c>
      <c r="K5" t="str">
        <f>"G(P)="&amp;TEXT(SOB_126!W5,"0.000000")</f>
        <v>G(P)=37.067708</v>
      </c>
      <c r="L5" t="str">
        <f>"GR(P)=8G(P)="&amp;TEXT(SOB_126!X5,"0.000000")</f>
        <v>GR(P)=8G(P)=296.541667</v>
      </c>
      <c r="M5" t="str">
        <f>"GR(P)=7G(P)+G(P)"</f>
        <v>GR(P)=7G(P)+G(P)</v>
      </c>
      <c r="N5" t="str">
        <f>SOB_126!AB5</f>
        <v>8</v>
      </c>
    </row>
    <row r="6">
      <c r="A6" t="str">
        <f>SOB_126!A6</f>
        <v>SOB5</v>
      </c>
      <c r="B6" t="str">
        <f>SOB_126!A6</f>
        <v>SOB5</v>
      </c>
      <c r="C6" t="str">
        <f>"E Z="&amp;SOB_126!B6</f>
        <v>E Z=5</v>
      </c>
      <c r="D6" t="str">
        <f>"A="&amp;SOB_126!D6</f>
        <v>A=10</v>
      </c>
      <c r="E6" t="str">
        <f>SOB_126!U6</f>
        <v>stable</v>
      </c>
      <c r="F6" t="str">
        <f>SOB_126!Z6</f>
        <v>shell 2 occupancy 3/8</v>
      </c>
      <c r="G6" t="str">
        <f>SOB_126!AA6</f>
        <v>closure</v>
      </c>
      <c r="H6" t="str">
        <f>SOB_126!J6</f>
        <v>P_5,10</v>
      </c>
      <c r="I6" t="str">
        <f>SOB_126!K6</f>
        <v>5p+5n+5e</v>
      </c>
      <c r="J6" t="str">
        <f>SOB_126!O6</f>
        <v>15u+15d+5e</v>
      </c>
      <c r="K6" t="str">
        <f>"G(P)="&amp;TEXT(SOB_126!W6,"0.000000")</f>
        <v>G(P)=46.334635</v>
      </c>
      <c r="L6" t="str">
        <f>"GR(P)=8G(P)="&amp;TEXT(SOB_126!X6,"0.000000")</f>
        <v>GR(P)=8G(P)=370.677083</v>
      </c>
      <c r="M6" t="str">
        <f>"GR(P)=7G(P)+G(P)"</f>
        <v>GR(P)=7G(P)+G(P)</v>
      </c>
      <c r="N6" t="str">
        <f>SOB_126!AB6</f>
        <v>10</v>
      </c>
    </row>
    <row r="7">
      <c r="A7" t="str">
        <f>SOB_126!A7</f>
        <v>SOB6</v>
      </c>
      <c r="B7" t="str">
        <f>SOB_126!A7</f>
        <v>SOB6</v>
      </c>
      <c r="C7" t="str">
        <f>"E Z="&amp;SOB_126!B7</f>
        <v>E Z=6</v>
      </c>
      <c r="D7" t="str">
        <f>"A="&amp;SOB_126!D7</f>
        <v>A=12</v>
      </c>
      <c r="E7" t="str">
        <f>SOB_126!U7</f>
        <v>stable</v>
      </c>
      <c r="F7" t="str">
        <f>SOB_126!Z7</f>
        <v>shell 2 occupancy 4/8</v>
      </c>
      <c r="G7" t="str">
        <f>SOB_126!AA7</f>
        <v>closure</v>
      </c>
      <c r="H7" t="str">
        <f>SOB_126!J7</f>
        <v>P_6,12</v>
      </c>
      <c r="I7" t="str">
        <f>SOB_126!K7</f>
        <v>6p+6n+6e</v>
      </c>
      <c r="J7" t="str">
        <f>SOB_126!O7</f>
        <v>18u+18d+6e</v>
      </c>
      <c r="K7" t="str">
        <f>"G(P)="&amp;TEXT(SOB_126!W7,"0.000000")</f>
        <v>G(P)=55.601562</v>
      </c>
      <c r="L7" t="str">
        <f>"GR(P)=8G(P)="&amp;TEXT(SOB_126!X7,"0.000000")</f>
        <v>GR(P)=8G(P)=444.8125</v>
      </c>
      <c r="M7" t="str">
        <f>"GR(P)=7G(P)+G(P)"</f>
        <v>GR(P)=7G(P)+G(P)</v>
      </c>
      <c r="N7" t="str">
        <f>SOB_126!AB7</f>
        <v>12</v>
      </c>
    </row>
    <row r="8">
      <c r="A8" t="str">
        <f>SOB_126!A8</f>
        <v>SOB7</v>
      </c>
      <c r="B8" t="str">
        <f>SOB_126!A8</f>
        <v>SOB7</v>
      </c>
      <c r="C8" t="str">
        <f>"E Z="&amp;SOB_126!B8</f>
        <v>E Z=7</v>
      </c>
      <c r="D8" t="str">
        <f>"A="&amp;SOB_126!D8</f>
        <v>A=14</v>
      </c>
      <c r="E8" t="str">
        <f>SOB_126!U8</f>
        <v>stable</v>
      </c>
      <c r="F8" t="str">
        <f>SOB_126!Z8</f>
        <v>shell 2 occupancy 5/8</v>
      </c>
      <c r="G8" t="str">
        <f>SOB_126!AA8</f>
        <v>closure</v>
      </c>
      <c r="H8" t="str">
        <f>SOB_126!J8</f>
        <v>P_7,14</v>
      </c>
      <c r="I8" t="str">
        <f>SOB_126!K8</f>
        <v>7p+7n+7e</v>
      </c>
      <c r="J8" t="str">
        <f>SOB_126!O8</f>
        <v>21u+21d+7e</v>
      </c>
      <c r="K8" t="str">
        <f>"G(P)="&amp;TEXT(SOB_126!W8,"0.000000")</f>
        <v>G(P)=64.86849</v>
      </c>
      <c r="L8" t="str">
        <f>"GR(P)=8G(P)="&amp;TEXT(SOB_126!X8,"0.000000")</f>
        <v>GR(P)=8G(P)=518.947917</v>
      </c>
      <c r="M8" t="str">
        <f>"GR(P)=7G(P)+G(P)"</f>
        <v>GR(P)=7G(P)+G(P)</v>
      </c>
      <c r="N8" t="str">
        <f>SOB_126!AB8</f>
        <v>14</v>
      </c>
    </row>
    <row r="9">
      <c r="A9" t="str">
        <f>SOB_126!A9</f>
        <v>SOB8</v>
      </c>
      <c r="B9" t="str">
        <f>SOB_126!A9</f>
        <v>SOB8</v>
      </c>
      <c r="C9" t="str">
        <f>"E Z="&amp;SOB_126!B9</f>
        <v>E Z=8</v>
      </c>
      <c r="D9" t="str">
        <f>"A="&amp;SOB_126!D9</f>
        <v>A=16</v>
      </c>
      <c r="E9" t="str">
        <f>SOB_126!U9</f>
        <v>stable</v>
      </c>
      <c r="F9" t="str">
        <f>SOB_126!Z9</f>
        <v>shell 2 occupancy 6/8</v>
      </c>
      <c r="G9" t="str">
        <f>SOB_126!AA9</f>
        <v>closure</v>
      </c>
      <c r="H9" t="str">
        <f>SOB_126!J9</f>
        <v>P_8,16</v>
      </c>
      <c r="I9" t="str">
        <f>SOB_126!K9</f>
        <v>8p+8n+8e</v>
      </c>
      <c r="J9" t="str">
        <f>SOB_126!O9</f>
        <v>24u+24d+8e</v>
      </c>
      <c r="K9" t="str">
        <f>"G(P)="&amp;TEXT(SOB_126!W9,"0.000000")</f>
        <v>G(P)=74.135417</v>
      </c>
      <c r="L9" t="str">
        <f>"GR(P)=8G(P)="&amp;TEXT(SOB_126!X9,"0.000000")</f>
        <v>GR(P)=8G(P)=593.083333</v>
      </c>
      <c r="M9" t="str">
        <f>"GR(P)=7G(P)+G(P)"</f>
        <v>GR(P)=7G(P)+G(P)</v>
      </c>
      <c r="N9" t="str">
        <f>SOB_126!AB9</f>
        <v>16</v>
      </c>
    </row>
    <row r="10">
      <c r="A10" t="str">
        <f>SOB_126!A10</f>
        <v>SOB9</v>
      </c>
      <c r="B10" t="str">
        <f>SOB_126!A10</f>
        <v>SOB9</v>
      </c>
      <c r="C10" t="str">
        <f>"E Z="&amp;SOB_126!B10</f>
        <v>E Z=9</v>
      </c>
      <c r="D10" t="str">
        <f>"A="&amp;SOB_126!D10</f>
        <v>A=18</v>
      </c>
      <c r="E10" t="str">
        <f>SOB_126!U10</f>
        <v>stable</v>
      </c>
      <c r="F10" t="str">
        <f>SOB_126!Z10</f>
        <v>shell 2 occupancy 7/8</v>
      </c>
      <c r="G10" t="str">
        <f>SOB_126!AA10</f>
        <v>closure</v>
      </c>
      <c r="H10" t="str">
        <f>SOB_126!J10</f>
        <v>P_9,18</v>
      </c>
      <c r="I10" t="str">
        <f>SOB_126!K10</f>
        <v>9p+9n+9e</v>
      </c>
      <c r="J10" t="str">
        <f>SOB_126!O10</f>
        <v>27u+27d+9e</v>
      </c>
      <c r="K10" t="str">
        <f>"G(P)="&amp;TEXT(SOB_126!W10,"0.000000")</f>
        <v>G(P)=83.402344</v>
      </c>
      <c r="L10" t="str">
        <f>"GR(P)=8G(P)="&amp;TEXT(SOB_126!X10,"0.000000")</f>
        <v>GR(P)=8G(P)=667.21875</v>
      </c>
      <c r="M10" t="str">
        <f>"GR(P)=7G(P)+G(P)"</f>
        <v>GR(P)=7G(P)+G(P)</v>
      </c>
      <c r="N10" t="str">
        <f>SOB_126!AB10</f>
        <v>18</v>
      </c>
    </row>
    <row r="11">
      <c r="A11" t="str">
        <f>SOB_126!A11</f>
        <v>SOB10</v>
      </c>
      <c r="B11" t="str">
        <f>SOB_126!A11</f>
        <v>SOB10</v>
      </c>
      <c r="C11" t="str">
        <f>"E Z="&amp;SOB_126!B11</f>
        <v>E Z=10</v>
      </c>
      <c r="D11" t="str">
        <f>"A="&amp;SOB_126!D11</f>
        <v>A=20</v>
      </c>
      <c r="E11" t="str">
        <f>SOB_126!U11</f>
        <v>stable</v>
      </c>
      <c r="F11" t="str">
        <f>SOB_126!Z11</f>
        <v>shell 2 occupancy 8/8</v>
      </c>
      <c r="G11" t="str">
        <f>SOB_126!AA11</f>
        <v>closure</v>
      </c>
      <c r="H11" t="str">
        <f>SOB_126!J11</f>
        <v>P_10,20</v>
      </c>
      <c r="I11" t="str">
        <f>SOB_126!K11</f>
        <v>10p+10n+10e</v>
      </c>
      <c r="J11" t="str">
        <f>SOB_126!O11</f>
        <v>30u+30d+10e</v>
      </c>
      <c r="K11" t="str">
        <f>"G(P)="&amp;TEXT(SOB_126!W11,"0.000000")</f>
        <v>G(P)=92.669271</v>
      </c>
      <c r="L11" t="str">
        <f>"GR(P)=8G(P)="&amp;TEXT(SOB_126!X11,"0.000000")</f>
        <v>GR(P)=8G(P)=741.354167</v>
      </c>
      <c r="M11" t="str">
        <f>"GR(P)=7G(P)+G(P)"</f>
        <v>GR(P)=7G(P)+G(P)</v>
      </c>
      <c r="N11" t="str">
        <f>SOB_126!AB11</f>
        <v>20</v>
      </c>
    </row>
    <row r="12">
      <c r="A12" t="str">
        <f>SOB_126!A12</f>
        <v>SOB11</v>
      </c>
      <c r="B12" t="str">
        <f>SOB_126!A12</f>
        <v>SOB11</v>
      </c>
      <c r="C12" t="str">
        <f>"E Z="&amp;SOB_126!B12</f>
        <v>E Z=11</v>
      </c>
      <c r="D12" t="str">
        <f>"A="&amp;SOB_126!D12</f>
        <v>A=22</v>
      </c>
      <c r="E12" t="str">
        <f>SOB_126!U12</f>
        <v>stable</v>
      </c>
      <c r="F12" t="str">
        <f>SOB_126!Z12</f>
        <v>shell 3 occupancy 1/18</v>
      </c>
      <c r="G12" t="str">
        <f>SOB_126!AA12</f>
        <v>closure</v>
      </c>
      <c r="H12" t="str">
        <f>SOB_126!J12</f>
        <v>P_11,22</v>
      </c>
      <c r="I12" t="str">
        <f>SOB_126!K12</f>
        <v>11p+11n+11e</v>
      </c>
      <c r="J12" t="str">
        <f>SOB_126!O12</f>
        <v>33u+33d+11e</v>
      </c>
      <c r="K12" t="str">
        <f>"G(P)="&amp;TEXT(SOB_126!W12,"0.000000")</f>
        <v>G(P)=101.936198</v>
      </c>
      <c r="L12" t="str">
        <f>"GR(P)=8G(P)="&amp;TEXT(SOB_126!X12,"0.000000")</f>
        <v>GR(P)=8G(P)=815.489583</v>
      </c>
      <c r="M12" t="str">
        <f>"GR(P)=7G(P)+G(P)"</f>
        <v>GR(P)=7G(P)+G(P)</v>
      </c>
      <c r="N12" t="str">
        <f>SOB_126!AB12</f>
        <v>22</v>
      </c>
    </row>
    <row r="13">
      <c r="A13" t="str">
        <f>SOB_126!A13</f>
        <v>SOB12</v>
      </c>
      <c r="B13" t="str">
        <f>SOB_126!A13</f>
        <v>SOB12</v>
      </c>
      <c r="C13" t="str">
        <f>"E Z="&amp;SOB_126!B13</f>
        <v>E Z=12</v>
      </c>
      <c r="D13" t="str">
        <f>"A="&amp;SOB_126!D13</f>
        <v>A=24</v>
      </c>
      <c r="E13" t="str">
        <f>SOB_126!U13</f>
        <v>stable</v>
      </c>
      <c r="F13" t="str">
        <f>SOB_126!Z13</f>
        <v>shell 3 occupancy 2/18</v>
      </c>
      <c r="G13" t="str">
        <f>SOB_126!AA13</f>
        <v>closure</v>
      </c>
      <c r="H13" t="str">
        <f>SOB_126!J13</f>
        <v>P_12,24</v>
      </c>
      <c r="I13" t="str">
        <f>SOB_126!K13</f>
        <v>12p+12n+12e</v>
      </c>
      <c r="J13" t="str">
        <f>SOB_126!O13</f>
        <v>36u+36d+12e</v>
      </c>
      <c r="K13" t="str">
        <f>"G(P)="&amp;TEXT(SOB_126!W13,"0.000000")</f>
        <v>G(P)=111.203125</v>
      </c>
      <c r="L13" t="str">
        <f>"GR(P)=8G(P)="&amp;TEXT(SOB_126!X13,"0.000000")</f>
        <v>GR(P)=8G(P)=889.625</v>
      </c>
      <c r="M13" t="str">
        <f>"GR(P)=7G(P)+G(P)"</f>
        <v>GR(P)=7G(P)+G(P)</v>
      </c>
      <c r="N13" t="str">
        <f>SOB_126!AB13</f>
        <v>24</v>
      </c>
    </row>
    <row r="14">
      <c r="A14" t="str">
        <f>SOB_126!A14</f>
        <v>SOB13</v>
      </c>
      <c r="B14" t="str">
        <f>SOB_126!A14</f>
        <v>SOB13</v>
      </c>
      <c r="C14" t="str">
        <f>"E Z="&amp;SOB_126!B14</f>
        <v>E Z=13</v>
      </c>
      <c r="D14" t="str">
        <f>"A="&amp;SOB_126!D14</f>
        <v>A=27</v>
      </c>
      <c r="E14" t="str">
        <f>SOB_126!U14</f>
        <v>stable</v>
      </c>
      <c r="F14" t="str">
        <f>SOB_126!Z14</f>
        <v>shell 3 occupancy 3/18</v>
      </c>
      <c r="G14" t="str">
        <f>SOB_126!AA14</f>
        <v>closure</v>
      </c>
      <c r="H14" t="str">
        <f>SOB_126!J14</f>
        <v>P_13,27</v>
      </c>
      <c r="I14" t="str">
        <f>SOB_126!K14</f>
        <v>13p+14n+13e</v>
      </c>
      <c r="J14" t="str">
        <f>SOB_126!O14</f>
        <v>40u+41d+13e</v>
      </c>
      <c r="K14" t="str">
        <f>"G(P)="&amp;TEXT(SOB_126!W14,"0.000000")</f>
        <v>G(P)=120.485677</v>
      </c>
      <c r="L14" t="str">
        <f>"GR(P)=8G(P)="&amp;TEXT(SOB_126!X14,"0.000000")</f>
        <v>GR(P)=8G(P)=963.885417</v>
      </c>
      <c r="M14" t="str">
        <f>"GR(P)=7G(P)+G(P)"</f>
        <v>GR(P)=7G(P)+G(P)</v>
      </c>
      <c r="N14" t="str">
        <f>SOB_126!AB14</f>
        <v>27</v>
      </c>
    </row>
    <row r="15">
      <c r="A15" t="str">
        <f>SOB_126!A15</f>
        <v>SOB14</v>
      </c>
      <c r="B15" t="str">
        <f>SOB_126!A15</f>
        <v>SOB14</v>
      </c>
      <c r="C15" t="str">
        <f>"E Z="&amp;SOB_126!B15</f>
        <v>E Z=14</v>
      </c>
      <c r="D15" t="str">
        <f>"A="&amp;SOB_126!D15</f>
        <v>A=29</v>
      </c>
      <c r="E15" t="str">
        <f>SOB_126!U15</f>
        <v>stable</v>
      </c>
      <c r="F15" t="str">
        <f>SOB_126!Z15</f>
        <v>shell 3 occupancy 4/18</v>
      </c>
      <c r="G15" t="str">
        <f>SOB_126!AA15</f>
        <v>closure</v>
      </c>
      <c r="H15" t="str">
        <f>SOB_126!J15</f>
        <v>P_14,29</v>
      </c>
      <c r="I15" t="str">
        <f>SOB_126!K15</f>
        <v>14p+15n+14e</v>
      </c>
      <c r="J15" t="str">
        <f>SOB_126!O15</f>
        <v>43u+44d+14e</v>
      </c>
      <c r="K15" t="str">
        <f>"G(P)="&amp;TEXT(SOB_126!W15,"0.000000")</f>
        <v>G(P)=129.752604</v>
      </c>
      <c r="L15" t="str">
        <f>"GR(P)=8G(P)="&amp;TEXT(SOB_126!X15,"0.000000")</f>
        <v>GR(P)=8G(P)=1038.020833</v>
      </c>
      <c r="M15" t="str">
        <f>"GR(P)=7G(P)+G(P)"</f>
        <v>GR(P)=7G(P)+G(P)</v>
      </c>
      <c r="N15" t="str">
        <f>SOB_126!AB15</f>
        <v>29</v>
      </c>
    </row>
    <row r="16">
      <c r="A16" t="str">
        <f>SOB_126!A16</f>
        <v>SOB15</v>
      </c>
      <c r="B16" t="str">
        <f>SOB_126!A16</f>
        <v>SOB15</v>
      </c>
      <c r="C16" t="str">
        <f>"E Z="&amp;SOB_126!B16</f>
        <v>E Z=15</v>
      </c>
      <c r="D16" t="str">
        <f>"A="&amp;SOB_126!D16</f>
        <v>A=31</v>
      </c>
      <c r="E16" t="str">
        <f>SOB_126!U16</f>
        <v>stable</v>
      </c>
      <c r="F16" t="str">
        <f>SOB_126!Z16</f>
        <v>shell 3 occupancy 5/18</v>
      </c>
      <c r="G16" t="str">
        <f>SOB_126!AA16</f>
        <v>closure</v>
      </c>
      <c r="H16" t="str">
        <f>SOB_126!J16</f>
        <v>P_15,31</v>
      </c>
      <c r="I16" t="str">
        <f>SOB_126!K16</f>
        <v>15p+16n+15e</v>
      </c>
      <c r="J16" t="str">
        <f>SOB_126!O16</f>
        <v>46u+47d+15e</v>
      </c>
      <c r="K16" t="str">
        <f>"G(P)="&amp;TEXT(SOB_126!W16,"0.000000")</f>
        <v>G(P)=139.019531</v>
      </c>
      <c r="L16" t="str">
        <f>"GR(P)=8G(P)="&amp;TEXT(SOB_126!X16,"0.000000")</f>
        <v>GR(P)=8G(P)=1112.15625</v>
      </c>
      <c r="M16" t="str">
        <f>"GR(P)=7G(P)+G(P)"</f>
        <v>GR(P)=7G(P)+G(P)</v>
      </c>
      <c r="N16" t="str">
        <f>SOB_126!AB16</f>
        <v>31</v>
      </c>
    </row>
    <row r="17">
      <c r="A17" t="str">
        <f>SOB_126!A17</f>
        <v>SOB16</v>
      </c>
      <c r="B17" t="str">
        <f>SOB_126!A17</f>
        <v>SOB16</v>
      </c>
      <c r="C17" t="str">
        <f>"E Z="&amp;SOB_126!B17</f>
        <v>E Z=16</v>
      </c>
      <c r="D17" t="str">
        <f>"A="&amp;SOB_126!D17</f>
        <v>A=33</v>
      </c>
      <c r="E17" t="str">
        <f>SOB_126!U17</f>
        <v>stable</v>
      </c>
      <c r="F17" t="str">
        <f>SOB_126!Z17</f>
        <v>shell 3 occupancy 6/18</v>
      </c>
      <c r="G17" t="str">
        <f>SOB_126!AA17</f>
        <v>closure</v>
      </c>
      <c r="H17" t="str">
        <f>SOB_126!J17</f>
        <v>P_16,33</v>
      </c>
      <c r="I17" t="str">
        <f>SOB_126!K17</f>
        <v>16p+17n+16e</v>
      </c>
      <c r="J17" t="str">
        <f>SOB_126!O17</f>
        <v>49u+50d+16e</v>
      </c>
      <c r="K17" t="str">
        <f>"G(P)="&amp;TEXT(SOB_126!W17,"0.000000")</f>
        <v>G(P)=148.286458</v>
      </c>
      <c r="L17" t="str">
        <f>"GR(P)=8G(P)="&amp;TEXT(SOB_126!X17,"0.000000")</f>
        <v>GR(P)=8G(P)=1186.291667</v>
      </c>
      <c r="M17" t="str">
        <f>"GR(P)=7G(P)+G(P)"</f>
        <v>GR(P)=7G(P)+G(P)</v>
      </c>
      <c r="N17" t="str">
        <f>SOB_126!AB17</f>
        <v>33</v>
      </c>
    </row>
    <row r="18">
      <c r="A18" t="str">
        <f>SOB_126!A18</f>
        <v>SOB17</v>
      </c>
      <c r="B18" t="str">
        <f>SOB_126!A18</f>
        <v>SOB17</v>
      </c>
      <c r="C18" t="str">
        <f>"E Z="&amp;SOB_126!B18</f>
        <v>E Z=17</v>
      </c>
      <c r="D18" t="str">
        <f>"A="&amp;SOB_126!D18</f>
        <v>A=35</v>
      </c>
      <c r="E18" t="str">
        <f>SOB_126!U18</f>
        <v>stable</v>
      </c>
      <c r="F18" t="str">
        <f>SOB_126!Z18</f>
        <v>shell 3 occupancy 7/18</v>
      </c>
      <c r="G18" t="str">
        <f>SOB_126!AA18</f>
        <v>closure</v>
      </c>
      <c r="H18" t="str">
        <f>SOB_126!J18</f>
        <v>P_17,35</v>
      </c>
      <c r="I18" t="str">
        <f>SOB_126!K18</f>
        <v>17p+18n+17e</v>
      </c>
      <c r="J18" t="str">
        <f>SOB_126!O18</f>
        <v>52u+53d+17e</v>
      </c>
      <c r="K18" t="str">
        <f>"G(P)="&amp;TEXT(SOB_126!W18,"0.000000")</f>
        <v>G(P)=157.553385</v>
      </c>
      <c r="L18" t="str">
        <f>"GR(P)=8G(P)="&amp;TEXT(SOB_126!X18,"0.000000")</f>
        <v>GR(P)=8G(P)=1260.427083</v>
      </c>
      <c r="M18" t="str">
        <f>"GR(P)=7G(P)+G(P)"</f>
        <v>GR(P)=7G(P)+G(P)</v>
      </c>
      <c r="N18" t="str">
        <f>SOB_126!AB18</f>
        <v>35</v>
      </c>
    </row>
    <row r="19">
      <c r="A19" t="str">
        <f>SOB_126!A19</f>
        <v>SOB18</v>
      </c>
      <c r="B19" t="str">
        <f>SOB_126!A19</f>
        <v>SOB18</v>
      </c>
      <c r="C19" t="str">
        <f>"E Z="&amp;SOB_126!B19</f>
        <v>E Z=18</v>
      </c>
      <c r="D19" t="str">
        <f>"A="&amp;SOB_126!D19</f>
        <v>A=37</v>
      </c>
      <c r="E19" t="str">
        <f>SOB_126!U19</f>
        <v>stable</v>
      </c>
      <c r="F19" t="str">
        <f>SOB_126!Z19</f>
        <v>shell 3 occupancy 8/18</v>
      </c>
      <c r="G19" t="str">
        <f>SOB_126!AA19</f>
        <v>closure</v>
      </c>
      <c r="H19" t="str">
        <f>SOB_126!J19</f>
        <v>P_18,37</v>
      </c>
      <c r="I19" t="str">
        <f>SOB_126!K19</f>
        <v>18p+19n+18e</v>
      </c>
      <c r="J19" t="str">
        <f>SOB_126!O19</f>
        <v>55u+56d+18e</v>
      </c>
      <c r="K19" t="str">
        <f>"G(P)="&amp;TEXT(SOB_126!W19,"0.000000")</f>
        <v>G(P)=166.820312</v>
      </c>
      <c r="L19" t="str">
        <f>"GR(P)=8G(P)="&amp;TEXT(SOB_126!X19,"0.000000")</f>
        <v>GR(P)=8G(P)=1334.5625</v>
      </c>
      <c r="M19" t="str">
        <f>"GR(P)=7G(P)+G(P)"</f>
        <v>GR(P)=7G(P)+G(P)</v>
      </c>
      <c r="N19" t="str">
        <f>SOB_126!AB19</f>
        <v>37</v>
      </c>
    </row>
    <row r="20">
      <c r="A20" t="str">
        <f>SOB_126!A20</f>
        <v>SOB19</v>
      </c>
      <c r="B20" t="str">
        <f>SOB_126!A20</f>
        <v>SOB19</v>
      </c>
      <c r="C20" t="str">
        <f>"E Z="&amp;SOB_126!B20</f>
        <v>E Z=19</v>
      </c>
      <c r="D20" t="str">
        <f>"A="&amp;SOB_126!D20</f>
        <v>A=39</v>
      </c>
      <c r="E20" t="str">
        <f>SOB_126!U20</f>
        <v>stable</v>
      </c>
      <c r="F20" t="str">
        <f>SOB_126!Z20</f>
        <v>shell 3 occupancy 9/18</v>
      </c>
      <c r="G20" t="str">
        <f>SOB_126!AA20</f>
        <v>closure</v>
      </c>
      <c r="H20" t="str">
        <f>SOB_126!J20</f>
        <v>P_19,39</v>
      </c>
      <c r="I20" t="str">
        <f>SOB_126!K20</f>
        <v>19p+20n+19e</v>
      </c>
      <c r="J20" t="str">
        <f>SOB_126!O20</f>
        <v>58u+59d+19e</v>
      </c>
      <c r="K20" t="str">
        <f>"G(P)="&amp;TEXT(SOB_126!W20,"0.000000")</f>
        <v>G(P)=176.08724</v>
      </c>
      <c r="L20" t="str">
        <f>"GR(P)=8G(P)="&amp;TEXT(SOB_126!X20,"0.000000")</f>
        <v>GR(P)=8G(P)=1408.697917</v>
      </c>
      <c r="M20" t="str">
        <f>"GR(P)=7G(P)+G(P)"</f>
        <v>GR(P)=7G(P)+G(P)</v>
      </c>
      <c r="N20" t="str">
        <f>SOB_126!AB20</f>
        <v>39</v>
      </c>
    </row>
    <row r="21">
      <c r="A21" t="str">
        <f>SOB_126!A21</f>
        <v>SOB20</v>
      </c>
      <c r="B21" t="str">
        <f>SOB_126!A21</f>
        <v>SOB20</v>
      </c>
      <c r="C21" t="str">
        <f>"E Z="&amp;SOB_126!B21</f>
        <v>E Z=20</v>
      </c>
      <c r="D21" t="str">
        <f>"A="&amp;SOB_126!D21</f>
        <v>A=41</v>
      </c>
      <c r="E21" t="str">
        <f>SOB_126!U21</f>
        <v>stable</v>
      </c>
      <c r="F21" t="str">
        <f>SOB_126!Z21</f>
        <v>shell 3 occupancy 10/18</v>
      </c>
      <c r="G21" t="str">
        <f>SOB_126!AA21</f>
        <v>closure</v>
      </c>
      <c r="H21" t="str">
        <f>SOB_126!J21</f>
        <v>P_20,41</v>
      </c>
      <c r="I21" t="str">
        <f>SOB_126!K21</f>
        <v>20p+21n+20e</v>
      </c>
      <c r="J21" t="str">
        <f>SOB_126!O21</f>
        <v>61u+62d+20e</v>
      </c>
      <c r="K21" t="str">
        <f>"G(P)="&amp;TEXT(SOB_126!W21,"0.000000")</f>
        <v>G(P)=185.354167</v>
      </c>
      <c r="L21" t="str">
        <f>"GR(P)=8G(P)="&amp;TEXT(SOB_126!X21,"0.000000")</f>
        <v>GR(P)=8G(P)=1482.833333</v>
      </c>
      <c r="M21" t="str">
        <f>"GR(P)=7G(P)+G(P)"</f>
        <v>GR(P)=7G(P)+G(P)</v>
      </c>
      <c r="N21" t="str">
        <f>SOB_126!AB21</f>
        <v>41</v>
      </c>
    </row>
    <row r="22">
      <c r="A22" t="str">
        <f>SOB_126!A22</f>
        <v>SOB21</v>
      </c>
      <c r="B22" t="str">
        <f>SOB_126!A22</f>
        <v>SOB21</v>
      </c>
      <c r="C22" t="str">
        <f>"E Z="&amp;SOB_126!B22</f>
        <v>E Z=21</v>
      </c>
      <c r="D22" t="str">
        <f>"A="&amp;SOB_126!D22</f>
        <v>A=43</v>
      </c>
      <c r="E22" t="str">
        <f>SOB_126!U22</f>
        <v>stable</v>
      </c>
      <c r="F22" t="str">
        <f>SOB_126!Z22</f>
        <v>shell 3 occupancy 11/18</v>
      </c>
      <c r="G22" t="str">
        <f>SOB_126!AA22</f>
        <v>closure</v>
      </c>
      <c r="H22" t="str">
        <f>SOB_126!J22</f>
        <v>P_21,43</v>
      </c>
      <c r="I22" t="str">
        <f>SOB_126!K22</f>
        <v>21p+22n+21e</v>
      </c>
      <c r="J22" t="str">
        <f>SOB_126!O22</f>
        <v>64u+65d+21e</v>
      </c>
      <c r="K22" t="str">
        <f>"G(P)="&amp;TEXT(SOB_126!W22,"0.000000")</f>
        <v>G(P)=194.621094</v>
      </c>
      <c r="L22" t="str">
        <f>"GR(P)=8G(P)="&amp;TEXT(SOB_126!X22,"0.000000")</f>
        <v>GR(P)=8G(P)=1556.96875</v>
      </c>
      <c r="M22" t="str">
        <f>"GR(P)=7G(P)+G(P)"</f>
        <v>GR(P)=7G(P)+G(P)</v>
      </c>
      <c r="N22" t="str">
        <f>SOB_126!AB22</f>
        <v>43</v>
      </c>
    </row>
    <row r="23">
      <c r="A23" t="str">
        <f>SOB_126!A23</f>
        <v>SOB22</v>
      </c>
      <c r="B23" t="str">
        <f>SOB_126!A23</f>
        <v>SOB22</v>
      </c>
      <c r="C23" t="str">
        <f>"E Z="&amp;SOB_126!B23</f>
        <v>E Z=22</v>
      </c>
      <c r="D23" t="str">
        <f>"A="&amp;SOB_126!D23</f>
        <v>A=45</v>
      </c>
      <c r="E23" t="str">
        <f>SOB_126!U23</f>
        <v>stable</v>
      </c>
      <c r="F23" t="str">
        <f>SOB_126!Z23</f>
        <v>shell 3 occupancy 12/18</v>
      </c>
      <c r="G23" t="str">
        <f>SOB_126!AA23</f>
        <v>closure</v>
      </c>
      <c r="H23" t="str">
        <f>SOB_126!J23</f>
        <v>P_22,45</v>
      </c>
      <c r="I23" t="str">
        <f>SOB_126!K23</f>
        <v>22p+23n+22e</v>
      </c>
      <c r="J23" t="str">
        <f>SOB_126!O23</f>
        <v>67u+68d+22e</v>
      </c>
      <c r="K23" t="str">
        <f>"G(P)="&amp;TEXT(SOB_126!W23,"0.000000")</f>
        <v>G(P)=203.888021</v>
      </c>
      <c r="L23" t="str">
        <f>"GR(P)=8G(P)="&amp;TEXT(SOB_126!X23,"0.000000")</f>
        <v>GR(P)=8G(P)=1631.104167</v>
      </c>
      <c r="M23" t="str">
        <f>"GR(P)=7G(P)+G(P)"</f>
        <v>GR(P)=7G(P)+G(P)</v>
      </c>
      <c r="N23" t="str">
        <f>SOB_126!AB23</f>
        <v>45</v>
      </c>
    </row>
    <row r="24">
      <c r="A24" t="str">
        <f>SOB_126!A24</f>
        <v>SOB23</v>
      </c>
      <c r="B24" t="str">
        <f>SOB_126!A24</f>
        <v>SOB23</v>
      </c>
      <c r="C24" t="str">
        <f>"E Z="&amp;SOB_126!B24</f>
        <v>E Z=23</v>
      </c>
      <c r="D24" t="str">
        <f>"A="&amp;SOB_126!D24</f>
        <v>A=47</v>
      </c>
      <c r="E24" t="str">
        <f>SOB_126!U24</f>
        <v>stable</v>
      </c>
      <c r="F24" t="str">
        <f>SOB_126!Z24</f>
        <v>shell 3 occupancy 13/18</v>
      </c>
      <c r="G24" t="str">
        <f>SOB_126!AA24</f>
        <v>closure</v>
      </c>
      <c r="H24" t="str">
        <f>SOB_126!J24</f>
        <v>P_23,47</v>
      </c>
      <c r="I24" t="str">
        <f>SOB_126!K24</f>
        <v>23p+24n+23e</v>
      </c>
      <c r="J24" t="str">
        <f>SOB_126!O24</f>
        <v>70u+71d+23e</v>
      </c>
      <c r="K24" t="str">
        <f>"G(P)="&amp;TEXT(SOB_126!W24,"0.000000")</f>
        <v>G(P)=213.154948</v>
      </c>
      <c r="L24" t="str">
        <f>"GR(P)=8G(P)="&amp;TEXT(SOB_126!X24,"0.000000")</f>
        <v>GR(P)=8G(P)=1705.239583</v>
      </c>
      <c r="M24" t="str">
        <f>"GR(P)=7G(P)+G(P)"</f>
        <v>GR(P)=7G(P)+G(P)</v>
      </c>
      <c r="N24" t="str">
        <f>SOB_126!AB24</f>
        <v>47</v>
      </c>
    </row>
    <row r="25">
      <c r="A25" t="str">
        <f>SOB_126!A25</f>
        <v>SOB24</v>
      </c>
      <c r="B25" t="str">
        <f>SOB_126!A25</f>
        <v>SOB24</v>
      </c>
      <c r="C25" t="str">
        <f>"E Z="&amp;SOB_126!B25</f>
        <v>E Z=24</v>
      </c>
      <c r="D25" t="str">
        <f>"A="&amp;SOB_126!D25</f>
        <v>A=50</v>
      </c>
      <c r="E25" t="str">
        <f>SOB_126!U25</f>
        <v>stable</v>
      </c>
      <c r="F25" t="str">
        <f>SOB_126!Z25</f>
        <v>shell 3 occupancy 14/18</v>
      </c>
      <c r="G25" t="str">
        <f>SOB_126!AA25</f>
        <v>closure</v>
      </c>
      <c r="H25" t="str">
        <f>SOB_126!J25</f>
        <v>P_24,50</v>
      </c>
      <c r="I25" t="str">
        <f>SOB_126!K25</f>
        <v>24p+26n+24e</v>
      </c>
      <c r="J25" t="str">
        <f>SOB_126!O25</f>
        <v>74u+76d+24e</v>
      </c>
      <c r="K25" t="str">
        <f>"G(P)="&amp;TEXT(SOB_126!W25,"0.000000")</f>
        <v>G(P)=222.4375</v>
      </c>
      <c r="L25" t="str">
        <f>"GR(P)=8G(P)="&amp;TEXT(SOB_126!X25,"0.000000")</f>
        <v>GR(P)=8G(P)=1779.5</v>
      </c>
      <c r="M25" t="str">
        <f>"GR(P)=7G(P)+G(P)"</f>
        <v>GR(P)=7G(P)+G(P)</v>
      </c>
      <c r="N25" t="str">
        <f>SOB_126!AB25</f>
        <v>50</v>
      </c>
    </row>
    <row r="26">
      <c r="A26" t="str">
        <f>SOB_126!A26</f>
        <v>SOB25</v>
      </c>
      <c r="B26" t="str">
        <f>SOB_126!A26</f>
        <v>SOB25</v>
      </c>
      <c r="C26" t="str">
        <f>"E Z="&amp;SOB_126!B26</f>
        <v>E Z=25</v>
      </c>
      <c r="D26" t="str">
        <f>"A="&amp;SOB_126!D26</f>
        <v>A=54</v>
      </c>
      <c r="E26" t="str">
        <f>SOB_126!U26</f>
        <v>stable</v>
      </c>
      <c r="F26" t="str">
        <f>SOB_126!Z26</f>
        <v>shell 3 occupancy 15/18</v>
      </c>
      <c r="G26" t="str">
        <f>SOB_126!AA26</f>
        <v>closure</v>
      </c>
      <c r="H26" t="str">
        <f>SOB_126!J26</f>
        <v>P_25,54</v>
      </c>
      <c r="I26" t="str">
        <f>SOB_126!K26</f>
        <v>25p+29n+25e</v>
      </c>
      <c r="J26" t="str">
        <f>SOB_126!O26</f>
        <v>79u+83d+25e</v>
      </c>
      <c r="K26" t="str">
        <f>"G(P)="&amp;TEXT(SOB_126!W26,"0.000000")</f>
        <v>G(P)=231.735677</v>
      </c>
      <c r="L26" t="str">
        <f>"GR(P)=8G(P)="&amp;TEXT(SOB_126!X26,"0.000000")</f>
        <v>GR(P)=8G(P)=1853.885417</v>
      </c>
      <c r="M26" t="str">
        <f>"GR(P)=7G(P)+G(P)"</f>
        <v>GR(P)=7G(P)+G(P)</v>
      </c>
      <c r="N26" t="str">
        <f>SOB_126!AB26</f>
        <v>54</v>
      </c>
    </row>
    <row r="27">
      <c r="A27" t="str">
        <f>SOB_126!A27</f>
        <v>SOB26</v>
      </c>
      <c r="B27" t="str">
        <f>SOB_126!A27</f>
        <v>SOB26</v>
      </c>
      <c r="C27" t="str">
        <f>"E Z="&amp;SOB_126!B27</f>
        <v>E Z=26</v>
      </c>
      <c r="D27" t="str">
        <f>"A="&amp;SOB_126!D27</f>
        <v>A=56</v>
      </c>
      <c r="E27" t="str">
        <f>SOB_126!U27</f>
        <v>stable</v>
      </c>
      <c r="F27" t="str">
        <f>SOB_126!Z27</f>
        <v>shell 3 occupancy 16/18</v>
      </c>
      <c r="G27" t="str">
        <f>SOB_126!AA27</f>
        <v>closure</v>
      </c>
      <c r="H27" t="str">
        <f>SOB_126!J27</f>
        <v>P_26,56</v>
      </c>
      <c r="I27" t="str">
        <f>SOB_126!K27</f>
        <v>26p+30n+26e</v>
      </c>
      <c r="J27" t="str">
        <f>SOB_126!O27</f>
        <v>82u+86d+26e</v>
      </c>
      <c r="K27" t="str">
        <f>"G(P)="&amp;TEXT(SOB_126!W27,"0.000000")</f>
        <v>G(P)=241.002604</v>
      </c>
      <c r="L27" t="str">
        <f>"GR(P)=8G(P)="&amp;TEXT(SOB_126!X27,"0.000000")</f>
        <v>GR(P)=8G(P)=1928.020833</v>
      </c>
      <c r="M27" t="str">
        <f>"GR(P)=7G(P)+G(P)"</f>
        <v>GR(P)=7G(P)+G(P)</v>
      </c>
      <c r="N27" t="str">
        <f>SOB_126!AB27</f>
        <v>56</v>
      </c>
    </row>
    <row r="28">
      <c r="A28" t="str">
        <f>SOB_126!A28</f>
        <v>SOB27</v>
      </c>
      <c r="B28" t="str">
        <f>SOB_126!A28</f>
        <v>SOB27</v>
      </c>
      <c r="C28" t="str">
        <f>"E Z="&amp;SOB_126!B28</f>
        <v>E Z=27</v>
      </c>
      <c r="D28" t="str">
        <f>"A="&amp;SOB_126!D28</f>
        <v>A=58</v>
      </c>
      <c r="E28" t="str">
        <f>SOB_126!U28</f>
        <v>stable</v>
      </c>
      <c r="F28" t="str">
        <f>SOB_126!Z28</f>
        <v>shell 3 occupancy 17/18</v>
      </c>
      <c r="G28" t="str">
        <f>SOB_126!AA28</f>
        <v>closure</v>
      </c>
      <c r="H28" t="str">
        <f>SOB_126!J28</f>
        <v>P_27,58</v>
      </c>
      <c r="I28" t="str">
        <f>SOB_126!K28</f>
        <v>27p+31n+27e</v>
      </c>
      <c r="J28" t="str">
        <f>SOB_126!O28</f>
        <v>85u+89d+27e</v>
      </c>
      <c r="K28" t="str">
        <f>"G(P)="&amp;TEXT(SOB_126!W28,"0.000000")</f>
        <v>G(P)=250.269531</v>
      </c>
      <c r="L28" t="str">
        <f>"GR(P)=8G(P)="&amp;TEXT(SOB_126!X28,"0.000000")</f>
        <v>GR(P)=8G(P)=2002.15625</v>
      </c>
      <c r="M28" t="str">
        <f>"GR(P)=7G(P)+G(P)"</f>
        <v>GR(P)=7G(P)+G(P)</v>
      </c>
      <c r="N28" t="str">
        <f>SOB_126!AB28</f>
        <v>58</v>
      </c>
    </row>
    <row r="29">
      <c r="A29" t="str">
        <f>SOB_126!A29</f>
        <v>SOB28</v>
      </c>
      <c r="B29" t="str">
        <f>SOB_126!A29</f>
        <v>SOB28</v>
      </c>
      <c r="C29" t="str">
        <f>"E Z="&amp;SOB_126!B29</f>
        <v>E Z=28</v>
      </c>
      <c r="D29" t="str">
        <f>"A="&amp;SOB_126!D29</f>
        <v>A=60</v>
      </c>
      <c r="E29" t="str">
        <f>SOB_126!U29</f>
        <v>stable</v>
      </c>
      <c r="F29" t="str">
        <f>SOB_126!Z29</f>
        <v>shell 3 occupancy 18/18</v>
      </c>
      <c r="G29" t="str">
        <f>SOB_126!AA29</f>
        <v>closure</v>
      </c>
      <c r="H29" t="str">
        <f>SOB_126!J29</f>
        <v>P_28,60</v>
      </c>
      <c r="I29" t="str">
        <f>SOB_126!K29</f>
        <v>28p+32n+28e</v>
      </c>
      <c r="J29" t="str">
        <f>SOB_126!O29</f>
        <v>88u+92d+28e</v>
      </c>
      <c r="K29" t="str">
        <f>"G(P)="&amp;TEXT(SOB_126!W29,"0.000000")</f>
        <v>G(P)=259.536458</v>
      </c>
      <c r="L29" t="str">
        <f>"GR(P)=8G(P)="&amp;TEXT(SOB_126!X29,"0.000000")</f>
        <v>GR(P)=8G(P)=2076.291667</v>
      </c>
      <c r="M29" t="str">
        <f>"GR(P)=7G(P)+G(P)"</f>
        <v>GR(P)=7G(P)+G(P)</v>
      </c>
      <c r="N29" t="str">
        <f>SOB_126!AB29</f>
        <v>60</v>
      </c>
    </row>
    <row r="30">
      <c r="A30" t="str">
        <f>SOB_126!A30</f>
        <v>SOB29</v>
      </c>
      <c r="B30" t="str">
        <f>SOB_126!A30</f>
        <v>SOB29</v>
      </c>
      <c r="C30" t="str">
        <f>"E Z="&amp;SOB_126!B30</f>
        <v>E Z=29</v>
      </c>
      <c r="D30" t="str">
        <f>"A="&amp;SOB_126!D30</f>
        <v>A=62</v>
      </c>
      <c r="E30" t="str">
        <f>SOB_126!U30</f>
        <v>stable</v>
      </c>
      <c r="F30" t="str">
        <f>SOB_126!Z30</f>
        <v>shell 4 occupancy 1/32</v>
      </c>
      <c r="G30" t="str">
        <f>SOB_126!AA30</f>
        <v>closure</v>
      </c>
      <c r="H30" t="str">
        <f>SOB_126!J30</f>
        <v>P_29,62</v>
      </c>
      <c r="I30" t="str">
        <f>SOB_126!K30</f>
        <v>29p+33n+29e</v>
      </c>
      <c r="J30" t="str">
        <f>SOB_126!O30</f>
        <v>91u+95d+29e</v>
      </c>
      <c r="K30" t="str">
        <f>"G(P)="&amp;TEXT(SOB_126!W30,"0.000000")</f>
        <v>G(P)=268.803385</v>
      </c>
      <c r="L30" t="str">
        <f>"GR(P)=8G(P)="&amp;TEXT(SOB_126!X30,"0.000000")</f>
        <v>GR(P)=8G(P)=2150.427083</v>
      </c>
      <c r="M30" t="str">
        <f>"GR(P)=7G(P)+G(P)"</f>
        <v>GR(P)=7G(P)+G(P)</v>
      </c>
      <c r="N30" t="str">
        <f>SOB_126!AB30</f>
        <v>62</v>
      </c>
    </row>
    <row r="31">
      <c r="A31" t="str">
        <f>SOB_126!A31</f>
        <v>SOB30</v>
      </c>
      <c r="B31" t="str">
        <f>SOB_126!A31</f>
        <v>SOB30</v>
      </c>
      <c r="C31" t="str">
        <f>"E Z="&amp;SOB_126!B31</f>
        <v>E Z=30</v>
      </c>
      <c r="D31" t="str">
        <f>"A="&amp;SOB_126!D31</f>
        <v>A=65</v>
      </c>
      <c r="E31" t="str">
        <f>SOB_126!U31</f>
        <v>stable</v>
      </c>
      <c r="F31" t="str">
        <f>SOB_126!Z31</f>
        <v>shell 4 occupancy 2/32</v>
      </c>
      <c r="G31" t="str">
        <f>SOB_126!AA31</f>
        <v>closure</v>
      </c>
      <c r="H31" t="str">
        <f>SOB_126!J31</f>
        <v>P_30,65</v>
      </c>
      <c r="I31" t="str">
        <f>SOB_126!K31</f>
        <v>30p+35n+30e</v>
      </c>
      <c r="J31" t="str">
        <f>SOB_126!O31</f>
        <v>95u+100d+30e</v>
      </c>
      <c r="K31" t="str">
        <f>"G(P)="&amp;TEXT(SOB_126!W31,"0.000000")</f>
        <v>G(P)=278.085938</v>
      </c>
      <c r="L31" t="str">
        <f>"GR(P)=8G(P)="&amp;TEXT(SOB_126!X31,"0.000000")</f>
        <v>GR(P)=8G(P)=2224.6875</v>
      </c>
      <c r="M31" t="str">
        <f>"GR(P)=7G(P)+G(P)"</f>
        <v>GR(P)=7G(P)+G(P)</v>
      </c>
      <c r="N31" t="str">
        <f>SOB_126!AB31</f>
        <v>65</v>
      </c>
    </row>
    <row r="32">
      <c r="A32" t="str">
        <f>SOB_126!A32</f>
        <v>SOB31</v>
      </c>
      <c r="B32" t="str">
        <f>SOB_126!A32</f>
        <v>SOB31</v>
      </c>
      <c r="C32" t="str">
        <f>"E Z="&amp;SOB_126!B32</f>
        <v>E Z=31</v>
      </c>
      <c r="D32" t="str">
        <f>"A="&amp;SOB_126!D32</f>
        <v>A=67</v>
      </c>
      <c r="E32" t="str">
        <f>SOB_126!U32</f>
        <v>stable</v>
      </c>
      <c r="F32" t="str">
        <f>SOB_126!Z32</f>
        <v>shell 4 occupancy 3/32</v>
      </c>
      <c r="G32" t="str">
        <f>SOB_126!AA32</f>
        <v>closure</v>
      </c>
      <c r="H32" t="str">
        <f>SOB_126!J32</f>
        <v>P_31,67</v>
      </c>
      <c r="I32" t="str">
        <f>SOB_126!K32</f>
        <v>31p+36n+31e</v>
      </c>
      <c r="J32" t="str">
        <f>SOB_126!O32</f>
        <v>98u+103d+31e</v>
      </c>
      <c r="K32" t="str">
        <f>"G(P)="&amp;TEXT(SOB_126!W32,"0.000000")</f>
        <v>G(P)=287.352865</v>
      </c>
      <c r="L32" t="str">
        <f>"GR(P)=8G(P)="&amp;TEXT(SOB_126!X32,"0.000000")</f>
        <v>GR(P)=8G(P)=2298.822917</v>
      </c>
      <c r="M32" t="str">
        <f>"GR(P)=7G(P)+G(P)"</f>
        <v>GR(P)=7G(P)+G(P)</v>
      </c>
      <c r="N32" t="str">
        <f>SOB_126!AB32</f>
        <v>67</v>
      </c>
    </row>
    <row r="33">
      <c r="A33" t="str">
        <f>SOB_126!A33</f>
        <v>SOB32</v>
      </c>
      <c r="B33" t="str">
        <f>SOB_126!A33</f>
        <v>SOB32</v>
      </c>
      <c r="C33" t="str">
        <f>"E Z="&amp;SOB_126!B33</f>
        <v>E Z=32</v>
      </c>
      <c r="D33" t="str">
        <f>"A="&amp;SOB_126!D33</f>
        <v>A=69</v>
      </c>
      <c r="E33" t="str">
        <f>SOB_126!U33</f>
        <v>stable</v>
      </c>
      <c r="F33" t="str">
        <f>SOB_126!Z33</f>
        <v>shell 4 occupancy 4/32</v>
      </c>
      <c r="G33" t="str">
        <f>SOB_126!AA33</f>
        <v>closure</v>
      </c>
      <c r="H33" t="str">
        <f>SOB_126!J33</f>
        <v>P_32,69</v>
      </c>
      <c r="I33" t="str">
        <f>SOB_126!K33</f>
        <v>32p+37n+32e</v>
      </c>
      <c r="J33" t="str">
        <f>SOB_126!O33</f>
        <v>101u+106d+32e</v>
      </c>
      <c r="K33" t="str">
        <f>"G(P)="&amp;TEXT(SOB_126!W33,"0.000000")</f>
        <v>G(P)=296.619792</v>
      </c>
      <c r="L33" t="str">
        <f>"GR(P)=8G(P)="&amp;TEXT(SOB_126!X33,"0.000000")</f>
        <v>GR(P)=8G(P)=2372.958333</v>
      </c>
      <c r="M33" t="str">
        <f>"GR(P)=7G(P)+G(P)"</f>
        <v>GR(P)=7G(P)+G(P)</v>
      </c>
      <c r="N33" t="str">
        <f>SOB_126!AB33</f>
        <v>69</v>
      </c>
    </row>
    <row r="34">
      <c r="A34" t="str">
        <f>SOB_126!A34</f>
        <v>SOB33</v>
      </c>
      <c r="B34" t="str">
        <f>SOB_126!A34</f>
        <v>SOB33</v>
      </c>
      <c r="C34" t="str">
        <f>"E Z="&amp;SOB_126!B34</f>
        <v>E Z=33</v>
      </c>
      <c r="D34" t="str">
        <f>"A="&amp;SOB_126!D34</f>
        <v>A=71</v>
      </c>
      <c r="E34" t="str">
        <f>SOB_126!U34</f>
        <v>stable</v>
      </c>
      <c r="F34" t="str">
        <f>SOB_126!Z34</f>
        <v>shell 4 occupancy 5/32</v>
      </c>
      <c r="G34" t="str">
        <f>SOB_126!AA34</f>
        <v>closure</v>
      </c>
      <c r="H34" t="str">
        <f>SOB_126!J34</f>
        <v>P_33,71</v>
      </c>
      <c r="I34" t="str">
        <f>SOB_126!K34</f>
        <v>33p+38n+33e</v>
      </c>
      <c r="J34" t="str">
        <f>SOB_126!O34</f>
        <v>104u+109d+33e</v>
      </c>
      <c r="K34" t="str">
        <f>"G(P)="&amp;TEXT(SOB_126!W34,"0.000000")</f>
        <v>G(P)=305.886719</v>
      </c>
      <c r="L34" t="str">
        <f>"GR(P)=8G(P)="&amp;TEXT(SOB_126!X34,"0.000000")</f>
        <v>GR(P)=8G(P)=2447.09375</v>
      </c>
      <c r="M34" t="str">
        <f>"GR(P)=7G(P)+G(P)"</f>
        <v>GR(P)=7G(P)+G(P)</v>
      </c>
      <c r="N34" t="str">
        <f>SOB_126!AB34</f>
        <v>71</v>
      </c>
    </row>
    <row r="35">
      <c r="A35" t="str">
        <f>SOB_126!A35</f>
        <v>SOB34</v>
      </c>
      <c r="B35" t="str">
        <f>SOB_126!A35</f>
        <v>SOB34</v>
      </c>
      <c r="C35" t="str">
        <f>"E Z="&amp;SOB_126!B35</f>
        <v>E Z=34</v>
      </c>
      <c r="D35" t="str">
        <f>"A="&amp;SOB_126!D35</f>
        <v>A=73</v>
      </c>
      <c r="E35" t="str">
        <f>SOB_126!U35</f>
        <v>stable</v>
      </c>
      <c r="F35" t="str">
        <f>SOB_126!Z35</f>
        <v>shell 4 occupancy 6/32</v>
      </c>
      <c r="G35" t="str">
        <f>SOB_126!AA35</f>
        <v>closure</v>
      </c>
      <c r="H35" t="str">
        <f>SOB_126!J35</f>
        <v>P_34,73</v>
      </c>
      <c r="I35" t="str">
        <f>SOB_126!K35</f>
        <v>34p+39n+34e</v>
      </c>
      <c r="J35" t="str">
        <f>SOB_126!O35</f>
        <v>107u+112d+34e</v>
      </c>
      <c r="K35" t="str">
        <f>"G(P)="&amp;TEXT(SOB_126!W35,"0.000000")</f>
        <v>G(P)=315.153646</v>
      </c>
      <c r="L35" t="str">
        <f>"GR(P)=8G(P)="&amp;TEXT(SOB_126!X35,"0.000000")</f>
        <v>GR(P)=8G(P)=2521.229167</v>
      </c>
      <c r="M35" t="str">
        <f>"GR(P)=7G(P)+G(P)"</f>
        <v>GR(P)=7G(P)+G(P)</v>
      </c>
      <c r="N35" t="str">
        <f>SOB_126!AB35</f>
        <v>73</v>
      </c>
    </row>
    <row r="36">
      <c r="A36" t="str">
        <f>SOB_126!A36</f>
        <v>SOB35</v>
      </c>
      <c r="B36" t="str">
        <f>SOB_126!A36</f>
        <v>SOB35</v>
      </c>
      <c r="C36" t="str">
        <f>"E Z="&amp;SOB_126!B36</f>
        <v>E Z=35</v>
      </c>
      <c r="D36" t="str">
        <f>"A="&amp;SOB_126!D36</f>
        <v>A=75</v>
      </c>
      <c r="E36" t="str">
        <f>SOB_126!U36</f>
        <v>stable</v>
      </c>
      <c r="F36" t="str">
        <f>SOB_126!Z36</f>
        <v>shell 4 occupancy 7/32</v>
      </c>
      <c r="G36" t="str">
        <f>SOB_126!AA36</f>
        <v>closure</v>
      </c>
      <c r="H36" t="str">
        <f>SOB_126!J36</f>
        <v>P_35,75</v>
      </c>
      <c r="I36" t="str">
        <f>SOB_126!K36</f>
        <v>35p+40n+35e</v>
      </c>
      <c r="J36" t="str">
        <f>SOB_126!O36</f>
        <v>110u+115d+35e</v>
      </c>
      <c r="K36" t="str">
        <f>"G(P)="&amp;TEXT(SOB_126!W36,"0.000000")</f>
        <v>G(P)=324.420573</v>
      </c>
      <c r="L36" t="str">
        <f>"GR(P)=8G(P)="&amp;TEXT(SOB_126!X36,"0.000000")</f>
        <v>GR(P)=8G(P)=2595.364583</v>
      </c>
      <c r="M36" t="str">
        <f>"GR(P)=7G(P)+G(P)"</f>
        <v>GR(P)=7G(P)+G(P)</v>
      </c>
      <c r="N36" t="str">
        <f>SOB_126!AB36</f>
        <v>75</v>
      </c>
    </row>
    <row r="37">
      <c r="A37" t="str">
        <f>SOB_126!A37</f>
        <v>SOB36</v>
      </c>
      <c r="B37" t="str">
        <f>SOB_126!A37</f>
        <v>SOB36</v>
      </c>
      <c r="C37" t="str">
        <f>"E Z="&amp;SOB_126!B37</f>
        <v>E Z=36</v>
      </c>
      <c r="D37" t="str">
        <f>"A="&amp;SOB_126!D37</f>
        <v>A=78</v>
      </c>
      <c r="E37" t="str">
        <f>SOB_126!U37</f>
        <v>stable</v>
      </c>
      <c r="F37" t="str">
        <f>SOB_126!Z37</f>
        <v>shell 4 occupancy 8/32</v>
      </c>
      <c r="G37" t="str">
        <f>SOB_126!AA37</f>
        <v>closure</v>
      </c>
      <c r="H37" t="str">
        <f>SOB_126!J37</f>
        <v>P_36,78</v>
      </c>
      <c r="I37" t="str">
        <f>SOB_126!K37</f>
        <v>36p+42n+36e</v>
      </c>
      <c r="J37" t="str">
        <f>SOB_126!O37</f>
        <v>114u+120d+36e</v>
      </c>
      <c r="K37" t="str">
        <f>"G(P)="&amp;TEXT(SOB_126!W37,"0.000000")</f>
        <v>G(P)=333.703125</v>
      </c>
      <c r="L37" t="str">
        <f>"GR(P)=8G(P)="&amp;TEXT(SOB_126!X37,"0.000000")</f>
        <v>GR(P)=8G(P)=2669.625</v>
      </c>
      <c r="M37" t="str">
        <f>"GR(P)=7G(P)+G(P)"</f>
        <v>GR(P)=7G(P)+G(P)</v>
      </c>
      <c r="N37" t="str">
        <f>SOB_126!AB37</f>
        <v>78</v>
      </c>
    </row>
    <row r="38">
      <c r="A38" t="str">
        <f>SOB_126!A38</f>
        <v>SOB37</v>
      </c>
      <c r="B38" t="str">
        <f>SOB_126!A38</f>
        <v>SOB37</v>
      </c>
      <c r="C38" t="str">
        <f>"E Z="&amp;SOB_126!B38</f>
        <v>E Z=37</v>
      </c>
      <c r="D38" t="str">
        <f>"A="&amp;SOB_126!D38</f>
        <v>A=83</v>
      </c>
      <c r="E38" t="str">
        <f>SOB_126!U38</f>
        <v>stable</v>
      </c>
      <c r="F38" t="str">
        <f>SOB_126!Z38</f>
        <v>shell 4 occupancy 9/32</v>
      </c>
      <c r="G38" t="str">
        <f>SOB_126!AA38</f>
        <v>closure</v>
      </c>
      <c r="H38" t="str">
        <f>SOB_126!J38</f>
        <v>P_37,83</v>
      </c>
      <c r="I38" t="str">
        <f>SOB_126!K38</f>
        <v>37p+46n+37e</v>
      </c>
      <c r="J38" t="str">
        <f>SOB_126!O38</f>
        <v>120u+129d+37e</v>
      </c>
      <c r="K38" t="str">
        <f>"G(P)="&amp;TEXT(SOB_126!W38,"0.000000")</f>
        <v>G(P)=343.016927</v>
      </c>
      <c r="L38" t="str">
        <f>"GR(P)=8G(P)="&amp;TEXT(SOB_126!X38,"0.000000")</f>
        <v>GR(P)=8G(P)=2744.135417</v>
      </c>
      <c r="M38" t="str">
        <f>"GR(P)=7G(P)+G(P)"</f>
        <v>GR(P)=7G(P)+G(P)</v>
      </c>
      <c r="N38" t="str">
        <f>SOB_126!AB38</f>
        <v>83</v>
      </c>
    </row>
    <row r="39">
      <c r="A39" t="str">
        <f>SOB_126!A39</f>
        <v>SOB38</v>
      </c>
      <c r="B39" t="str">
        <f>SOB_126!A39</f>
        <v>SOB38</v>
      </c>
      <c r="C39" t="str">
        <f>"E Z="&amp;SOB_126!B39</f>
        <v>E Z=38</v>
      </c>
      <c r="D39" t="str">
        <f>"A="&amp;SOB_126!D39</f>
        <v>A=85</v>
      </c>
      <c r="E39" t="str">
        <f>SOB_126!U39</f>
        <v>stable</v>
      </c>
      <c r="F39" t="str">
        <f>SOB_126!Z39</f>
        <v>shell 4 occupancy 10/32</v>
      </c>
      <c r="G39" t="str">
        <f>SOB_126!AA39</f>
        <v>closure</v>
      </c>
      <c r="H39" t="str">
        <f>SOB_126!J39</f>
        <v>P_38,85</v>
      </c>
      <c r="I39" t="str">
        <f>SOB_126!K39</f>
        <v>38p+47n+38e</v>
      </c>
      <c r="J39" t="str">
        <f>SOB_126!O39</f>
        <v>123u+132d+38e</v>
      </c>
      <c r="K39" t="str">
        <f>"G(P)="&amp;TEXT(SOB_126!W39,"0.000000")</f>
        <v>G(P)=352.283854</v>
      </c>
      <c r="L39" t="str">
        <f>"GR(P)=8G(P)="&amp;TEXT(SOB_126!X39,"0.000000")</f>
        <v>GR(P)=8G(P)=2818.270833</v>
      </c>
      <c r="M39" t="str">
        <f>"GR(P)=7G(P)+G(P)"</f>
        <v>GR(P)=7G(P)+G(P)</v>
      </c>
      <c r="N39" t="str">
        <f>SOB_126!AB39</f>
        <v>85</v>
      </c>
    </row>
    <row r="40">
      <c r="A40" t="str">
        <f>SOB_126!A40</f>
        <v>SOB39</v>
      </c>
      <c r="B40" t="str">
        <f>SOB_126!A40</f>
        <v>SOB39</v>
      </c>
      <c r="C40" t="str">
        <f>"E Z="&amp;SOB_126!B40</f>
        <v>E Z=39</v>
      </c>
      <c r="D40" t="str">
        <f>"A="&amp;SOB_126!D40</f>
        <v>A=87</v>
      </c>
      <c r="E40" t="str">
        <f>SOB_126!U40</f>
        <v>stable</v>
      </c>
      <c r="F40" t="str">
        <f>SOB_126!Z40</f>
        <v>shell 4 occupancy 11/32</v>
      </c>
      <c r="G40" t="str">
        <f>SOB_126!AA40</f>
        <v>closure</v>
      </c>
      <c r="H40" t="str">
        <f>SOB_126!J40</f>
        <v>P_39,87</v>
      </c>
      <c r="I40" t="str">
        <f>SOB_126!K40</f>
        <v>39p+48n+39e</v>
      </c>
      <c r="J40" t="str">
        <f>SOB_126!O40</f>
        <v>126u+135d+39e</v>
      </c>
      <c r="K40" t="str">
        <f>"G(P)="&amp;TEXT(SOB_126!W40,"0.000000")</f>
        <v>G(P)=361.550781</v>
      </c>
      <c r="L40" t="str">
        <f>"GR(P)=8G(P)="&amp;TEXT(SOB_126!X40,"0.000000")</f>
        <v>GR(P)=8G(P)=2892.40625</v>
      </c>
      <c r="M40" t="str">
        <f>"GR(P)=7G(P)+G(P)"</f>
        <v>GR(P)=7G(P)+G(P)</v>
      </c>
      <c r="N40" t="str">
        <f>SOB_126!AB40</f>
        <v>87</v>
      </c>
    </row>
    <row r="41">
      <c r="A41" t="str">
        <f>SOB_126!A41</f>
        <v>SOB40</v>
      </c>
      <c r="B41" t="str">
        <f>SOB_126!A41</f>
        <v>SOB40</v>
      </c>
      <c r="C41" t="str">
        <f>"E Z="&amp;SOB_126!B41</f>
        <v>E Z=40</v>
      </c>
      <c r="D41" t="str">
        <f>"A="&amp;SOB_126!D41</f>
        <v>A=90</v>
      </c>
      <c r="E41" t="str">
        <f>SOB_126!U41</f>
        <v>stable</v>
      </c>
      <c r="F41" t="str">
        <f>SOB_126!Z41</f>
        <v>shell 4 occupancy 12/32</v>
      </c>
      <c r="G41" t="str">
        <f>SOB_126!AA41</f>
        <v>closure</v>
      </c>
      <c r="H41" t="str">
        <f>SOB_126!J41</f>
        <v>P_40,90</v>
      </c>
      <c r="I41" t="str">
        <f>SOB_126!K41</f>
        <v>40p+50n+40e</v>
      </c>
      <c r="J41" t="str">
        <f>SOB_126!O41</f>
        <v>130u+140d+40e</v>
      </c>
      <c r="K41" t="str">
        <f>"G(P)="&amp;TEXT(SOB_126!W41,"0.000000")</f>
        <v>G(P)=370.833333</v>
      </c>
      <c r="L41" t="str">
        <f>"GR(P)=8G(P)="&amp;TEXT(SOB_126!X41,"0.000000")</f>
        <v>GR(P)=8G(P)=2966.666667</v>
      </c>
      <c r="M41" t="str">
        <f>"GR(P)=7G(P)+G(P)"</f>
        <v>GR(P)=7G(P)+G(P)</v>
      </c>
      <c r="N41" t="str">
        <f>SOB_126!AB41</f>
        <v>90</v>
      </c>
    </row>
    <row r="42">
      <c r="A42" t="str">
        <f>SOB_126!A42</f>
        <v>SOB41</v>
      </c>
      <c r="B42" t="str">
        <f>SOB_126!A42</f>
        <v>SOB41</v>
      </c>
      <c r="C42" t="str">
        <f>"E Z="&amp;SOB_126!B42</f>
        <v>E Z=41</v>
      </c>
      <c r="D42" t="str">
        <f>"A="&amp;SOB_126!D42</f>
        <v>A=92</v>
      </c>
      <c r="E42" t="str">
        <f>SOB_126!U42</f>
        <v>stable</v>
      </c>
      <c r="F42" t="str">
        <f>SOB_126!Z42</f>
        <v>shell 4 occupancy 13/32</v>
      </c>
      <c r="G42" t="str">
        <f>SOB_126!AA42</f>
        <v>closure</v>
      </c>
      <c r="H42" t="str">
        <f>SOB_126!J42</f>
        <v>P_41,92</v>
      </c>
      <c r="I42" t="str">
        <f>SOB_126!K42</f>
        <v>41p+51n+41e</v>
      </c>
      <c r="J42" t="str">
        <f>SOB_126!O42</f>
        <v>133u+143d+41e</v>
      </c>
      <c r="K42" t="str">
        <f>"G(P)="&amp;TEXT(SOB_126!W42,"0.000000")</f>
        <v>G(P)=380.10026</v>
      </c>
      <c r="L42" t="str">
        <f>"GR(P)=8G(P)="&amp;TEXT(SOB_126!X42,"0.000000")</f>
        <v>GR(P)=8G(P)=3040.802083</v>
      </c>
      <c r="M42" t="str">
        <f>"GR(P)=7G(P)+G(P)"</f>
        <v>GR(P)=7G(P)+G(P)</v>
      </c>
      <c r="N42" t="str">
        <f>SOB_126!AB42</f>
        <v>92</v>
      </c>
    </row>
    <row r="43">
      <c r="A43" t="str">
        <f>SOB_126!A43</f>
        <v>SOB42</v>
      </c>
      <c r="B43" t="str">
        <f>SOB_126!A43</f>
        <v>SOB42</v>
      </c>
      <c r="C43" t="str">
        <f>"E Z="&amp;SOB_126!B43</f>
        <v>E Z=42</v>
      </c>
      <c r="D43" t="str">
        <f>"A="&amp;SOB_126!D43</f>
        <v>A=94</v>
      </c>
      <c r="E43" t="str">
        <f>SOB_126!U43</f>
        <v>stable</v>
      </c>
      <c r="F43" t="str">
        <f>SOB_126!Z43</f>
        <v>shell 4 occupancy 14/32</v>
      </c>
      <c r="G43" t="str">
        <f>SOB_126!AA43</f>
        <v>closure</v>
      </c>
      <c r="H43" t="str">
        <f>SOB_126!J43</f>
        <v>P_42,94</v>
      </c>
      <c r="I43" t="str">
        <f>SOB_126!K43</f>
        <v>42p+52n+42e</v>
      </c>
      <c r="J43" t="str">
        <f>SOB_126!O43</f>
        <v>136u+146d+42e</v>
      </c>
      <c r="K43" t="str">
        <f>"G(P)="&amp;TEXT(SOB_126!W43,"0.000000")</f>
        <v>G(P)=389.367188</v>
      </c>
      <c r="L43" t="str">
        <f>"GR(P)=8G(P)="&amp;TEXT(SOB_126!X43,"0.000000")</f>
        <v>GR(P)=8G(P)=3114.9375</v>
      </c>
      <c r="M43" t="str">
        <f>"GR(P)=7G(P)+G(P)"</f>
        <v>GR(P)=7G(P)+G(P)</v>
      </c>
      <c r="N43" t="str">
        <f>SOB_126!AB43</f>
        <v>94</v>
      </c>
    </row>
    <row r="44">
      <c r="A44" t="str">
        <f>SOB_126!A44</f>
        <v>SOB43</v>
      </c>
      <c r="B44" t="str">
        <f>SOB_126!A44</f>
        <v>SOB43</v>
      </c>
      <c r="C44" t="str">
        <f>"E Z="&amp;SOB_126!B44</f>
        <v>E Z=43</v>
      </c>
      <c r="D44" t="str">
        <f>"A="&amp;SOB_126!D44</f>
        <v>A=96</v>
      </c>
      <c r="E44" t="str">
        <f>SOB_126!U44</f>
        <v>radioactive</v>
      </c>
      <c r="F44" t="str">
        <f>SOB_126!Z44</f>
        <v>shell 4 occupancy 15/32</v>
      </c>
      <c r="G44" t="str">
        <f>SOB_126!AA44</f>
        <v>closure</v>
      </c>
      <c r="H44" t="str">
        <f>SOB_126!J44</f>
        <v>P_43,96</v>
      </c>
      <c r="I44" t="str">
        <f>SOB_126!K44</f>
        <v>43p+53n+43e</v>
      </c>
      <c r="J44" t="str">
        <f>SOB_126!O44</f>
        <v>139u+149d+43e</v>
      </c>
      <c r="K44" t="str">
        <f>"G(P)="&amp;TEXT(SOB_126!W44,"0.000000")</f>
        <v>G(P)=398.634115</v>
      </c>
      <c r="L44" t="str">
        <f>"GR(P)=8G(P)="&amp;TEXT(SOB_126!X44,"0.000000")</f>
        <v>GR(P)=8G(P)=3189.072917</v>
      </c>
      <c r="M44" t="str">
        <f>"GR(P)=7G(P)+G(P)"</f>
        <v>GR(P)=7G(P)+G(P)</v>
      </c>
      <c r="N44" t="str">
        <f>SOB_126!AB44</f>
        <v>96</v>
      </c>
    </row>
    <row r="45">
      <c r="A45" t="str">
        <f>SOB_126!A45</f>
        <v>SOB44</v>
      </c>
      <c r="B45" t="str">
        <f>SOB_126!A45</f>
        <v>SOB44</v>
      </c>
      <c r="C45" t="str">
        <f>"E Z="&amp;SOB_126!B45</f>
        <v>E Z=44</v>
      </c>
      <c r="D45" t="str">
        <f>"A="&amp;SOB_126!D45</f>
        <v>A=99</v>
      </c>
      <c r="E45" t="str">
        <f>SOB_126!U45</f>
        <v>stable</v>
      </c>
      <c r="F45" t="str">
        <f>SOB_126!Z45</f>
        <v>shell 4 occupancy 16/32</v>
      </c>
      <c r="G45" t="str">
        <f>SOB_126!AA45</f>
        <v>closure</v>
      </c>
      <c r="H45" t="str">
        <f>SOB_126!J45</f>
        <v>P_44,99</v>
      </c>
      <c r="I45" t="str">
        <f>SOB_126!K45</f>
        <v>44p+55n+44e</v>
      </c>
      <c r="J45" t="str">
        <f>SOB_126!O45</f>
        <v>143u+154d+44e</v>
      </c>
      <c r="K45" t="str">
        <f>"G(P)="&amp;TEXT(SOB_126!W45,"0.000000")</f>
        <v>G(P)=407.916667</v>
      </c>
      <c r="L45" t="str">
        <f>"GR(P)=8G(P)="&amp;TEXT(SOB_126!X45,"0.000000")</f>
        <v>GR(P)=8G(P)=3263.333333</v>
      </c>
      <c r="M45" t="str">
        <f>"GR(P)=7G(P)+G(P)"</f>
        <v>GR(P)=7G(P)+G(P)</v>
      </c>
      <c r="N45" t="str">
        <f>SOB_126!AB45</f>
        <v>99</v>
      </c>
    </row>
    <row r="46">
      <c r="A46" t="str">
        <f>SOB_126!A46</f>
        <v>SOB45</v>
      </c>
      <c r="B46" t="str">
        <f>SOB_126!A46</f>
        <v>SOB45</v>
      </c>
      <c r="C46" t="str">
        <f>"E Z="&amp;SOB_126!B46</f>
        <v>E Z=45</v>
      </c>
      <c r="D46" t="str">
        <f>"A="&amp;SOB_126!D46</f>
        <v>A=101</v>
      </c>
      <c r="E46" t="str">
        <f>SOB_126!U46</f>
        <v>stable</v>
      </c>
      <c r="F46" t="str">
        <f>SOB_126!Z46</f>
        <v>shell 4 occupancy 17/32</v>
      </c>
      <c r="G46" t="str">
        <f>SOB_126!AA46</f>
        <v>closure</v>
      </c>
      <c r="H46" t="str">
        <f>SOB_126!J46</f>
        <v>P_45,101</v>
      </c>
      <c r="I46" t="str">
        <f>SOB_126!K46</f>
        <v>45p+56n+45e</v>
      </c>
      <c r="J46" t="str">
        <f>SOB_126!O46</f>
        <v>146u+157d+45e</v>
      </c>
      <c r="K46" t="str">
        <f>"G(P)="&amp;TEXT(SOB_126!W46,"0.000000")</f>
        <v>G(P)=417.183594</v>
      </c>
      <c r="L46" t="str">
        <f>"GR(P)=8G(P)="&amp;TEXT(SOB_126!X46,"0.000000")</f>
        <v>GR(P)=8G(P)=3337.46875</v>
      </c>
      <c r="M46" t="str">
        <f>"GR(P)=7G(P)+G(P)"</f>
        <v>GR(P)=7G(P)+G(P)</v>
      </c>
      <c r="N46" t="str">
        <f>SOB_126!AB46</f>
        <v>101</v>
      </c>
    </row>
    <row r="47">
      <c r="A47" t="str">
        <f>SOB_126!A47</f>
        <v>SOB46</v>
      </c>
      <c r="B47" t="str">
        <f>SOB_126!A47</f>
        <v>SOB46</v>
      </c>
      <c r="C47" t="str">
        <f>"E Z="&amp;SOB_126!B47</f>
        <v>E Z=46</v>
      </c>
      <c r="D47" t="str">
        <f>"A="&amp;SOB_126!D47</f>
        <v>A=103</v>
      </c>
      <c r="E47" t="str">
        <f>SOB_126!U47</f>
        <v>stable</v>
      </c>
      <c r="F47" t="str">
        <f>SOB_126!Z47</f>
        <v>shell 4 occupancy 18/32</v>
      </c>
      <c r="G47" t="str">
        <f>SOB_126!AA47</f>
        <v>closure</v>
      </c>
      <c r="H47" t="str">
        <f>SOB_126!J47</f>
        <v>P_46,103</v>
      </c>
      <c r="I47" t="str">
        <f>SOB_126!K47</f>
        <v>46p+57n+46e</v>
      </c>
      <c r="J47" t="str">
        <f>SOB_126!O47</f>
        <v>149u+160d+46e</v>
      </c>
      <c r="K47" t="str">
        <f>"G(P)="&amp;TEXT(SOB_126!W47,"0.000000")</f>
        <v>G(P)=426.450521</v>
      </c>
      <c r="L47" t="str">
        <f>"GR(P)=8G(P)="&amp;TEXT(SOB_126!X47,"0.000000")</f>
        <v>GR(P)=8G(P)=3411.604167</v>
      </c>
      <c r="M47" t="str">
        <f>"GR(P)=7G(P)+G(P)"</f>
        <v>GR(P)=7G(P)+G(P)</v>
      </c>
      <c r="N47" t="str">
        <f>SOB_126!AB47</f>
        <v>103</v>
      </c>
    </row>
    <row r="48">
      <c r="A48" t="str">
        <f>SOB_126!A48</f>
        <v>SOB47</v>
      </c>
      <c r="B48" t="str">
        <f>SOB_126!A48</f>
        <v>SOB47</v>
      </c>
      <c r="C48" t="str">
        <f>"E Z="&amp;SOB_126!B48</f>
        <v>E Z=47</v>
      </c>
      <c r="D48" t="str">
        <f>"A="&amp;SOB_126!D48</f>
        <v>A=105</v>
      </c>
      <c r="E48" t="str">
        <f>SOB_126!U48</f>
        <v>stable</v>
      </c>
      <c r="F48" t="str">
        <f>SOB_126!Z48</f>
        <v>shell 4 occupancy 19/32</v>
      </c>
      <c r="G48" t="str">
        <f>SOB_126!AA48</f>
        <v>closure</v>
      </c>
      <c r="H48" t="str">
        <f>SOB_126!J48</f>
        <v>P_47,105</v>
      </c>
      <c r="I48" t="str">
        <f>SOB_126!K48</f>
        <v>47p+58n+47e</v>
      </c>
      <c r="J48" t="str">
        <f>SOB_126!O48</f>
        <v>152u+163d+47e</v>
      </c>
      <c r="K48" t="str">
        <f>"G(P)="&amp;TEXT(SOB_126!W48,"0.000000")</f>
        <v>G(P)=435.717448</v>
      </c>
      <c r="L48" t="str">
        <f>"GR(P)=8G(P)="&amp;TEXT(SOB_126!X48,"0.000000")</f>
        <v>GR(P)=8G(P)=3485.739583</v>
      </c>
      <c r="M48" t="str">
        <f>"GR(P)=7G(P)+G(P)"</f>
        <v>GR(P)=7G(P)+G(P)</v>
      </c>
      <c r="N48" t="str">
        <f>SOB_126!AB48</f>
        <v>105</v>
      </c>
    </row>
    <row r="49">
      <c r="A49" t="str">
        <f>SOB_126!A49</f>
        <v>SOB48</v>
      </c>
      <c r="B49" t="str">
        <f>SOB_126!A49</f>
        <v>SOB48</v>
      </c>
      <c r="C49" t="str">
        <f>"E Z="&amp;SOB_126!B49</f>
        <v>E Z=48</v>
      </c>
      <c r="D49" t="str">
        <f>"A="&amp;SOB_126!D49</f>
        <v>A=108</v>
      </c>
      <c r="E49" t="str">
        <f>SOB_126!U49</f>
        <v>stable</v>
      </c>
      <c r="F49" t="str">
        <f>SOB_126!Z49</f>
        <v>shell 4 occupancy 20/32</v>
      </c>
      <c r="G49" t="str">
        <f>SOB_126!AA49</f>
        <v>closure</v>
      </c>
      <c r="H49" t="str">
        <f>SOB_126!J49</f>
        <v>P_48,108</v>
      </c>
      <c r="I49" t="str">
        <f>SOB_126!K49</f>
        <v>48p+60n+48e</v>
      </c>
      <c r="J49" t="str">
        <f>SOB_126!O49</f>
        <v>156u+168d+48e</v>
      </c>
      <c r="K49" t="str">
        <f>"G(P)="&amp;TEXT(SOB_126!W49,"0.000000")</f>
        <v>G(P)=445</v>
      </c>
      <c r="L49" t="str">
        <f>"GR(P)=8G(P)="&amp;TEXT(SOB_126!X49,"0.000000")</f>
        <v>GR(P)=8G(P)=3560</v>
      </c>
      <c r="M49" t="str">
        <f>"GR(P)=7G(P)+G(P)"</f>
        <v>GR(P)=7G(P)+G(P)</v>
      </c>
      <c r="N49" t="str">
        <f>SOB_126!AB49</f>
        <v>108</v>
      </c>
    </row>
    <row r="50">
      <c r="A50" t="str">
        <f>SOB_126!A50</f>
        <v>SOB49</v>
      </c>
      <c r="B50" t="str">
        <f>SOB_126!A50</f>
        <v>SOB49</v>
      </c>
      <c r="C50" t="str">
        <f>"E Z="&amp;SOB_126!B50</f>
        <v>E Z=49</v>
      </c>
      <c r="D50" t="str">
        <f>"A="&amp;SOB_126!D50</f>
        <v>A=114</v>
      </c>
      <c r="E50" t="str">
        <f>SOB_126!U50</f>
        <v>stable</v>
      </c>
      <c r="F50" t="str">
        <f>SOB_126!Z50</f>
        <v>shell 4 occupancy 21/32</v>
      </c>
      <c r="G50" t="str">
        <f>SOB_126!AA50</f>
        <v>closure</v>
      </c>
      <c r="H50" t="str">
        <f>SOB_126!J50</f>
        <v>P_49,114</v>
      </c>
      <c r="I50" t="str">
        <f>SOB_126!K50</f>
        <v>49p+65n+49e</v>
      </c>
      <c r="J50" t="str">
        <f>SOB_126!O50</f>
        <v>163u+179d+49e</v>
      </c>
      <c r="K50" t="str">
        <f>"G(P)="&amp;TEXT(SOB_126!W50,"0.000000")</f>
        <v>G(P)=454.329427</v>
      </c>
      <c r="L50" t="str">
        <f>"GR(P)=8G(P)="&amp;TEXT(SOB_126!X50,"0.000000")</f>
        <v>GR(P)=8G(P)=3634.635417</v>
      </c>
      <c r="M50" t="str">
        <f>"GR(P)=7G(P)+G(P)"</f>
        <v>GR(P)=7G(P)+G(P)</v>
      </c>
      <c r="N50" t="str">
        <f>SOB_126!AB50</f>
        <v>114</v>
      </c>
    </row>
    <row r="51">
      <c r="A51" t="str">
        <f>SOB_126!A51</f>
        <v>SOB50</v>
      </c>
      <c r="B51" t="str">
        <f>SOB_126!A51</f>
        <v>SOB50</v>
      </c>
      <c r="C51" t="str">
        <f>"E Z="&amp;SOB_126!B51</f>
        <v>E Z=50</v>
      </c>
      <c r="D51" t="str">
        <f>"A="&amp;SOB_126!D51</f>
        <v>A=116</v>
      </c>
      <c r="E51" t="str">
        <f>SOB_126!U51</f>
        <v>stable</v>
      </c>
      <c r="F51" t="str">
        <f>SOB_126!Z51</f>
        <v>shell 4 occupancy 22/32</v>
      </c>
      <c r="G51" t="str">
        <f>SOB_126!AA51</f>
        <v>closure</v>
      </c>
      <c r="H51" t="str">
        <f>SOB_126!J51</f>
        <v>P_50,116</v>
      </c>
      <c r="I51" t="str">
        <f>SOB_126!K51</f>
        <v>50p+66n+50e</v>
      </c>
      <c r="J51" t="str">
        <f>SOB_126!O51</f>
        <v>166u+182d+50e</v>
      </c>
      <c r="K51" t="str">
        <f>"G(P)="&amp;TEXT(SOB_126!W51,"0.000000")</f>
        <v>G(P)=463.596354</v>
      </c>
      <c r="L51" t="str">
        <f>"GR(P)=8G(P)="&amp;TEXT(SOB_126!X51,"0.000000")</f>
        <v>GR(P)=8G(P)=3708.770833</v>
      </c>
      <c r="M51" t="str">
        <f>"GR(P)=7G(P)+G(P)"</f>
        <v>GR(P)=7G(P)+G(P)</v>
      </c>
      <c r="N51" t="str">
        <f>SOB_126!AB51</f>
        <v>116</v>
      </c>
    </row>
    <row r="52">
      <c r="A52" t="str">
        <f>SOB_126!A52</f>
        <v>SOB51</v>
      </c>
      <c r="B52" t="str">
        <f>SOB_126!A52</f>
        <v>SOB51</v>
      </c>
      <c r="C52" t="str">
        <f>"E Z="&amp;SOB_126!B52</f>
        <v>E Z=51</v>
      </c>
      <c r="D52" t="str">
        <f>"A="&amp;SOB_126!D52</f>
        <v>A=119</v>
      </c>
      <c r="E52" t="str">
        <f>SOB_126!U52</f>
        <v>stable</v>
      </c>
      <c r="F52" t="str">
        <f>SOB_126!Z52</f>
        <v>shell 4 occupancy 23/32</v>
      </c>
      <c r="G52" t="str">
        <f>SOB_126!AA52</f>
        <v>closure</v>
      </c>
      <c r="H52" t="str">
        <f>SOB_126!J52</f>
        <v>P_51,119</v>
      </c>
      <c r="I52" t="str">
        <f>SOB_126!K52</f>
        <v>51p+68n+51e</v>
      </c>
      <c r="J52" t="str">
        <f>SOB_126!O52</f>
        <v>170u+187d+51e</v>
      </c>
      <c r="K52" t="str">
        <f>"G(P)="&amp;TEXT(SOB_126!W52,"0.000000")</f>
        <v>G(P)=472.878906</v>
      </c>
      <c r="L52" t="str">
        <f>"GR(P)=8G(P)="&amp;TEXT(SOB_126!X52,"0.000000")</f>
        <v>GR(P)=8G(P)=3783.03125</v>
      </c>
      <c r="M52" t="str">
        <f>"GR(P)=7G(P)+G(P)"</f>
        <v>GR(P)=7G(P)+G(P)</v>
      </c>
      <c r="N52" t="str">
        <f>SOB_126!AB52</f>
        <v>119</v>
      </c>
    </row>
    <row r="53">
      <c r="A53" t="str">
        <f>SOB_126!A53</f>
        <v>SOB52</v>
      </c>
      <c r="B53" t="str">
        <f>SOB_126!A53</f>
        <v>SOB52</v>
      </c>
      <c r="C53" t="str">
        <f>"E Z="&amp;SOB_126!B53</f>
        <v>E Z=52</v>
      </c>
      <c r="D53" t="str">
        <f>"A="&amp;SOB_126!D53</f>
        <v>A=121</v>
      </c>
      <c r="E53" t="str">
        <f>SOB_126!U53</f>
        <v>stable</v>
      </c>
      <c r="F53" t="str">
        <f>SOB_126!Z53</f>
        <v>shell 4 occupancy 24/32</v>
      </c>
      <c r="G53" t="str">
        <f>SOB_126!AA53</f>
        <v>closure</v>
      </c>
      <c r="H53" t="str">
        <f>SOB_126!J53</f>
        <v>P_52,121</v>
      </c>
      <c r="I53" t="str">
        <f>SOB_126!K53</f>
        <v>52p+69n+52e</v>
      </c>
      <c r="J53" t="str">
        <f>SOB_126!O53</f>
        <v>173u+190d+52e</v>
      </c>
      <c r="K53" t="str">
        <f>"G(P)="&amp;TEXT(SOB_126!W53,"0.000000")</f>
        <v>G(P)=482.145833</v>
      </c>
      <c r="L53" t="str">
        <f>"GR(P)=8G(P)="&amp;TEXT(SOB_126!X53,"0.000000")</f>
        <v>GR(P)=8G(P)=3857.166667</v>
      </c>
      <c r="M53" t="str">
        <f>"GR(P)=7G(P)+G(P)"</f>
        <v>GR(P)=7G(P)+G(P)</v>
      </c>
      <c r="N53" t="str">
        <f>SOB_126!AB53</f>
        <v>121</v>
      </c>
    </row>
    <row r="54">
      <c r="A54" t="str">
        <f>SOB_126!A54</f>
        <v>SOB53</v>
      </c>
      <c r="B54" t="str">
        <f>SOB_126!A54</f>
        <v>SOB53</v>
      </c>
      <c r="C54" t="str">
        <f>"E Z="&amp;SOB_126!B54</f>
        <v>E Z=53</v>
      </c>
      <c r="D54" t="str">
        <f>"A="&amp;SOB_126!D54</f>
        <v>A=123</v>
      </c>
      <c r="E54" t="str">
        <f>SOB_126!U54</f>
        <v>stable</v>
      </c>
      <c r="F54" t="str">
        <f>SOB_126!Z54</f>
        <v>shell 4 occupancy 25/32</v>
      </c>
      <c r="G54" t="str">
        <f>SOB_126!AA54</f>
        <v>closure</v>
      </c>
      <c r="H54" t="str">
        <f>SOB_126!J54</f>
        <v>P_53,123</v>
      </c>
      <c r="I54" t="str">
        <f>SOB_126!K54</f>
        <v>53p+70n+53e</v>
      </c>
      <c r="J54" t="str">
        <f>SOB_126!O54</f>
        <v>176u+193d+53e</v>
      </c>
      <c r="K54" t="str">
        <f>"G(P)="&amp;TEXT(SOB_126!W54,"0.000000")</f>
        <v>G(P)=491.41276</v>
      </c>
      <c r="L54" t="str">
        <f>"GR(P)=8G(P)="&amp;TEXT(SOB_126!X54,"0.000000")</f>
        <v>GR(P)=8G(P)=3931.302083</v>
      </c>
      <c r="M54" t="str">
        <f>"GR(P)=7G(P)+G(P)"</f>
        <v>GR(P)=7G(P)+G(P)</v>
      </c>
      <c r="N54" t="str">
        <f>SOB_126!AB54</f>
        <v>123</v>
      </c>
    </row>
    <row r="55">
      <c r="A55" t="str">
        <f>SOB_126!A55</f>
        <v>SOB54</v>
      </c>
      <c r="B55" t="str">
        <f>SOB_126!A55</f>
        <v>SOB54</v>
      </c>
      <c r="C55" t="str">
        <f>"E Z="&amp;SOB_126!B55</f>
        <v>E Z=54</v>
      </c>
      <c r="D55" t="str">
        <f>"A="&amp;SOB_126!D55</f>
        <v>A=126</v>
      </c>
      <c r="E55" t="str">
        <f>SOB_126!U55</f>
        <v>stable</v>
      </c>
      <c r="F55" t="str">
        <f>SOB_126!Z55</f>
        <v>shell 4 occupancy 26/32</v>
      </c>
      <c r="G55" t="str">
        <f>SOB_126!AA55</f>
        <v>closure</v>
      </c>
      <c r="H55" t="str">
        <f>SOB_126!J55</f>
        <v>P_54,126</v>
      </c>
      <c r="I55" t="str">
        <f>SOB_126!K55</f>
        <v>54p+72n+54e</v>
      </c>
      <c r="J55" t="str">
        <f>SOB_126!O55</f>
        <v>180u+198d+54e</v>
      </c>
      <c r="K55" t="str">
        <f>"G(P)="&amp;TEXT(SOB_126!W55,"0.000000")</f>
        <v>G(P)=500.695312</v>
      </c>
      <c r="L55" t="str">
        <f>"GR(P)=8G(P)="&amp;TEXT(SOB_126!X55,"0.000000")</f>
        <v>GR(P)=8G(P)=4005.5625</v>
      </c>
      <c r="M55" t="str">
        <f>"GR(P)=7G(P)+G(P)"</f>
        <v>GR(P)=7G(P)+G(P)</v>
      </c>
      <c r="N55" t="str">
        <f>SOB_126!AB55</f>
        <v>126</v>
      </c>
    </row>
    <row r="56">
      <c r="A56" t="str">
        <f>SOB_126!A56</f>
        <v>SOB55</v>
      </c>
      <c r="B56" t="str">
        <f>SOB_126!A56</f>
        <v>SOB55</v>
      </c>
      <c r="C56" t="str">
        <f>"E Z="&amp;SOB_126!B56</f>
        <v>E Z=55</v>
      </c>
      <c r="D56" t="str">
        <f>"A="&amp;SOB_126!D56</f>
        <v>A=128</v>
      </c>
      <c r="E56" t="str">
        <f>SOB_126!U56</f>
        <v>stable</v>
      </c>
      <c r="F56" t="str">
        <f>SOB_126!Z56</f>
        <v>shell 4 occupancy 27/32</v>
      </c>
      <c r="G56" t="str">
        <f>SOB_126!AA56</f>
        <v>closure</v>
      </c>
      <c r="H56" t="str">
        <f>SOB_126!J56</f>
        <v>P_55,128</v>
      </c>
      <c r="I56" t="str">
        <f>SOB_126!K56</f>
        <v>55p+73n+55e</v>
      </c>
      <c r="J56" t="str">
        <f>SOB_126!O56</f>
        <v>183u+201d+55e</v>
      </c>
      <c r="K56" t="str">
        <f>"G(P)="&amp;TEXT(SOB_126!W56,"0.000000")</f>
        <v>G(P)=509.96224</v>
      </c>
      <c r="L56" t="str">
        <f>"GR(P)=8G(P)="&amp;TEXT(SOB_126!X56,"0.000000")</f>
        <v>GR(P)=8G(P)=4079.697917</v>
      </c>
      <c r="M56" t="str">
        <f>"GR(P)=7G(P)+G(P)"</f>
        <v>GR(P)=7G(P)+G(P)</v>
      </c>
      <c r="N56" t="str">
        <f>SOB_126!AB56</f>
        <v>128</v>
      </c>
    </row>
    <row r="57">
      <c r="A57" t="str">
        <f>SOB_126!A57</f>
        <v>SOB56</v>
      </c>
      <c r="B57" t="str">
        <f>SOB_126!A57</f>
        <v>SOB56</v>
      </c>
      <c r="C57" t="str">
        <f>"E Z="&amp;SOB_126!B57</f>
        <v>E Z=56</v>
      </c>
      <c r="D57" t="str">
        <f>"A="&amp;SOB_126!D57</f>
        <v>A=130</v>
      </c>
      <c r="E57" t="str">
        <f>SOB_126!U57</f>
        <v>stable</v>
      </c>
      <c r="F57" t="str">
        <f>SOB_126!Z57</f>
        <v>shell 4 occupancy 28/32</v>
      </c>
      <c r="G57" t="str">
        <f>SOB_126!AA57</f>
        <v>closure</v>
      </c>
      <c r="H57" t="str">
        <f>SOB_126!J57</f>
        <v>P_56,130</v>
      </c>
      <c r="I57" t="str">
        <f>SOB_126!K57</f>
        <v>56p+74n+56e</v>
      </c>
      <c r="J57" t="str">
        <f>SOB_126!O57</f>
        <v>186u+204d+56e</v>
      </c>
      <c r="K57" t="str">
        <f>"G(P)="&amp;TEXT(SOB_126!W57,"0.000000")</f>
        <v>G(P)=519.229167</v>
      </c>
      <c r="L57" t="str">
        <f>"GR(P)=8G(P)="&amp;TEXT(SOB_126!X57,"0.000000")</f>
        <v>GR(P)=8G(P)=4153.833333</v>
      </c>
      <c r="M57" t="str">
        <f>"GR(P)=7G(P)+G(P)"</f>
        <v>GR(P)=7G(P)+G(P)</v>
      </c>
      <c r="N57" t="str">
        <f>SOB_126!AB57</f>
        <v>130</v>
      </c>
    </row>
    <row r="58">
      <c r="A58" t="str">
        <f>SOB_126!A58</f>
        <v>SOB57</v>
      </c>
      <c r="B58" t="str">
        <f>SOB_126!A58</f>
        <v>SOB57</v>
      </c>
      <c r="C58" t="str">
        <f>"E Z="&amp;SOB_126!B58</f>
        <v>E Z=57</v>
      </c>
      <c r="D58" t="str">
        <f>"A="&amp;SOB_126!D58</f>
        <v>A=133</v>
      </c>
      <c r="E58" t="str">
        <f>SOB_126!U58</f>
        <v>stable</v>
      </c>
      <c r="F58" t="str">
        <f>SOB_126!Z58</f>
        <v>shell 4 occupancy 29/32</v>
      </c>
      <c r="G58" t="str">
        <f>SOB_126!AA58</f>
        <v>closure</v>
      </c>
      <c r="H58" t="str">
        <f>SOB_126!J58</f>
        <v>P_57,133</v>
      </c>
      <c r="I58" t="str">
        <f>SOB_126!K58</f>
        <v>57p+76n+57e</v>
      </c>
      <c r="J58" t="str">
        <f>SOB_126!O58</f>
        <v>190u+209d+57e</v>
      </c>
      <c r="K58" t="str">
        <f>"G(P)="&amp;TEXT(SOB_126!W58,"0.000000")</f>
        <v>G(P)=528.511719</v>
      </c>
      <c r="L58" t="str">
        <f>"GR(P)=8G(P)="&amp;TEXT(SOB_126!X58,"0.000000")</f>
        <v>GR(P)=8G(P)=4228.09375</v>
      </c>
      <c r="M58" t="str">
        <f>"GR(P)=7G(P)+G(P)"</f>
        <v>GR(P)=7G(P)+G(P)</v>
      </c>
      <c r="N58" t="str">
        <f>SOB_126!AB58</f>
        <v>133</v>
      </c>
    </row>
    <row r="59">
      <c r="A59" t="str">
        <f>SOB_126!A59</f>
        <v>SOB58</v>
      </c>
      <c r="B59" t="str">
        <f>SOB_126!A59</f>
        <v>SOB58</v>
      </c>
      <c r="C59" t="str">
        <f>"E Z="&amp;SOB_126!B59</f>
        <v>E Z=58</v>
      </c>
      <c r="D59" t="str">
        <f>"A="&amp;SOB_126!D59</f>
        <v>A=135</v>
      </c>
      <c r="E59" t="str">
        <f>SOB_126!U59</f>
        <v>stable</v>
      </c>
      <c r="F59" t="str">
        <f>SOB_126!Z59</f>
        <v>shell 4 occupancy 30/32</v>
      </c>
      <c r="G59" t="str">
        <f>SOB_126!AA59</f>
        <v>closure</v>
      </c>
      <c r="H59" t="str">
        <f>SOB_126!J59</f>
        <v>P_58,135</v>
      </c>
      <c r="I59" t="str">
        <f>SOB_126!K59</f>
        <v>58p+77n+58e</v>
      </c>
      <c r="J59" t="str">
        <f>SOB_126!O59</f>
        <v>193u+212d+58e</v>
      </c>
      <c r="K59" t="str">
        <f>"G(P)="&amp;TEXT(SOB_126!W59,"0.000000")</f>
        <v>G(P)=537.778646</v>
      </c>
      <c r="L59" t="str">
        <f>"GR(P)=8G(P)="&amp;TEXT(SOB_126!X59,"0.000000")</f>
        <v>GR(P)=8G(P)=4302.229167</v>
      </c>
      <c r="M59" t="str">
        <f>"GR(P)=7G(P)+G(P)"</f>
        <v>GR(P)=7G(P)+G(P)</v>
      </c>
      <c r="N59" t="str">
        <f>SOB_126!AB59</f>
        <v>135</v>
      </c>
    </row>
    <row r="60">
      <c r="A60" t="str">
        <f>SOB_126!A60</f>
        <v>SOB59</v>
      </c>
      <c r="B60" t="str">
        <f>SOB_126!A60</f>
        <v>SOB59</v>
      </c>
      <c r="C60" t="str">
        <f>"E Z="&amp;SOB_126!B60</f>
        <v>E Z=59</v>
      </c>
      <c r="D60" t="str">
        <f>"A="&amp;SOB_126!D60</f>
        <v>A=137</v>
      </c>
      <c r="E60" t="str">
        <f>SOB_126!U60</f>
        <v>stable</v>
      </c>
      <c r="F60" t="str">
        <f>SOB_126!Z60</f>
        <v>shell 4 occupancy 31/32</v>
      </c>
      <c r="G60" t="str">
        <f>SOB_126!AA60</f>
        <v>closure</v>
      </c>
      <c r="H60" t="str">
        <f>SOB_126!J60</f>
        <v>P_59,137</v>
      </c>
      <c r="I60" t="str">
        <f>SOB_126!K60</f>
        <v>59p+78n+59e</v>
      </c>
      <c r="J60" t="str">
        <f>SOB_126!O60</f>
        <v>196u+215d+59e</v>
      </c>
      <c r="K60" t="str">
        <f>"G(P)="&amp;TEXT(SOB_126!W60,"0.000000")</f>
        <v>G(P)=547.045573</v>
      </c>
      <c r="L60" t="str">
        <f>"GR(P)=8G(P)="&amp;TEXT(SOB_126!X60,"0.000000")</f>
        <v>GR(P)=8G(P)=4376.364583</v>
      </c>
      <c r="M60" t="str">
        <f>"GR(P)=7G(P)+G(P)"</f>
        <v>GR(P)=7G(P)+G(P)</v>
      </c>
      <c r="N60" t="str">
        <f>SOB_126!AB60</f>
        <v>137</v>
      </c>
    </row>
    <row r="61">
      <c r="A61" t="str">
        <f>SOB_126!A61</f>
        <v>SOB60</v>
      </c>
      <c r="B61" t="str">
        <f>SOB_126!A61</f>
        <v>SOB60</v>
      </c>
      <c r="C61" t="str">
        <f>"E Z="&amp;SOB_126!B61</f>
        <v>E Z=60</v>
      </c>
      <c r="D61" t="str">
        <f>"A="&amp;SOB_126!D61</f>
        <v>A=140</v>
      </c>
      <c r="E61" t="str">
        <f>SOB_126!U61</f>
        <v>stable</v>
      </c>
      <c r="F61" t="str">
        <f>SOB_126!Z61</f>
        <v>shell 4 occupancy 32/32</v>
      </c>
      <c r="G61" t="str">
        <f>SOB_126!AA61</f>
        <v>closure</v>
      </c>
      <c r="H61" t="str">
        <f>SOB_126!J61</f>
        <v>P_60,140</v>
      </c>
      <c r="I61" t="str">
        <f>SOB_126!K61</f>
        <v>60p+80n+60e</v>
      </c>
      <c r="J61" t="str">
        <f>SOB_126!O61</f>
        <v>200u+220d+60e</v>
      </c>
      <c r="K61" t="str">
        <f>"G(P)="&amp;TEXT(SOB_126!W61,"0.000000")</f>
        <v>G(P)=556.328125</v>
      </c>
      <c r="L61" t="str">
        <f>"GR(P)=8G(P)="&amp;TEXT(SOB_126!X61,"0.000000")</f>
        <v>GR(P)=8G(P)=4450.625</v>
      </c>
      <c r="M61" t="str">
        <f>"GR(P)=7G(P)+G(P)"</f>
        <v>GR(P)=7G(P)+G(P)</v>
      </c>
      <c r="N61" t="str">
        <f>SOB_126!AB61</f>
        <v>140</v>
      </c>
    </row>
    <row r="62">
      <c r="A62" t="str">
        <f>SOB_126!A62</f>
        <v>SOB61</v>
      </c>
      <c r="B62" t="str">
        <f>SOB_126!A62</f>
        <v>SOB61</v>
      </c>
      <c r="C62" t="str">
        <f>"E Z="&amp;SOB_126!B62</f>
        <v>E Z=61</v>
      </c>
      <c r="D62" t="str">
        <f>"A="&amp;SOB_126!D62</f>
        <v>A=147</v>
      </c>
      <c r="E62" t="str">
        <f>SOB_126!U62</f>
        <v>radioactive</v>
      </c>
      <c r="F62" t="str">
        <f>SOB_126!Z62</f>
        <v>shell 5 occupancy 1/32</v>
      </c>
      <c r="G62" t="str">
        <f>SOB_126!AA62</f>
        <v>closure</v>
      </c>
      <c r="H62" t="str">
        <f>SOB_126!J62</f>
        <v>P_61,147</v>
      </c>
      <c r="I62" t="str">
        <f>SOB_126!K62</f>
        <v>61p+86n+61e</v>
      </c>
      <c r="J62" t="str">
        <f>SOB_126!O62</f>
        <v>208u+233d+61e</v>
      </c>
      <c r="K62" t="str">
        <f>"G(P)="&amp;TEXT(SOB_126!W62,"0.000000")</f>
        <v>G(P)=565.673177</v>
      </c>
      <c r="L62" t="str">
        <f>"GR(P)=8G(P)="&amp;TEXT(SOB_126!X62,"0.000000")</f>
        <v>GR(P)=8G(P)=4525.385417</v>
      </c>
      <c r="M62" t="str">
        <f>"GR(P)=7G(P)+G(P)"</f>
        <v>GR(P)=7G(P)+G(P)</v>
      </c>
      <c r="N62" t="str">
        <f>SOB_126!AB62</f>
        <v>147</v>
      </c>
    </row>
    <row r="63">
      <c r="A63" t="str">
        <f>SOB_126!A63</f>
        <v>SOB62</v>
      </c>
      <c r="B63" t="str">
        <f>SOB_126!A63</f>
        <v>SOB62</v>
      </c>
      <c r="C63" t="str">
        <f>"E Z="&amp;SOB_126!B63</f>
        <v>E Z=62</v>
      </c>
      <c r="D63" t="str">
        <f>"A="&amp;SOB_126!D63</f>
        <v>A=149</v>
      </c>
      <c r="E63" t="str">
        <f>SOB_126!U63</f>
        <v>stable</v>
      </c>
      <c r="F63" t="str">
        <f>SOB_126!Z63</f>
        <v>shell 5 occupancy 2/32</v>
      </c>
      <c r="G63" t="str">
        <f>SOB_126!AA63</f>
        <v>closure</v>
      </c>
      <c r="H63" t="str">
        <f>SOB_126!J63</f>
        <v>P_62,149</v>
      </c>
      <c r="I63" t="str">
        <f>SOB_126!K63</f>
        <v>62p+87n+62e</v>
      </c>
      <c r="J63" t="str">
        <f>SOB_126!O63</f>
        <v>211u+236d+62e</v>
      </c>
      <c r="K63" t="str">
        <f>"G(P)="&amp;TEXT(SOB_126!W63,"0.000000")</f>
        <v>G(P)=574.940104</v>
      </c>
      <c r="L63" t="str">
        <f>"GR(P)=8G(P)="&amp;TEXT(SOB_126!X63,"0.000000")</f>
        <v>GR(P)=8G(P)=4599.520833</v>
      </c>
      <c r="M63" t="str">
        <f>"GR(P)=7G(P)+G(P)"</f>
        <v>GR(P)=7G(P)+G(P)</v>
      </c>
      <c r="N63" t="str">
        <f>SOB_126!AB63</f>
        <v>149</v>
      </c>
    </row>
    <row r="64">
      <c r="A64" t="str">
        <f>SOB_126!A64</f>
        <v>SOB63</v>
      </c>
      <c r="B64" t="str">
        <f>SOB_126!A64</f>
        <v>SOB63</v>
      </c>
      <c r="C64" t="str">
        <f>"E Z="&amp;SOB_126!B64</f>
        <v>E Z=63</v>
      </c>
      <c r="D64" t="str">
        <f>"A="&amp;SOB_126!D64</f>
        <v>A=152</v>
      </c>
      <c r="E64" t="str">
        <f>SOB_126!U64</f>
        <v>stable</v>
      </c>
      <c r="F64" t="str">
        <f>SOB_126!Z64</f>
        <v>shell 5 occupancy 3/32</v>
      </c>
      <c r="G64" t="str">
        <f>SOB_126!AA64</f>
        <v>closure</v>
      </c>
      <c r="H64" t="str">
        <f>SOB_126!J64</f>
        <v>P_63,152</v>
      </c>
      <c r="I64" t="str">
        <f>SOB_126!K64</f>
        <v>63p+89n+63e</v>
      </c>
      <c r="J64" t="str">
        <f>SOB_126!O64</f>
        <v>215u+241d+63e</v>
      </c>
      <c r="K64" t="str">
        <f>"G(P)="&amp;TEXT(SOB_126!W64,"0.000000")</f>
        <v>G(P)=584.222656</v>
      </c>
      <c r="L64" t="str">
        <f>"GR(P)=8G(P)="&amp;TEXT(SOB_126!X64,"0.000000")</f>
        <v>GR(P)=8G(P)=4673.78125</v>
      </c>
      <c r="M64" t="str">
        <f>"GR(P)=7G(P)+G(P)"</f>
        <v>GR(P)=7G(P)+G(P)</v>
      </c>
      <c r="N64" t="str">
        <f>SOB_126!AB64</f>
        <v>152</v>
      </c>
    </row>
    <row r="65">
      <c r="A65" t="str">
        <f>SOB_126!A65</f>
        <v>SOB64</v>
      </c>
      <c r="B65" t="str">
        <f>SOB_126!A65</f>
        <v>SOB64</v>
      </c>
      <c r="C65" t="str">
        <f>"E Z="&amp;SOB_126!B65</f>
        <v>E Z=64</v>
      </c>
      <c r="D65" t="str">
        <f>"A="&amp;SOB_126!D65</f>
        <v>A=154</v>
      </c>
      <c r="E65" t="str">
        <f>SOB_126!U65</f>
        <v>stable</v>
      </c>
      <c r="F65" t="str">
        <f>SOB_126!Z65</f>
        <v>shell 5 occupancy 4/32</v>
      </c>
      <c r="G65" t="str">
        <f>SOB_126!AA65</f>
        <v>closure</v>
      </c>
      <c r="H65" t="str">
        <f>SOB_126!J65</f>
        <v>P_64,154</v>
      </c>
      <c r="I65" t="str">
        <f>SOB_126!K65</f>
        <v>64p+90n+64e</v>
      </c>
      <c r="J65" t="str">
        <f>SOB_126!O65</f>
        <v>218u+244d+64e</v>
      </c>
      <c r="K65" t="str">
        <f>"G(P)="&amp;TEXT(SOB_126!W65,"0.000000")</f>
        <v>G(P)=593.489583</v>
      </c>
      <c r="L65" t="str">
        <f>"GR(P)=8G(P)="&amp;TEXT(SOB_126!X65,"0.000000")</f>
        <v>GR(P)=8G(P)=4747.916667</v>
      </c>
      <c r="M65" t="str">
        <f>"GR(P)=7G(P)+G(P)"</f>
        <v>GR(P)=7G(P)+G(P)</v>
      </c>
      <c r="N65" t="str">
        <f>SOB_126!AB65</f>
        <v>154</v>
      </c>
    </row>
    <row r="66">
      <c r="A66" t="str">
        <f>SOB_126!A66</f>
        <v>SOB65</v>
      </c>
      <c r="B66" t="str">
        <f>SOB_126!A66</f>
        <v>SOB65</v>
      </c>
      <c r="C66" t="str">
        <f>"E Z="&amp;SOB_126!B66</f>
        <v>E Z=65</v>
      </c>
      <c r="D66" t="str">
        <f>"A="&amp;SOB_126!D66</f>
        <v>A=157</v>
      </c>
      <c r="E66" t="str">
        <f>SOB_126!U66</f>
        <v>stable</v>
      </c>
      <c r="F66" t="str">
        <f>SOB_126!Z66</f>
        <v>shell 5 occupancy 5/32</v>
      </c>
      <c r="G66" t="str">
        <f>SOB_126!AA66</f>
        <v>closure</v>
      </c>
      <c r="H66" t="str">
        <f>SOB_126!J66</f>
        <v>P_65,157</v>
      </c>
      <c r="I66" t="str">
        <f>SOB_126!K66</f>
        <v>65p+92n+65e</v>
      </c>
      <c r="J66" t="str">
        <f>SOB_126!O66</f>
        <v>222u+249d+65e</v>
      </c>
      <c r="K66" t="str">
        <f>"G(P)="&amp;TEXT(SOB_126!W66,"0.000000")</f>
        <v>G(P)=602.772135</v>
      </c>
      <c r="L66" t="str">
        <f>"GR(P)=8G(P)="&amp;TEXT(SOB_126!X66,"0.000000")</f>
        <v>GR(P)=8G(P)=4822.177083</v>
      </c>
      <c r="M66" t="str">
        <f>"GR(P)=7G(P)+G(P)"</f>
        <v>GR(P)=7G(P)+G(P)</v>
      </c>
      <c r="N66" t="str">
        <f>SOB_126!AB66</f>
        <v>157</v>
      </c>
    </row>
    <row r="67">
      <c r="A67" t="str">
        <f>SOB_126!A67</f>
        <v>SOB66</v>
      </c>
      <c r="B67" t="str">
        <f>SOB_126!A67</f>
        <v>SOB66</v>
      </c>
      <c r="C67" t="str">
        <f>"E Z="&amp;SOB_126!B67</f>
        <v>E Z=66</v>
      </c>
      <c r="D67" t="str">
        <f>"A="&amp;SOB_126!D67</f>
        <v>A=159</v>
      </c>
      <c r="E67" t="str">
        <f>SOB_126!U67</f>
        <v>stable</v>
      </c>
      <c r="F67" t="str">
        <f>SOB_126!Z67</f>
        <v>shell 5 occupancy 6/32</v>
      </c>
      <c r="G67" t="str">
        <f>SOB_126!AA67</f>
        <v>closure</v>
      </c>
      <c r="H67" t="str">
        <f>SOB_126!J67</f>
        <v>P_66,159</v>
      </c>
      <c r="I67" t="str">
        <f>SOB_126!K67</f>
        <v>66p+93n+66e</v>
      </c>
      <c r="J67" t="str">
        <f>SOB_126!O67</f>
        <v>225u+252d+66e</v>
      </c>
      <c r="K67" t="str">
        <f>"G(P)="&amp;TEXT(SOB_126!W67,"0.000000")</f>
        <v>G(P)=612.039062</v>
      </c>
      <c r="L67" t="str">
        <f>"GR(P)=8G(P)="&amp;TEXT(SOB_126!X67,"0.000000")</f>
        <v>GR(P)=8G(P)=4896.3125</v>
      </c>
      <c r="M67" t="str">
        <f>"GR(P)=7G(P)+G(P)"</f>
        <v>GR(P)=7G(P)+G(P)</v>
      </c>
      <c r="N67" t="str">
        <f>SOB_126!AB67</f>
        <v>159</v>
      </c>
    </row>
    <row r="68">
      <c r="A68" t="str">
        <f>SOB_126!A68</f>
        <v>SOB67</v>
      </c>
      <c r="B68" t="str">
        <f>SOB_126!A68</f>
        <v>SOB67</v>
      </c>
      <c r="C68" t="str">
        <f>"E Z="&amp;SOB_126!B68</f>
        <v>E Z=67</v>
      </c>
      <c r="D68" t="str">
        <f>"A="&amp;SOB_126!D68</f>
        <v>A=161</v>
      </c>
      <c r="E68" t="str">
        <f>SOB_126!U68</f>
        <v>stable</v>
      </c>
      <c r="F68" t="str">
        <f>SOB_126!Z68</f>
        <v>shell 5 occupancy 7/32</v>
      </c>
      <c r="G68" t="str">
        <f>SOB_126!AA68</f>
        <v>closure</v>
      </c>
      <c r="H68" t="str">
        <f>SOB_126!J68</f>
        <v>P_67,161</v>
      </c>
      <c r="I68" t="str">
        <f>SOB_126!K68</f>
        <v>67p+94n+67e</v>
      </c>
      <c r="J68" t="str">
        <f>SOB_126!O68</f>
        <v>228u+255d+67e</v>
      </c>
      <c r="K68" t="str">
        <f>"G(P)="&amp;TEXT(SOB_126!W68,"0.000000")</f>
        <v>G(P)=621.30599</v>
      </c>
      <c r="L68" t="str">
        <f>"GR(P)=8G(P)="&amp;TEXT(SOB_126!X68,"0.000000")</f>
        <v>GR(P)=8G(P)=4970.447917</v>
      </c>
      <c r="M68" t="str">
        <f>"GR(P)=7G(P)+G(P)"</f>
        <v>GR(P)=7G(P)+G(P)</v>
      </c>
      <c r="N68" t="str">
        <f>SOB_126!AB68</f>
        <v>161</v>
      </c>
    </row>
    <row r="69">
      <c r="A69" t="str">
        <f>SOB_126!A69</f>
        <v>SOB68</v>
      </c>
      <c r="B69" t="str">
        <f>SOB_126!A69</f>
        <v>SOB68</v>
      </c>
      <c r="C69" t="str">
        <f>"E Z="&amp;SOB_126!B69</f>
        <v>E Z=68</v>
      </c>
      <c r="D69" t="str">
        <f>"A="&amp;SOB_126!D69</f>
        <v>A=164</v>
      </c>
      <c r="E69" t="str">
        <f>SOB_126!U69</f>
        <v>stable</v>
      </c>
      <c r="F69" t="str">
        <f>SOB_126!Z69</f>
        <v>shell 5 occupancy 8/32</v>
      </c>
      <c r="G69" t="str">
        <f>SOB_126!AA69</f>
        <v>closure</v>
      </c>
      <c r="H69" t="str">
        <f>SOB_126!J69</f>
        <v>P_68,164</v>
      </c>
      <c r="I69" t="str">
        <f>SOB_126!K69</f>
        <v>68p+96n+68e</v>
      </c>
      <c r="J69" t="str">
        <f>SOB_126!O69</f>
        <v>232u+260d+68e</v>
      </c>
      <c r="K69" t="str">
        <f>"G(P)="&amp;TEXT(SOB_126!W69,"0.000000")</f>
        <v>G(P)=630.588542</v>
      </c>
      <c r="L69" t="str">
        <f>"GR(P)=8G(P)="&amp;TEXT(SOB_126!X69,"0.000000")</f>
        <v>GR(P)=8G(P)=5044.708333</v>
      </c>
      <c r="M69" t="str">
        <f>"GR(P)=7G(P)+G(P)"</f>
        <v>GR(P)=7G(P)+G(P)</v>
      </c>
      <c r="N69" t="str">
        <f>SOB_126!AB69</f>
        <v>164</v>
      </c>
    </row>
    <row r="70">
      <c r="A70" t="str">
        <f>SOB_126!A70</f>
        <v>SOB69</v>
      </c>
      <c r="B70" t="str">
        <f>SOB_126!A70</f>
        <v>SOB69</v>
      </c>
      <c r="C70" t="str">
        <f>"E Z="&amp;SOB_126!B70</f>
        <v>E Z=69</v>
      </c>
      <c r="D70" t="str">
        <f>"A="&amp;SOB_126!D70</f>
        <v>A=166</v>
      </c>
      <c r="E70" t="str">
        <f>SOB_126!U70</f>
        <v>stable</v>
      </c>
      <c r="F70" t="str">
        <f>SOB_126!Z70</f>
        <v>shell 5 occupancy 9/32</v>
      </c>
      <c r="G70" t="str">
        <f>SOB_126!AA70</f>
        <v>closure</v>
      </c>
      <c r="H70" t="str">
        <f>SOB_126!J70</f>
        <v>P_69,166</v>
      </c>
      <c r="I70" t="str">
        <f>SOB_126!K70</f>
        <v>69p+97n+69e</v>
      </c>
      <c r="J70" t="str">
        <f>SOB_126!O70</f>
        <v>235u+263d+69e</v>
      </c>
      <c r="K70" t="str">
        <f>"G(P)="&amp;TEXT(SOB_126!W70,"0.000000")</f>
        <v>G(P)=639.855469</v>
      </c>
      <c r="L70" t="str">
        <f>"GR(P)=8G(P)="&amp;TEXT(SOB_126!X70,"0.000000")</f>
        <v>GR(P)=8G(P)=5118.84375</v>
      </c>
      <c r="M70" t="str">
        <f>"GR(P)=7G(P)+G(P)"</f>
        <v>GR(P)=7G(P)+G(P)</v>
      </c>
      <c r="N70" t="str">
        <f>SOB_126!AB70</f>
        <v>166</v>
      </c>
    </row>
    <row r="71">
      <c r="A71" t="str">
        <f>SOB_126!A71</f>
        <v>SOB70</v>
      </c>
      <c r="B71" t="str">
        <f>SOB_126!A71</f>
        <v>SOB70</v>
      </c>
      <c r="C71" t="str">
        <f>"E Z="&amp;SOB_126!B71</f>
        <v>E Z=70</v>
      </c>
      <c r="D71" t="str">
        <f>"A="&amp;SOB_126!D71</f>
        <v>A=169</v>
      </c>
      <c r="E71" t="str">
        <f>SOB_126!U71</f>
        <v>stable</v>
      </c>
      <c r="F71" t="str">
        <f>SOB_126!Z71</f>
        <v>shell 5 occupancy 10/32</v>
      </c>
      <c r="G71" t="str">
        <f>SOB_126!AA71</f>
        <v>closure</v>
      </c>
      <c r="H71" t="str">
        <f>SOB_126!J71</f>
        <v>P_70,169</v>
      </c>
      <c r="I71" t="str">
        <f>SOB_126!K71</f>
        <v>70p+99n+70e</v>
      </c>
      <c r="J71" t="str">
        <f>SOB_126!O71</f>
        <v>239u+268d+70e</v>
      </c>
      <c r="K71" t="str">
        <f>"G(P)="&amp;TEXT(SOB_126!W71,"0.000000")</f>
        <v>G(P)=649.138021</v>
      </c>
      <c r="L71" t="str">
        <f>"GR(P)=8G(P)="&amp;TEXT(SOB_126!X71,"0.000000")</f>
        <v>GR(P)=8G(P)=5193.104167</v>
      </c>
      <c r="M71" t="str">
        <f>"GR(P)=7G(P)+G(P)"</f>
        <v>GR(P)=7G(P)+G(P)</v>
      </c>
      <c r="N71" t="str">
        <f>SOB_126!AB71</f>
        <v>169</v>
      </c>
    </row>
    <row r="72">
      <c r="A72" t="str">
        <f>SOB_126!A72</f>
        <v>SOB71</v>
      </c>
      <c r="B72" t="str">
        <f>SOB_126!A72</f>
        <v>SOB71</v>
      </c>
      <c r="C72" t="str">
        <f>"E Z="&amp;SOB_126!B72</f>
        <v>E Z=71</v>
      </c>
      <c r="D72" t="str">
        <f>"A="&amp;SOB_126!D72</f>
        <v>A=171</v>
      </c>
      <c r="E72" t="str">
        <f>SOB_126!U72</f>
        <v>stable</v>
      </c>
      <c r="F72" t="str">
        <f>SOB_126!Z72</f>
        <v>shell 5 occupancy 11/32</v>
      </c>
      <c r="G72" t="str">
        <f>SOB_126!AA72</f>
        <v>closure</v>
      </c>
      <c r="H72" t="str">
        <f>SOB_126!J72</f>
        <v>P_71,171</v>
      </c>
      <c r="I72" t="str">
        <f>SOB_126!K72</f>
        <v>71p+100n+71e</v>
      </c>
      <c r="J72" t="str">
        <f>SOB_126!O72</f>
        <v>242u+271d+71e</v>
      </c>
      <c r="K72" t="str">
        <f>"G(P)="&amp;TEXT(SOB_126!W72,"0.000000")</f>
        <v>G(P)=658.404948</v>
      </c>
      <c r="L72" t="str">
        <f>"GR(P)=8G(P)="&amp;TEXT(SOB_126!X72,"0.000000")</f>
        <v>GR(P)=8G(P)=5267.239583</v>
      </c>
      <c r="M72" t="str">
        <f>"GR(P)=7G(P)+G(P)"</f>
        <v>GR(P)=7G(P)+G(P)</v>
      </c>
      <c r="N72" t="str">
        <f>SOB_126!AB72</f>
        <v>171</v>
      </c>
    </row>
    <row r="73">
      <c r="A73" t="str">
        <f>SOB_126!A73</f>
        <v>SOB72</v>
      </c>
      <c r="B73" t="str">
        <f>SOB_126!A73</f>
        <v>SOB72</v>
      </c>
      <c r="C73" t="str">
        <f>"E Z="&amp;SOB_126!B73</f>
        <v>E Z=72</v>
      </c>
      <c r="D73" t="str">
        <f>"A="&amp;SOB_126!D73</f>
        <v>A=174</v>
      </c>
      <c r="E73" t="str">
        <f>SOB_126!U73</f>
        <v>stable</v>
      </c>
      <c r="F73" t="str">
        <f>SOB_126!Z73</f>
        <v>shell 5 occupancy 12/32</v>
      </c>
      <c r="G73" t="str">
        <f>SOB_126!AA73</f>
        <v>closure</v>
      </c>
      <c r="H73" t="str">
        <f>SOB_126!J73</f>
        <v>P_72,174</v>
      </c>
      <c r="I73" t="str">
        <f>SOB_126!K73</f>
        <v>72p+102n+72e</v>
      </c>
      <c r="J73" t="str">
        <f>SOB_126!O73</f>
        <v>246u+276d+72e</v>
      </c>
      <c r="K73" t="str">
        <f>"G(P)="&amp;TEXT(SOB_126!W73,"0.000000")</f>
        <v>G(P)=667.6875</v>
      </c>
      <c r="L73" t="str">
        <f>"GR(P)=8G(P)="&amp;TEXT(SOB_126!X73,"0.000000")</f>
        <v>GR(P)=8G(P)=5341.5</v>
      </c>
      <c r="M73" t="str">
        <f>"GR(P)=7G(P)+G(P)"</f>
        <v>GR(P)=7G(P)+G(P)</v>
      </c>
      <c r="N73" t="str">
        <f>SOB_126!AB73</f>
        <v>174</v>
      </c>
    </row>
    <row r="74">
      <c r="A74" t="str">
        <f>SOB_126!A74</f>
        <v>SOB73</v>
      </c>
      <c r="B74" t="str">
        <f>SOB_126!A74</f>
        <v>SOB73</v>
      </c>
      <c r="C74" t="str">
        <f>"E Z="&amp;SOB_126!B74</f>
        <v>E Z=73</v>
      </c>
      <c r="D74" t="str">
        <f>"A="&amp;SOB_126!D74</f>
        <v>A=182</v>
      </c>
      <c r="E74" t="str">
        <f>SOB_126!U74</f>
        <v>stable</v>
      </c>
      <c r="F74" t="str">
        <f>SOB_126!Z74</f>
        <v>shell 5 occupancy 13/32</v>
      </c>
      <c r="G74" t="str">
        <f>SOB_126!AA74</f>
        <v>closure</v>
      </c>
      <c r="H74" t="str">
        <f>SOB_126!J74</f>
        <v>P_73,182</v>
      </c>
      <c r="I74" t="str">
        <f>SOB_126!K74</f>
        <v>73p+109n+73e</v>
      </c>
      <c r="J74" t="str">
        <f>SOB_126!O74</f>
        <v>255u+291d+73e</v>
      </c>
      <c r="K74" t="str">
        <f>"G(P)="&amp;TEXT(SOB_126!W74,"0.000000")</f>
        <v>G(P)=677.048177</v>
      </c>
      <c r="L74" t="str">
        <f>"GR(P)=8G(P)="&amp;TEXT(SOB_126!X74,"0.000000")</f>
        <v>GR(P)=8G(P)=5416.385417</v>
      </c>
      <c r="M74" t="str">
        <f>"GR(P)=7G(P)+G(P)"</f>
        <v>GR(P)=7G(P)+G(P)</v>
      </c>
      <c r="N74" t="str">
        <f>SOB_126!AB74</f>
        <v>182</v>
      </c>
    </row>
    <row r="75">
      <c r="A75" t="str">
        <f>SOB_126!A75</f>
        <v>SOB74</v>
      </c>
      <c r="B75" t="str">
        <f>SOB_126!A75</f>
        <v>SOB74</v>
      </c>
      <c r="C75" t="str">
        <f>"E Z="&amp;SOB_126!B75</f>
        <v>E Z=74</v>
      </c>
      <c r="D75" t="str">
        <f>"A="&amp;SOB_126!D75</f>
        <v>A=185</v>
      </c>
      <c r="E75" t="str">
        <f>SOB_126!U75</f>
        <v>stable</v>
      </c>
      <c r="F75" t="str">
        <f>SOB_126!Z75</f>
        <v>shell 5 occupancy 14/32</v>
      </c>
      <c r="G75" t="str">
        <f>SOB_126!AA75</f>
        <v>closure</v>
      </c>
      <c r="H75" t="str">
        <f>SOB_126!J75</f>
        <v>P_74,185</v>
      </c>
      <c r="I75" t="str">
        <f>SOB_126!K75</f>
        <v>74p+111n+74e</v>
      </c>
      <c r="J75" t="str">
        <f>SOB_126!O75</f>
        <v>259u+296d+74e</v>
      </c>
      <c r="K75" t="str">
        <f>"G(P)="&amp;TEXT(SOB_126!W75,"0.000000")</f>
        <v>G(P)=686.330729</v>
      </c>
      <c r="L75" t="str">
        <f>"GR(P)=8G(P)="&amp;TEXT(SOB_126!X75,"0.000000")</f>
        <v>GR(P)=8G(P)=5490.645833</v>
      </c>
      <c r="M75" t="str">
        <f>"GR(P)=7G(P)+G(P)"</f>
        <v>GR(P)=7G(P)+G(P)</v>
      </c>
      <c r="N75" t="str">
        <f>SOB_126!AB75</f>
        <v>185</v>
      </c>
    </row>
    <row r="76">
      <c r="A76" t="str">
        <f>SOB_126!A76</f>
        <v>SOB75</v>
      </c>
      <c r="B76" t="str">
        <f>SOB_126!A76</f>
        <v>SOB75</v>
      </c>
      <c r="C76" t="str">
        <f>"E Z="&amp;SOB_126!B76</f>
        <v>E Z=75</v>
      </c>
      <c r="D76" t="str">
        <f>"A="&amp;SOB_126!D76</f>
        <v>A=187</v>
      </c>
      <c r="E76" t="str">
        <f>SOB_126!U76</f>
        <v>stable</v>
      </c>
      <c r="F76" t="str">
        <f>SOB_126!Z76</f>
        <v>shell 5 occupancy 15/32</v>
      </c>
      <c r="G76" t="str">
        <f>SOB_126!AA76</f>
        <v>closure</v>
      </c>
      <c r="H76" t="str">
        <f>SOB_126!J76</f>
        <v>P_75,187</v>
      </c>
      <c r="I76" t="str">
        <f>SOB_126!K76</f>
        <v>75p+112n+75e</v>
      </c>
      <c r="J76" t="str">
        <f>SOB_126!O76</f>
        <v>262u+299d+75e</v>
      </c>
      <c r="K76" t="str">
        <f>"G(P)="&amp;TEXT(SOB_126!W76,"0.000000")</f>
        <v>G(P)=695.597656</v>
      </c>
      <c r="L76" t="str">
        <f>"GR(P)=8G(P)="&amp;TEXT(SOB_126!X76,"0.000000")</f>
        <v>GR(P)=8G(P)=5564.78125</v>
      </c>
      <c r="M76" t="str">
        <f>"GR(P)=7G(P)+G(P)"</f>
        <v>GR(P)=7G(P)+G(P)</v>
      </c>
      <c r="N76" t="str">
        <f>SOB_126!AB76</f>
        <v>187</v>
      </c>
    </row>
    <row r="77">
      <c r="A77" t="str">
        <f>SOB_126!A77</f>
        <v>SOB76</v>
      </c>
      <c r="B77" t="str">
        <f>SOB_126!A77</f>
        <v>SOB76</v>
      </c>
      <c r="C77" t="str">
        <f>"E Z="&amp;SOB_126!B77</f>
        <v>E Z=76</v>
      </c>
      <c r="D77" t="str">
        <f>"A="&amp;SOB_126!D77</f>
        <v>A=190</v>
      </c>
      <c r="E77" t="str">
        <f>SOB_126!U77</f>
        <v>stable</v>
      </c>
      <c r="F77" t="str">
        <f>SOB_126!Z77</f>
        <v>shell 5 occupancy 16/32</v>
      </c>
      <c r="G77" t="str">
        <f>SOB_126!AA77</f>
        <v>closure</v>
      </c>
      <c r="H77" t="str">
        <f>SOB_126!J77</f>
        <v>P_76,190</v>
      </c>
      <c r="I77" t="str">
        <f>SOB_126!K77</f>
        <v>76p+114n+76e</v>
      </c>
      <c r="J77" t="str">
        <f>SOB_126!O77</f>
        <v>266u+304d+76e</v>
      </c>
      <c r="K77" t="str">
        <f>"G(P)="&amp;TEXT(SOB_126!W77,"0.000000")</f>
        <v>G(P)=704.880208</v>
      </c>
      <c r="L77" t="str">
        <f>"GR(P)=8G(P)="&amp;TEXT(SOB_126!X77,"0.000000")</f>
        <v>GR(P)=8G(P)=5639.041667</v>
      </c>
      <c r="M77" t="str">
        <f>"GR(P)=7G(P)+G(P)"</f>
        <v>GR(P)=7G(P)+G(P)</v>
      </c>
      <c r="N77" t="str">
        <f>SOB_126!AB77</f>
        <v>190</v>
      </c>
    </row>
    <row r="78">
      <c r="A78" t="str">
        <f>SOB_126!A78</f>
        <v>SOB77</v>
      </c>
      <c r="B78" t="str">
        <f>SOB_126!A78</f>
        <v>SOB77</v>
      </c>
      <c r="C78" t="str">
        <f>"E Z="&amp;SOB_126!B78</f>
        <v>E Z=77</v>
      </c>
      <c r="D78" t="str">
        <f>"A="&amp;SOB_126!D78</f>
        <v>A=192</v>
      </c>
      <c r="E78" t="str">
        <f>SOB_126!U78</f>
        <v>stable</v>
      </c>
      <c r="F78" t="str">
        <f>SOB_126!Z78</f>
        <v>shell 5 occupancy 17/32</v>
      </c>
      <c r="G78" t="str">
        <f>SOB_126!AA78</f>
        <v>closure</v>
      </c>
      <c r="H78" t="str">
        <f>SOB_126!J78</f>
        <v>P_77,192</v>
      </c>
      <c r="I78" t="str">
        <f>SOB_126!K78</f>
        <v>77p+115n+77e</v>
      </c>
      <c r="J78" t="str">
        <f>SOB_126!O78</f>
        <v>269u+307d+77e</v>
      </c>
      <c r="K78" t="str">
        <f>"G(P)="&amp;TEXT(SOB_126!W78,"0.000000")</f>
        <v>G(P)=714.147135</v>
      </c>
      <c r="L78" t="str">
        <f>"GR(P)=8G(P)="&amp;TEXT(SOB_126!X78,"0.000000")</f>
        <v>GR(P)=8G(P)=5713.177083</v>
      </c>
      <c r="M78" t="str">
        <f>"GR(P)=7G(P)+G(P)"</f>
        <v>GR(P)=7G(P)+G(P)</v>
      </c>
      <c r="N78" t="str">
        <f>SOB_126!AB78</f>
        <v>192</v>
      </c>
    </row>
    <row r="79">
      <c r="A79" t="str">
        <f>SOB_126!A79</f>
        <v>SOB78</v>
      </c>
      <c r="B79" t="str">
        <f>SOB_126!A79</f>
        <v>SOB78</v>
      </c>
      <c r="C79" t="str">
        <f>"E Z="&amp;SOB_126!B79</f>
        <v>E Z=78</v>
      </c>
      <c r="D79" t="str">
        <f>"A="&amp;SOB_126!D79</f>
        <v>A=195</v>
      </c>
      <c r="E79" t="str">
        <f>SOB_126!U79</f>
        <v>stable</v>
      </c>
      <c r="F79" t="str">
        <f>SOB_126!Z79</f>
        <v>shell 5 occupancy 18/32</v>
      </c>
      <c r="G79" t="str">
        <f>SOB_126!AA79</f>
        <v>closure</v>
      </c>
      <c r="H79" t="str">
        <f>SOB_126!J79</f>
        <v>P_78,195</v>
      </c>
      <c r="I79" t="str">
        <f>SOB_126!K79</f>
        <v>78p+117n+78e</v>
      </c>
      <c r="J79" t="str">
        <f>SOB_126!O79</f>
        <v>273u+312d+78e</v>
      </c>
      <c r="K79" t="str">
        <f>"G(P)="&amp;TEXT(SOB_126!W79,"0.000000")</f>
        <v>G(P)=723.429688</v>
      </c>
      <c r="L79" t="str">
        <f>"GR(P)=8G(P)="&amp;TEXT(SOB_126!X79,"0.000000")</f>
        <v>GR(P)=8G(P)=5787.4375</v>
      </c>
      <c r="M79" t="str">
        <f>"GR(P)=7G(P)+G(P)"</f>
        <v>GR(P)=7G(P)+G(P)</v>
      </c>
      <c r="N79" t="str">
        <f>SOB_126!AB79</f>
        <v>195</v>
      </c>
    </row>
    <row r="80">
      <c r="A80" t="str">
        <f>SOB_126!A80</f>
        <v>SOB79</v>
      </c>
      <c r="B80" t="str">
        <f>SOB_126!A80</f>
        <v>SOB79</v>
      </c>
      <c r="C80" t="str">
        <f>"E Z="&amp;SOB_126!B80</f>
        <v>E Z=79</v>
      </c>
      <c r="D80" t="str">
        <f>"A="&amp;SOB_126!D80</f>
        <v>A=197</v>
      </c>
      <c r="E80" t="str">
        <f>SOB_126!U80</f>
        <v>stable</v>
      </c>
      <c r="F80" t="str">
        <f>SOB_126!Z80</f>
        <v>shell 5 occupancy 19/32</v>
      </c>
      <c r="G80" t="str">
        <f>SOB_126!AA80</f>
        <v>closure</v>
      </c>
      <c r="H80" t="str">
        <f>SOB_126!J80</f>
        <v>P_79,197</v>
      </c>
      <c r="I80" t="str">
        <f>SOB_126!K80</f>
        <v>79p+118n+79e</v>
      </c>
      <c r="J80" t="str">
        <f>SOB_126!O80</f>
        <v>276u+315d+79e</v>
      </c>
      <c r="K80" t="str">
        <f>"G(P)="&amp;TEXT(SOB_126!W80,"0.000000")</f>
        <v>G(P)=732.696615</v>
      </c>
      <c r="L80" t="str">
        <f>"GR(P)=8G(P)="&amp;TEXT(SOB_126!X80,"0.000000")</f>
        <v>GR(P)=8G(P)=5861.572917</v>
      </c>
      <c r="M80" t="str">
        <f>"GR(P)=7G(P)+G(P)"</f>
        <v>GR(P)=7G(P)+G(P)</v>
      </c>
      <c r="N80" t="str">
        <f>SOB_126!AB80</f>
        <v>197</v>
      </c>
    </row>
    <row r="81">
      <c r="A81" t="str">
        <f>SOB_126!A81</f>
        <v>SOB80</v>
      </c>
      <c r="B81" t="str">
        <f>SOB_126!A81</f>
        <v>SOB80</v>
      </c>
      <c r="C81" t="str">
        <f>"E Z="&amp;SOB_126!B81</f>
        <v>E Z=80</v>
      </c>
      <c r="D81" t="str">
        <f>"A="&amp;SOB_126!D81</f>
        <v>A=200</v>
      </c>
      <c r="E81" t="str">
        <f>SOB_126!U81</f>
        <v>stable</v>
      </c>
      <c r="F81" t="str">
        <f>SOB_126!Z81</f>
        <v>shell 5 occupancy 20/32</v>
      </c>
      <c r="G81" t="str">
        <f>SOB_126!AA81</f>
        <v>closure</v>
      </c>
      <c r="H81" t="str">
        <f>SOB_126!J81</f>
        <v>P_80,200</v>
      </c>
      <c r="I81" t="str">
        <f>SOB_126!K81</f>
        <v>80p+120n+80e</v>
      </c>
      <c r="J81" t="str">
        <f>SOB_126!O81</f>
        <v>280u+320d+80e</v>
      </c>
      <c r="K81" t="str">
        <f>"G(P)="&amp;TEXT(SOB_126!W81,"0.000000")</f>
        <v>G(P)=741.979167</v>
      </c>
      <c r="L81" t="str">
        <f>"GR(P)=8G(P)="&amp;TEXT(SOB_126!X81,"0.000000")</f>
        <v>GR(P)=8G(P)=5935.833333</v>
      </c>
      <c r="M81" t="str">
        <f>"GR(P)=7G(P)+G(P)"</f>
        <v>GR(P)=7G(P)+G(P)</v>
      </c>
      <c r="N81" t="str">
        <f>SOB_126!AB81</f>
        <v>200</v>
      </c>
    </row>
    <row r="82">
      <c r="A82" t="str">
        <f>SOB_126!A82</f>
        <v>SOB81</v>
      </c>
      <c r="B82" t="str">
        <f>SOB_126!A82</f>
        <v>SOB81</v>
      </c>
      <c r="C82" t="str">
        <f>"E Z="&amp;SOB_126!B82</f>
        <v>E Z=81</v>
      </c>
      <c r="D82" t="str">
        <f>"A="&amp;SOB_126!D82</f>
        <v>A=202</v>
      </c>
      <c r="E82" t="str">
        <f>SOB_126!U82</f>
        <v>stable</v>
      </c>
      <c r="F82" t="str">
        <f>SOB_126!Z82</f>
        <v>shell 5 occupancy 21/32</v>
      </c>
      <c r="G82" t="str">
        <f>SOB_126!AA82</f>
        <v>closure</v>
      </c>
      <c r="H82" t="str">
        <f>SOB_126!J82</f>
        <v>P_81,202</v>
      </c>
      <c r="I82" t="str">
        <f>SOB_126!K82</f>
        <v>81p+121n+81e</v>
      </c>
      <c r="J82" t="str">
        <f>SOB_126!O82</f>
        <v>283u+323d+81e</v>
      </c>
      <c r="K82" t="str">
        <f>"G(P)="&amp;TEXT(SOB_126!W82,"0.000000")</f>
        <v>G(P)=751.246094</v>
      </c>
      <c r="L82" t="str">
        <f>"GR(P)=8G(P)="&amp;TEXT(SOB_126!X82,"0.000000")</f>
        <v>GR(P)=8G(P)=6009.96875</v>
      </c>
      <c r="M82" t="str">
        <f>"GR(P)=7G(P)+G(P)"</f>
        <v>GR(P)=7G(P)+G(P)</v>
      </c>
      <c r="N82" t="str">
        <f>SOB_126!AB82</f>
        <v>202</v>
      </c>
    </row>
    <row r="83">
      <c r="A83" t="str">
        <f>SOB_126!A83</f>
        <v>SOB82</v>
      </c>
      <c r="B83" t="str">
        <f>SOB_126!A83</f>
        <v>SOB82</v>
      </c>
      <c r="C83" t="str">
        <f>"E Z="&amp;SOB_126!B83</f>
        <v>E Z=82</v>
      </c>
      <c r="D83" t="str">
        <f>"A="&amp;SOB_126!D83</f>
        <v>A=205</v>
      </c>
      <c r="E83" t="str">
        <f>SOB_126!U83</f>
        <v>stable</v>
      </c>
      <c r="F83" t="str">
        <f>SOB_126!Z83</f>
        <v>shell 5 occupancy 22/32</v>
      </c>
      <c r="G83" t="str">
        <f>SOB_126!AA83</f>
        <v>closure</v>
      </c>
      <c r="H83" t="str">
        <f>SOB_126!J83</f>
        <v>P_82,205</v>
      </c>
      <c r="I83" t="str">
        <f>SOB_126!K83</f>
        <v>82p+123n+82e</v>
      </c>
      <c r="J83" t="str">
        <f>SOB_126!O83</f>
        <v>287u+328d+82e</v>
      </c>
      <c r="K83" t="str">
        <f>"G(P)="&amp;TEXT(SOB_126!W83,"0.000000")</f>
        <v>G(P)=760.528646</v>
      </c>
      <c r="L83" t="str">
        <f>"GR(P)=8G(P)="&amp;TEXT(SOB_126!X83,"0.000000")</f>
        <v>GR(P)=8G(P)=6084.229167</v>
      </c>
      <c r="M83" t="str">
        <f>"GR(P)=7G(P)+G(P)"</f>
        <v>GR(P)=7G(P)+G(P)</v>
      </c>
      <c r="N83" t="str">
        <f>SOB_126!AB83</f>
        <v>205</v>
      </c>
    </row>
    <row r="84">
      <c r="A84" t="str">
        <f>SOB_126!A84</f>
        <v>SOB83</v>
      </c>
      <c r="B84" t="str">
        <f>SOB_126!A84</f>
        <v>SOB83</v>
      </c>
      <c r="C84" t="str">
        <f>"E Z="&amp;SOB_126!B84</f>
        <v>E Z=83</v>
      </c>
      <c r="D84" t="str">
        <f>"A="&amp;SOB_126!D84</f>
        <v>A=207</v>
      </c>
      <c r="E84" t="str">
        <f>SOB_126!U84</f>
        <v>stable</v>
      </c>
      <c r="F84" t="str">
        <f>SOB_126!Z84</f>
        <v>shell 5 occupancy 23/32</v>
      </c>
      <c r="G84" t="str">
        <f>SOB_126!AA84</f>
        <v>closure</v>
      </c>
      <c r="H84" t="str">
        <f>SOB_126!J84</f>
        <v>P_83,207</v>
      </c>
      <c r="I84" t="str">
        <f>SOB_126!K84</f>
        <v>83p+124n+83e</v>
      </c>
      <c r="J84" t="str">
        <f>SOB_126!O84</f>
        <v>290u+331d+83e</v>
      </c>
      <c r="K84" t="str">
        <f>"G(P)="&amp;TEXT(SOB_126!W84,"0.000000")</f>
        <v>G(P)=769.795573</v>
      </c>
      <c r="L84" t="str">
        <f>"GR(P)=8G(P)="&amp;TEXT(SOB_126!X84,"0.000000")</f>
        <v>GR(P)=8G(P)=6158.364583</v>
      </c>
      <c r="M84" t="str">
        <f>"GR(P)=7G(P)+G(P)"</f>
        <v>GR(P)=7G(P)+G(P)</v>
      </c>
      <c r="N84" t="str">
        <f>SOB_126!AB84</f>
        <v>207</v>
      </c>
    </row>
    <row r="85">
      <c r="A85" t="str">
        <f>SOB_126!A85</f>
        <v>SOB84</v>
      </c>
      <c r="B85" t="str">
        <f>SOB_126!A85</f>
        <v>SOB84</v>
      </c>
      <c r="C85" t="str">
        <f>"E Z="&amp;SOB_126!B85</f>
        <v>E Z=84</v>
      </c>
      <c r="D85" t="str">
        <f>"A="&amp;SOB_126!D85</f>
        <v>A=210</v>
      </c>
      <c r="E85" t="str">
        <f>SOB_126!U85</f>
        <v>radioactive</v>
      </c>
      <c r="F85" t="str">
        <f>SOB_126!Z85</f>
        <v>shell 5 occupancy 24/32</v>
      </c>
      <c r="G85" t="str">
        <f>SOB_126!AA85</f>
        <v>closure</v>
      </c>
      <c r="H85" t="str">
        <f>SOB_126!J85</f>
        <v>P_84,210</v>
      </c>
      <c r="I85" t="str">
        <f>SOB_126!K85</f>
        <v>84p+126n+84e</v>
      </c>
      <c r="J85" t="str">
        <f>SOB_126!O85</f>
        <v>294u+336d+84e</v>
      </c>
      <c r="K85" t="str">
        <f>"G(P)="&amp;TEXT(SOB_126!W85,"0.000000")</f>
        <v>G(P)=779.078125</v>
      </c>
      <c r="L85" t="str">
        <f>"GR(P)=8G(P)="&amp;TEXT(SOB_126!X85,"0.000000")</f>
        <v>GR(P)=8G(P)=6232.625</v>
      </c>
      <c r="M85" t="str">
        <f>"GR(P)=7G(P)+G(P)"</f>
        <v>GR(P)=7G(P)+G(P)</v>
      </c>
      <c r="N85" t="str">
        <f>SOB_126!AB85</f>
        <v>210</v>
      </c>
    </row>
    <row r="86">
      <c r="A86" t="str">
        <f>SOB_126!A86</f>
        <v>SOB85</v>
      </c>
      <c r="B86" t="str">
        <f>SOB_126!A86</f>
        <v>SOB85</v>
      </c>
      <c r="C86" t="str">
        <f>"E Z="&amp;SOB_126!B86</f>
        <v>E Z=85</v>
      </c>
      <c r="D86" t="str">
        <f>"A="&amp;SOB_126!D86</f>
        <v>A=219</v>
      </c>
      <c r="E86" t="str">
        <f>SOB_126!U86</f>
        <v>radioactive</v>
      </c>
      <c r="F86" t="str">
        <f>SOB_126!Z86</f>
        <v>shell 5 occupancy 25/32</v>
      </c>
      <c r="G86" t="str">
        <f>SOB_126!AA86</f>
        <v>closure</v>
      </c>
      <c r="H86" t="str">
        <f>SOB_126!J86</f>
        <v>P_85,219</v>
      </c>
      <c r="I86" t="str">
        <f>SOB_126!K86</f>
        <v>85p+134n+85e</v>
      </c>
      <c r="J86" t="str">
        <f>SOB_126!O86</f>
        <v>304u+353d+85e</v>
      </c>
      <c r="K86" t="str">
        <f>"G(P)="&amp;TEXT(SOB_126!W86,"0.000000")</f>
        <v>G(P)=788.454427</v>
      </c>
      <c r="L86" t="str">
        <f>"GR(P)=8G(P)="&amp;TEXT(SOB_126!X86,"0.000000")</f>
        <v>GR(P)=8G(P)=6307.635417</v>
      </c>
      <c r="M86" t="str">
        <f>"GR(P)=7G(P)+G(P)"</f>
        <v>GR(P)=7G(P)+G(P)</v>
      </c>
      <c r="N86" t="str">
        <f>SOB_126!AB86</f>
        <v>219</v>
      </c>
    </row>
    <row r="87">
      <c r="A87" t="str">
        <f>SOB_126!A87</f>
        <v>SOB86</v>
      </c>
      <c r="B87" t="str">
        <f>SOB_126!A87</f>
        <v>SOB86</v>
      </c>
      <c r="C87" t="str">
        <f>"E Z="&amp;SOB_126!B87</f>
        <v>E Z=86</v>
      </c>
      <c r="D87" t="str">
        <f>"A="&amp;SOB_126!D87</f>
        <v>A=222</v>
      </c>
      <c r="E87" t="str">
        <f>SOB_126!U87</f>
        <v>radioactive</v>
      </c>
      <c r="F87" t="str">
        <f>SOB_126!Z87</f>
        <v>shell 5 occupancy 26/32</v>
      </c>
      <c r="G87" t="str">
        <f>SOB_126!AA87</f>
        <v>closure</v>
      </c>
      <c r="H87" t="str">
        <f>SOB_126!J87</f>
        <v>P_86,222</v>
      </c>
      <c r="I87" t="str">
        <f>SOB_126!K87</f>
        <v>86p+136n+86e</v>
      </c>
      <c r="J87" t="str">
        <f>SOB_126!O87</f>
        <v>308u+358d+86e</v>
      </c>
      <c r="K87" t="str">
        <f>"G(P)="&amp;TEXT(SOB_126!W87,"0.000000")</f>
        <v>G(P)=797.736979</v>
      </c>
      <c r="L87" t="str">
        <f>"GR(P)=8G(P)="&amp;TEXT(SOB_126!X87,"0.000000")</f>
        <v>GR(P)=8G(P)=6381.895833</v>
      </c>
      <c r="M87" t="str">
        <f>"GR(P)=7G(P)+G(P)"</f>
        <v>GR(P)=7G(P)+G(P)</v>
      </c>
      <c r="N87" t="str">
        <f>SOB_126!AB87</f>
        <v>222</v>
      </c>
    </row>
    <row r="88">
      <c r="A88" t="str">
        <f>SOB_126!A88</f>
        <v>SOB87</v>
      </c>
      <c r="B88" t="str">
        <f>SOB_126!A88</f>
        <v>SOB87</v>
      </c>
      <c r="C88" t="str">
        <f>"E Z="&amp;SOB_126!B88</f>
        <v>E Z=87</v>
      </c>
      <c r="D88" t="str">
        <f>"A="&amp;SOB_126!D88</f>
        <v>A=224</v>
      </c>
      <c r="E88" t="str">
        <f>SOB_126!U88</f>
        <v>radioactive</v>
      </c>
      <c r="F88" t="str">
        <f>SOB_126!Z88</f>
        <v>shell 5 occupancy 27/32</v>
      </c>
      <c r="G88" t="str">
        <f>SOB_126!AA88</f>
        <v>closure</v>
      </c>
      <c r="H88" t="str">
        <f>SOB_126!J88</f>
        <v>P_87,224</v>
      </c>
      <c r="I88" t="str">
        <f>SOB_126!K88</f>
        <v>87p+137n+87e</v>
      </c>
      <c r="J88" t="str">
        <f>SOB_126!O88</f>
        <v>311u+361d+87e</v>
      </c>
      <c r="K88" t="str">
        <f>"G(P)="&amp;TEXT(SOB_126!W88,"0.000000")</f>
        <v>G(P)=807.003906</v>
      </c>
      <c r="L88" t="str">
        <f>"GR(P)=8G(P)="&amp;TEXT(SOB_126!X88,"0.000000")</f>
        <v>GR(P)=8G(P)=6456.03125</v>
      </c>
      <c r="M88" t="str">
        <f>"GR(P)=7G(P)+G(P)"</f>
        <v>GR(P)=7G(P)+G(P)</v>
      </c>
      <c r="N88" t="str">
        <f>SOB_126!AB88</f>
        <v>224</v>
      </c>
    </row>
    <row r="89">
      <c r="A89" t="str">
        <f>SOB_126!A89</f>
        <v>SOB88</v>
      </c>
      <c r="B89" t="str">
        <f>SOB_126!A89</f>
        <v>SOB88</v>
      </c>
      <c r="C89" t="str">
        <f>"E Z="&amp;SOB_126!B89</f>
        <v>E Z=88</v>
      </c>
      <c r="D89" t="str">
        <f>"A="&amp;SOB_126!D89</f>
        <v>A=227</v>
      </c>
      <c r="E89" t="str">
        <f>SOB_126!U89</f>
        <v>radioactive</v>
      </c>
      <c r="F89" t="str">
        <f>SOB_126!Z89</f>
        <v>shell 5 occupancy 28/32</v>
      </c>
      <c r="G89" t="str">
        <f>SOB_126!AA89</f>
        <v>closure</v>
      </c>
      <c r="H89" t="str">
        <f>SOB_126!J89</f>
        <v>P_88,227</v>
      </c>
      <c r="I89" t="str">
        <f>SOB_126!K89</f>
        <v>88p+139n+88e</v>
      </c>
      <c r="J89" t="str">
        <f>SOB_126!O89</f>
        <v>315u+366d+88e</v>
      </c>
      <c r="K89" t="str">
        <f>"G(P)="&amp;TEXT(SOB_126!W89,"0.000000")</f>
        <v>G(P)=816.286458</v>
      </c>
      <c r="L89" t="str">
        <f>"GR(P)=8G(P)="&amp;TEXT(SOB_126!X89,"0.000000")</f>
        <v>GR(P)=8G(P)=6530.291667</v>
      </c>
      <c r="M89" t="str">
        <f>"GR(P)=7G(P)+G(P)"</f>
        <v>GR(P)=7G(P)+G(P)</v>
      </c>
      <c r="N89" t="str">
        <f>SOB_126!AB89</f>
        <v>227</v>
      </c>
    </row>
    <row r="90">
      <c r="A90" t="str">
        <f>SOB_126!A90</f>
        <v>SOB89</v>
      </c>
      <c r="B90" t="str">
        <f>SOB_126!A90</f>
        <v>SOB89</v>
      </c>
      <c r="C90" t="str">
        <f>"E Z="&amp;SOB_126!B90</f>
        <v>E Z=89</v>
      </c>
      <c r="D90" t="str">
        <f>"A="&amp;SOB_126!D90</f>
        <v>A=229</v>
      </c>
      <c r="E90" t="str">
        <f>SOB_126!U90</f>
        <v>radioactive</v>
      </c>
      <c r="F90" t="str">
        <f>SOB_126!Z90</f>
        <v>shell 5 occupancy 29/32</v>
      </c>
      <c r="G90" t="str">
        <f>SOB_126!AA90</f>
        <v>closure</v>
      </c>
      <c r="H90" t="str">
        <f>SOB_126!J90</f>
        <v>P_89,229</v>
      </c>
      <c r="I90" t="str">
        <f>SOB_126!K90</f>
        <v>89p+140n+89e</v>
      </c>
      <c r="J90" t="str">
        <f>SOB_126!O90</f>
        <v>318u+369d+89e</v>
      </c>
      <c r="K90" t="str">
        <f>"G(P)="&amp;TEXT(SOB_126!W90,"0.000000")</f>
        <v>G(P)=825.553385</v>
      </c>
      <c r="L90" t="str">
        <f>"GR(P)=8G(P)="&amp;TEXT(SOB_126!X90,"0.000000")</f>
        <v>GR(P)=8G(P)=6604.427083</v>
      </c>
      <c r="M90" t="str">
        <f>"GR(P)=7G(P)+G(P)"</f>
        <v>GR(P)=7G(P)+G(P)</v>
      </c>
      <c r="N90" t="str">
        <f>SOB_126!AB90</f>
        <v>229</v>
      </c>
    </row>
    <row r="91">
      <c r="A91" t="str">
        <f>SOB_126!A91</f>
        <v>SOB90</v>
      </c>
      <c r="B91" t="str">
        <f>SOB_126!A91</f>
        <v>SOB90</v>
      </c>
      <c r="C91" t="str">
        <f>"E Z="&amp;SOB_126!B91</f>
        <v>E Z=90</v>
      </c>
      <c r="D91" t="str">
        <f>"A="&amp;SOB_126!D91</f>
        <v>A=232</v>
      </c>
      <c r="E91" t="str">
        <f>SOB_126!U91</f>
        <v>radioactive</v>
      </c>
      <c r="F91" t="str">
        <f>SOB_126!Z91</f>
        <v>shell 5 occupancy 30/32</v>
      </c>
      <c r="G91" t="str">
        <f>SOB_126!AA91</f>
        <v>closure</v>
      </c>
      <c r="H91" t="str">
        <f>SOB_126!J91</f>
        <v>P_90,232</v>
      </c>
      <c r="I91" t="str">
        <f>SOB_126!K91</f>
        <v>90p+142n+90e</v>
      </c>
      <c r="J91" t="str">
        <f>SOB_126!O91</f>
        <v>322u+374d+90e</v>
      </c>
      <c r="K91" t="str">
        <f>"G(P)="&amp;TEXT(SOB_126!W91,"0.000000")</f>
        <v>G(P)=834.835938</v>
      </c>
      <c r="L91" t="str">
        <f>"GR(P)=8G(P)="&amp;TEXT(SOB_126!X91,"0.000000")</f>
        <v>GR(P)=8G(P)=6678.6875</v>
      </c>
      <c r="M91" t="str">
        <f>"GR(P)=7G(P)+G(P)"</f>
        <v>GR(P)=7G(P)+G(P)</v>
      </c>
      <c r="N91" t="str">
        <f>SOB_126!AB91</f>
        <v>232</v>
      </c>
    </row>
    <row r="92">
      <c r="A92" t="str">
        <f>SOB_126!A92</f>
        <v>SOB91</v>
      </c>
      <c r="B92" t="str">
        <f>SOB_126!A92</f>
        <v>SOB91</v>
      </c>
      <c r="C92" t="str">
        <f>"E Z="&amp;SOB_126!B92</f>
        <v>E Z=91</v>
      </c>
      <c r="D92" t="str">
        <f>"A="&amp;SOB_126!D92</f>
        <v>A=235</v>
      </c>
      <c r="E92" t="str">
        <f>SOB_126!U92</f>
        <v>radioactive</v>
      </c>
      <c r="F92" t="str">
        <f>SOB_126!Z92</f>
        <v>shell 5 occupancy 31/32</v>
      </c>
      <c r="G92" t="str">
        <f>SOB_126!AA92</f>
        <v>closure</v>
      </c>
      <c r="H92" t="str">
        <f>SOB_126!J92</f>
        <v>P_91,235</v>
      </c>
      <c r="I92" t="str">
        <f>SOB_126!K92</f>
        <v>91p+144n+91e</v>
      </c>
      <c r="J92" t="str">
        <f>SOB_126!O92</f>
        <v>326u+379d+91e</v>
      </c>
      <c r="K92" t="str">
        <f>"G(P)="&amp;TEXT(SOB_126!W92,"0.000000")</f>
        <v>G(P)=844.11849</v>
      </c>
      <c r="L92" t="str">
        <f>"GR(P)=8G(P)="&amp;TEXT(SOB_126!X92,"0.000000")</f>
        <v>GR(P)=8G(P)=6752.947917</v>
      </c>
      <c r="M92" t="str">
        <f>"GR(P)=7G(P)+G(P)"</f>
        <v>GR(P)=7G(P)+G(P)</v>
      </c>
      <c r="N92" t="str">
        <f>SOB_126!AB92</f>
        <v>235</v>
      </c>
    </row>
    <row r="93">
      <c r="A93" t="str">
        <f>SOB_126!A93</f>
        <v>SOB92</v>
      </c>
      <c r="B93" t="str">
        <f>SOB_126!A93</f>
        <v>SOB92</v>
      </c>
      <c r="C93" t="str">
        <f>"E Z="&amp;SOB_126!B93</f>
        <v>E Z=92</v>
      </c>
      <c r="D93" t="str">
        <f>"A="&amp;SOB_126!D93</f>
        <v>A=237</v>
      </c>
      <c r="E93" t="str">
        <f>SOB_126!U93</f>
        <v>radioactive</v>
      </c>
      <c r="F93" t="str">
        <f>SOB_126!Z93</f>
        <v>shell 5 occupancy 32/32</v>
      </c>
      <c r="G93" t="str">
        <f>SOB_126!AA93</f>
        <v>closure</v>
      </c>
      <c r="H93" t="str">
        <f>SOB_126!J93</f>
        <v>P_92,237</v>
      </c>
      <c r="I93" t="str">
        <f>SOB_126!K93</f>
        <v>92p+145n+92e</v>
      </c>
      <c r="J93" t="str">
        <f>SOB_126!O93</f>
        <v>329u+382d+92e</v>
      </c>
      <c r="K93" t="str">
        <f>"G(P)="&amp;TEXT(SOB_126!W93,"0.000000")</f>
        <v>G(P)=853.385417</v>
      </c>
      <c r="L93" t="str">
        <f>"GR(P)=8G(P)="&amp;TEXT(SOB_126!X93,"0.000000")</f>
        <v>GR(P)=8G(P)=6827.083333</v>
      </c>
      <c r="M93" t="str">
        <f>"GR(P)=7G(P)+G(P)"</f>
        <v>GR(P)=7G(P)+G(P)</v>
      </c>
      <c r="N93" t="str">
        <f>SOB_126!AB93</f>
        <v>237</v>
      </c>
    </row>
    <row r="94">
      <c r="A94" t="str">
        <f>SOB_126!A94</f>
        <v>SOB93</v>
      </c>
      <c r="B94" t="str">
        <f>SOB_126!A94</f>
        <v>SOB93</v>
      </c>
      <c r="C94" t="str">
        <f>"E Z="&amp;SOB_126!B94</f>
        <v>E Z=93</v>
      </c>
      <c r="D94" t="str">
        <f>"A="&amp;SOB_126!D94</f>
        <v>A=240</v>
      </c>
      <c r="E94" t="str">
        <f>SOB_126!U94</f>
        <v>radioactive</v>
      </c>
      <c r="F94" t="str">
        <f>SOB_126!Z94</f>
        <v>shell 6 occupancy 1/18</v>
      </c>
      <c r="G94" t="str">
        <f>SOB_126!AA94</f>
        <v>closure</v>
      </c>
      <c r="H94" t="str">
        <f>SOB_126!J94</f>
        <v>P_93,240</v>
      </c>
      <c r="I94" t="str">
        <f>SOB_126!K94</f>
        <v>93p+147n+93e</v>
      </c>
      <c r="J94" t="str">
        <f>SOB_126!O94</f>
        <v>333u+387d+93e</v>
      </c>
      <c r="K94" t="str">
        <f>"G(P)="&amp;TEXT(SOB_126!W94,"0.000000")</f>
        <v>G(P)=862.667969</v>
      </c>
      <c r="L94" t="str">
        <f>"GR(P)=8G(P)="&amp;TEXT(SOB_126!X94,"0.000000")</f>
        <v>GR(P)=8G(P)=6901.34375</v>
      </c>
      <c r="M94" t="str">
        <f>"GR(P)=7G(P)+G(P)"</f>
        <v>GR(P)=7G(P)+G(P)</v>
      </c>
      <c r="N94" t="str">
        <f>SOB_126!AB94</f>
        <v>240</v>
      </c>
    </row>
    <row r="95">
      <c r="A95" t="str">
        <f>SOB_126!A95</f>
        <v>SOB94</v>
      </c>
      <c r="B95" t="str">
        <f>SOB_126!A95</f>
        <v>SOB94</v>
      </c>
      <c r="C95" t="str">
        <f>"E Z="&amp;SOB_126!B95</f>
        <v>E Z=94</v>
      </c>
      <c r="D95" t="str">
        <f>"A="&amp;SOB_126!D95</f>
        <v>A=242</v>
      </c>
      <c r="E95" t="str">
        <f>SOB_126!U95</f>
        <v>radioactive</v>
      </c>
      <c r="F95" t="str">
        <f>SOB_126!Z95</f>
        <v>shell 6 occupancy 2/18</v>
      </c>
      <c r="G95" t="str">
        <f>SOB_126!AA95</f>
        <v>closure</v>
      </c>
      <c r="H95" t="str">
        <f>SOB_126!J95</f>
        <v>P_94,242</v>
      </c>
      <c r="I95" t="str">
        <f>SOB_126!K95</f>
        <v>94p+148n+94e</v>
      </c>
      <c r="J95" t="str">
        <f>SOB_126!O95</f>
        <v>336u+390d+94e</v>
      </c>
      <c r="K95" t="str">
        <f>"G(P)="&amp;TEXT(SOB_126!W95,"0.000000")</f>
        <v>G(P)=871.934896</v>
      </c>
      <c r="L95" t="str">
        <f>"GR(P)=8G(P)="&amp;TEXT(SOB_126!X95,"0.000000")</f>
        <v>GR(P)=8G(P)=6975.479167</v>
      </c>
      <c r="M95" t="str">
        <f>"GR(P)=7G(P)+G(P)"</f>
        <v>GR(P)=7G(P)+G(P)</v>
      </c>
      <c r="N95" t="str">
        <f>SOB_126!AB95</f>
        <v>242</v>
      </c>
    </row>
    <row r="96">
      <c r="A96" t="str">
        <f>SOB_126!A96</f>
        <v>SOB95</v>
      </c>
      <c r="B96" t="str">
        <f>SOB_126!A96</f>
        <v>SOB95</v>
      </c>
      <c r="C96" t="str">
        <f>"E Z="&amp;SOB_126!B96</f>
        <v>E Z=95</v>
      </c>
      <c r="D96" t="str">
        <f>"A="&amp;SOB_126!D96</f>
        <v>A=245</v>
      </c>
      <c r="E96" t="str">
        <f>SOB_126!U96</f>
        <v>radioactive</v>
      </c>
      <c r="F96" t="str">
        <f>SOB_126!Z96</f>
        <v>shell 6 occupancy 3/18</v>
      </c>
      <c r="G96" t="str">
        <f>SOB_126!AA96</f>
        <v>closure</v>
      </c>
      <c r="H96" t="str">
        <f>SOB_126!J96</f>
        <v>P_95,245</v>
      </c>
      <c r="I96" t="str">
        <f>SOB_126!K96</f>
        <v>95p+150n+95e</v>
      </c>
      <c r="J96" t="str">
        <f>SOB_126!O96</f>
        <v>340u+395d+95e</v>
      </c>
      <c r="K96" t="str">
        <f>"G(P)="&amp;TEXT(SOB_126!W96,"0.000000")</f>
        <v>G(P)=881.217448</v>
      </c>
      <c r="L96" t="str">
        <f>"GR(P)=8G(P)="&amp;TEXT(SOB_126!X96,"0.000000")</f>
        <v>GR(P)=8G(P)=7049.739583</v>
      </c>
      <c r="M96" t="str">
        <f>"GR(P)=7G(P)+G(P)"</f>
        <v>GR(P)=7G(P)+G(P)</v>
      </c>
      <c r="N96" t="str">
        <f>SOB_126!AB96</f>
        <v>245</v>
      </c>
    </row>
    <row r="97">
      <c r="A97" t="str">
        <f>SOB_126!A97</f>
        <v>SOB96</v>
      </c>
      <c r="B97" t="str">
        <f>SOB_126!A97</f>
        <v>SOB96</v>
      </c>
      <c r="C97" t="str">
        <f>"E Z="&amp;SOB_126!B97</f>
        <v>E Z=96</v>
      </c>
      <c r="D97" t="str">
        <f>"A="&amp;SOB_126!D97</f>
        <v>A=248</v>
      </c>
      <c r="E97" t="str">
        <f>SOB_126!U97</f>
        <v>radioactive</v>
      </c>
      <c r="F97" t="str">
        <f>SOB_126!Z97</f>
        <v>shell 6 occupancy 4/18</v>
      </c>
      <c r="G97" t="str">
        <f>SOB_126!AA97</f>
        <v>closure</v>
      </c>
      <c r="H97" t="str">
        <f>SOB_126!J97</f>
        <v>P_96,248</v>
      </c>
      <c r="I97" t="str">
        <f>SOB_126!K97</f>
        <v>96p+152n+96e</v>
      </c>
      <c r="J97" t="str">
        <f>SOB_126!O97</f>
        <v>344u+400d+96e</v>
      </c>
      <c r="K97" t="str">
        <f>"G(P)="&amp;TEXT(SOB_126!W97,"0.000000")</f>
        <v>G(P)=890.5</v>
      </c>
      <c r="L97" t="str">
        <f>"GR(P)=8G(P)="&amp;TEXT(SOB_126!X97,"0.000000")</f>
        <v>GR(P)=8G(P)=7124</v>
      </c>
      <c r="M97" t="str">
        <f>"GR(P)=7G(P)+G(P)"</f>
        <v>GR(P)=7G(P)+G(P)</v>
      </c>
      <c r="N97" t="str">
        <f>SOB_126!AB97</f>
        <v>248</v>
      </c>
    </row>
    <row r="98">
      <c r="A98" t="str">
        <f>SOB_126!A98</f>
        <v>SOB97</v>
      </c>
      <c r="B98" t="str">
        <f>SOB_126!A98</f>
        <v>SOB97</v>
      </c>
      <c r="C98" t="str">
        <f>"E Z="&amp;SOB_126!B98</f>
        <v>E Z=97</v>
      </c>
      <c r="D98" t="str">
        <f>"A="&amp;SOB_126!D98</f>
        <v>A=258</v>
      </c>
      <c r="E98" t="str">
        <f>SOB_126!U98</f>
        <v>radioactive</v>
      </c>
      <c r="F98" t="str">
        <f>SOB_126!Z98</f>
        <v>shell 6 occupancy 5/18</v>
      </c>
      <c r="G98" t="str">
        <f>SOB_126!AA98</f>
        <v>closure</v>
      </c>
      <c r="H98" t="str">
        <f>SOB_126!J98</f>
        <v>P_97,258</v>
      </c>
      <c r="I98" t="str">
        <f>SOB_126!K98</f>
        <v>97p+161n+97e</v>
      </c>
      <c r="J98" t="str">
        <f>SOB_126!O98</f>
        <v>355u+419d+97e</v>
      </c>
      <c r="K98" t="str">
        <f>"G(P)="&amp;TEXT(SOB_126!W98,"0.000000")</f>
        <v>G(P)=899.891927</v>
      </c>
      <c r="L98" t="str">
        <f>"GR(P)=8G(P)="&amp;TEXT(SOB_126!X98,"0.000000")</f>
        <v>GR(P)=8G(P)=7199.135417</v>
      </c>
      <c r="M98" t="str">
        <f>"GR(P)=7G(P)+G(P)"</f>
        <v>GR(P)=7G(P)+G(P)</v>
      </c>
      <c r="N98" t="str">
        <f>SOB_126!AB98</f>
        <v>258</v>
      </c>
    </row>
    <row r="99">
      <c r="A99" t="str">
        <f>SOB_126!A99</f>
        <v>SOB98</v>
      </c>
      <c r="B99" t="str">
        <f>SOB_126!A99</f>
        <v>SOB98</v>
      </c>
      <c r="C99" t="str">
        <f>"E Z="&amp;SOB_126!B99</f>
        <v>E Z=98</v>
      </c>
      <c r="D99" t="str">
        <f>"A="&amp;SOB_126!D99</f>
        <v>A=261</v>
      </c>
      <c r="E99" t="str">
        <f>SOB_126!U99</f>
        <v>radioactive</v>
      </c>
      <c r="F99" t="str">
        <f>SOB_126!Z99</f>
        <v>shell 6 occupancy 6/18</v>
      </c>
      <c r="G99" t="str">
        <f>SOB_126!AA99</f>
        <v>closure</v>
      </c>
      <c r="H99" t="str">
        <f>SOB_126!J99</f>
        <v>P_98,261</v>
      </c>
      <c r="I99" t="str">
        <f>SOB_126!K99</f>
        <v>98p+163n+98e</v>
      </c>
      <c r="J99" t="str">
        <f>SOB_126!O99</f>
        <v>359u+424d+98e</v>
      </c>
      <c r="K99" t="str">
        <f>"G(P)="&amp;TEXT(SOB_126!W99,"0.000000")</f>
        <v>G(P)=909.174479</v>
      </c>
      <c r="L99" t="str">
        <f>"GR(P)=8G(P)="&amp;TEXT(SOB_126!X99,"0.000000")</f>
        <v>GR(P)=8G(P)=7273.395833</v>
      </c>
      <c r="M99" t="str">
        <f>"GR(P)=7G(P)+G(P)"</f>
        <v>GR(P)=7G(P)+G(P)</v>
      </c>
      <c r="N99" t="str">
        <f>SOB_126!AB99</f>
        <v>261</v>
      </c>
    </row>
    <row r="100">
      <c r="A100" t="str">
        <f>SOB_126!A100</f>
        <v>SOB99</v>
      </c>
      <c r="B100" t="str">
        <f>SOB_126!A100</f>
        <v>SOB99</v>
      </c>
      <c r="C100" t="str">
        <f>"E Z="&amp;SOB_126!B100</f>
        <v>E Z=99</v>
      </c>
      <c r="D100" t="str">
        <f>"A="&amp;SOB_126!D100</f>
        <v>A=264</v>
      </c>
      <c r="E100" t="str">
        <f>SOB_126!U100</f>
        <v>radioactive</v>
      </c>
      <c r="F100" t="str">
        <f>SOB_126!Z100</f>
        <v>shell 6 occupancy 7/18</v>
      </c>
      <c r="G100" t="str">
        <f>SOB_126!AA100</f>
        <v>closure</v>
      </c>
      <c r="H100" t="str">
        <f>SOB_126!J100</f>
        <v>P_99,264</v>
      </c>
      <c r="I100" t="str">
        <f>SOB_126!K100</f>
        <v>99p+165n+99e</v>
      </c>
      <c r="J100" t="str">
        <f>SOB_126!O100</f>
        <v>363u+429d+99e</v>
      </c>
      <c r="K100" t="str">
        <f>"G(P)="&amp;TEXT(SOB_126!W100,"0.000000")</f>
        <v>G(P)=918.457031</v>
      </c>
      <c r="L100" t="str">
        <f>"GR(P)=8G(P)="&amp;TEXT(SOB_126!X100,"0.000000")</f>
        <v>GR(P)=8G(P)=7347.65625</v>
      </c>
      <c r="M100" t="str">
        <f>"GR(P)=7G(P)+G(P)"</f>
        <v>GR(P)=7G(P)+G(P)</v>
      </c>
      <c r="N100" t="str">
        <f>SOB_126!AB100</f>
        <v>264</v>
      </c>
    </row>
    <row r="101">
      <c r="A101" t="str">
        <f>SOB_126!A101</f>
        <v>SOB100</v>
      </c>
      <c r="B101" t="str">
        <f>SOB_126!A101</f>
        <v>SOB100</v>
      </c>
      <c r="C101" t="str">
        <f>"E Z="&amp;SOB_126!B101</f>
        <v>E Z=100</v>
      </c>
      <c r="D101" t="str">
        <f>"A="&amp;SOB_126!D101</f>
        <v>A=266</v>
      </c>
      <c r="E101" t="str">
        <f>SOB_126!U101</f>
        <v>radioactive</v>
      </c>
      <c r="F101" t="str">
        <f>SOB_126!Z101</f>
        <v>shell 6 occupancy 8/18</v>
      </c>
      <c r="G101" t="str">
        <f>SOB_126!AA101</f>
        <v>closure</v>
      </c>
      <c r="H101" t="str">
        <f>SOB_126!J101</f>
        <v>P_100,266</v>
      </c>
      <c r="I101" t="str">
        <f>SOB_126!K101</f>
        <v>100p+166n+100e</v>
      </c>
      <c r="J101" t="str">
        <f>SOB_126!O101</f>
        <v>366u+432d+100e</v>
      </c>
      <c r="K101" t="str">
        <f>"G(P)="&amp;TEXT(SOB_126!W101,"0.000000")</f>
        <v>G(P)=927.723958</v>
      </c>
      <c r="L101" t="str">
        <f>"GR(P)=8G(P)="&amp;TEXT(SOB_126!X101,"0.000000")</f>
        <v>GR(P)=8G(P)=7421.791667</v>
      </c>
      <c r="M101" t="str">
        <f>"GR(P)=7G(P)+G(P)"</f>
        <v>GR(P)=7G(P)+G(P)</v>
      </c>
      <c r="N101" t="str">
        <f>SOB_126!AB101</f>
        <v>266</v>
      </c>
    </row>
    <row r="102">
      <c r="A102" t="str">
        <f>SOB_126!A102</f>
        <v>SOB101</v>
      </c>
      <c r="B102" t="str">
        <f>SOB_126!A102</f>
        <v>SOB101</v>
      </c>
      <c r="C102" t="str">
        <f>"E Z="&amp;SOB_126!B102</f>
        <v>E Z=101</v>
      </c>
      <c r="D102" t="str">
        <f>"A="&amp;SOB_126!D102</f>
        <v>A=269</v>
      </c>
      <c r="E102" t="str">
        <f>SOB_126!U102</f>
        <v>radioactive</v>
      </c>
      <c r="F102" t="str">
        <f>SOB_126!Z102</f>
        <v>shell 6 occupancy 9/18</v>
      </c>
      <c r="G102" t="str">
        <f>SOB_126!AA102</f>
        <v>closure</v>
      </c>
      <c r="H102" t="str">
        <f>SOB_126!J102</f>
        <v>P_101,269</v>
      </c>
      <c r="I102" t="str">
        <f>SOB_126!K102</f>
        <v>101p+168n+101e</v>
      </c>
      <c r="J102" t="str">
        <f>SOB_126!O102</f>
        <v>370u+437d+101e</v>
      </c>
      <c r="K102" t="str">
        <f>"G(P)="&amp;TEXT(SOB_126!W102,"0.000000")</f>
        <v>G(P)=937.00651</v>
      </c>
      <c r="L102" t="str">
        <f>"GR(P)=8G(P)="&amp;TEXT(SOB_126!X102,"0.000000")</f>
        <v>GR(P)=8G(P)=7496.052083</v>
      </c>
      <c r="M102" t="str">
        <f>"GR(P)=7G(P)+G(P)"</f>
        <v>GR(P)=7G(P)+G(P)</v>
      </c>
      <c r="N102" t="str">
        <f>SOB_126!AB102</f>
        <v>269</v>
      </c>
    </row>
    <row r="103">
      <c r="A103" t="str">
        <f>SOB_126!A103</f>
        <v>SOB102</v>
      </c>
      <c r="B103" t="str">
        <f>SOB_126!A103</f>
        <v>SOB102</v>
      </c>
      <c r="C103" t="str">
        <f>"E Z="&amp;SOB_126!B103</f>
        <v>E Z=102</v>
      </c>
      <c r="D103" t="str">
        <f>"A="&amp;SOB_126!D103</f>
        <v>A=272</v>
      </c>
      <c r="E103" t="str">
        <f>SOB_126!U103</f>
        <v>radioactive</v>
      </c>
      <c r="F103" t="str">
        <f>SOB_126!Z103</f>
        <v>shell 6 occupancy 10/18</v>
      </c>
      <c r="G103" t="str">
        <f>SOB_126!AA103</f>
        <v>closure</v>
      </c>
      <c r="H103" t="str">
        <f>SOB_126!J103</f>
        <v>P_102,272</v>
      </c>
      <c r="I103" t="str">
        <f>SOB_126!K103</f>
        <v>102p+170n+102e</v>
      </c>
      <c r="J103" t="str">
        <f>SOB_126!O103</f>
        <v>374u+442d+102e</v>
      </c>
      <c r="K103" t="str">
        <f>"G(P)="&amp;TEXT(SOB_126!W103,"0.000000")</f>
        <v>G(P)=946.289062</v>
      </c>
      <c r="L103" t="str">
        <f>"GR(P)=8G(P)="&amp;TEXT(SOB_126!X103,"0.000000")</f>
        <v>GR(P)=8G(P)=7570.3125</v>
      </c>
      <c r="M103" t="str">
        <f>"GR(P)=7G(P)+G(P)"</f>
        <v>GR(P)=7G(P)+G(P)</v>
      </c>
      <c r="N103" t="str">
        <f>SOB_126!AB103</f>
        <v>272</v>
      </c>
    </row>
    <row r="104">
      <c r="A104" t="str">
        <f>SOB_126!A104</f>
        <v>SOB103</v>
      </c>
      <c r="B104" t="str">
        <f>SOB_126!A104</f>
        <v>SOB103</v>
      </c>
      <c r="C104" t="str">
        <f>"E Z="&amp;SOB_126!B104</f>
        <v>E Z=103</v>
      </c>
      <c r="D104" t="str">
        <f>"A="&amp;SOB_126!D104</f>
        <v>A=274</v>
      </c>
      <c r="E104" t="str">
        <f>SOB_126!U104</f>
        <v>radioactive</v>
      </c>
      <c r="F104" t="str">
        <f>SOB_126!Z104</f>
        <v>shell 6 occupancy 11/18</v>
      </c>
      <c r="G104" t="str">
        <f>SOB_126!AA104</f>
        <v>closure</v>
      </c>
      <c r="H104" t="str">
        <f>SOB_126!J104</f>
        <v>P_103,274</v>
      </c>
      <c r="I104" t="str">
        <f>SOB_126!K104</f>
        <v>103p+171n+103e</v>
      </c>
      <c r="J104" t="str">
        <f>SOB_126!O104</f>
        <v>377u+445d+103e</v>
      </c>
      <c r="K104" t="str">
        <f>"G(P)="&amp;TEXT(SOB_126!W104,"0.000000")</f>
        <v>G(P)=955.55599</v>
      </c>
      <c r="L104" t="str">
        <f>"GR(P)=8G(P)="&amp;TEXT(SOB_126!X104,"0.000000")</f>
        <v>GR(P)=8G(P)=7644.447917</v>
      </c>
      <c r="M104" t="str">
        <f>"GR(P)=7G(P)+G(P)"</f>
        <v>GR(P)=7G(P)+G(P)</v>
      </c>
      <c r="N104" t="str">
        <f>SOB_126!AB104</f>
        <v>274</v>
      </c>
    </row>
    <row r="105">
      <c r="A105" t="str">
        <f>SOB_126!A105</f>
        <v>SOB104</v>
      </c>
      <c r="B105" t="str">
        <f>SOB_126!A105</f>
        <v>SOB104</v>
      </c>
      <c r="C105" t="str">
        <f>"E Z="&amp;SOB_126!B105</f>
        <v>E Z=104</v>
      </c>
      <c r="D105" t="str">
        <f>"A="&amp;SOB_126!D105</f>
        <v>A=277</v>
      </c>
      <c r="E105" t="str">
        <f>SOB_126!U105</f>
        <v>radioactive</v>
      </c>
      <c r="F105" t="str">
        <f>SOB_126!Z105</f>
        <v>shell 6 occupancy 12/18</v>
      </c>
      <c r="G105" t="str">
        <f>SOB_126!AA105</f>
        <v>closure</v>
      </c>
      <c r="H105" t="str">
        <f>SOB_126!J105</f>
        <v>P_104,277</v>
      </c>
      <c r="I105" t="str">
        <f>SOB_126!K105</f>
        <v>104p+173n+104e</v>
      </c>
      <c r="J105" t="str">
        <f>SOB_126!O105</f>
        <v>381u+450d+104e</v>
      </c>
      <c r="K105" t="str">
        <f>"G(P)="&amp;TEXT(SOB_126!W105,"0.000000")</f>
        <v>G(P)=964.838542</v>
      </c>
      <c r="L105" t="str">
        <f>"GR(P)=8G(P)="&amp;TEXT(SOB_126!X105,"0.000000")</f>
        <v>GR(P)=8G(P)=7718.708333</v>
      </c>
      <c r="M105" t="str">
        <f>"GR(P)=7G(P)+G(P)"</f>
        <v>GR(P)=7G(P)+G(P)</v>
      </c>
      <c r="N105" t="str">
        <f>SOB_126!AB105</f>
        <v>277</v>
      </c>
    </row>
    <row r="106">
      <c r="A106" t="str">
        <f>SOB_126!A106</f>
        <v>SOB105</v>
      </c>
      <c r="B106" t="str">
        <f>SOB_126!A106</f>
        <v>SOB105</v>
      </c>
      <c r="C106" t="str">
        <f>"E Z="&amp;SOB_126!B106</f>
        <v>E Z=105</v>
      </c>
      <c r="D106" t="str">
        <f>"A="&amp;SOB_126!D106</f>
        <v>A=280</v>
      </c>
      <c r="E106" t="str">
        <f>SOB_126!U106</f>
        <v>radioactive</v>
      </c>
      <c r="F106" t="str">
        <f>SOB_126!Z106</f>
        <v>shell 6 occupancy 13/18</v>
      </c>
      <c r="G106" t="str">
        <f>SOB_126!AA106</f>
        <v>closure</v>
      </c>
      <c r="H106" t="str">
        <f>SOB_126!J106</f>
        <v>P_105,280</v>
      </c>
      <c r="I106" t="str">
        <f>SOB_126!K106</f>
        <v>105p+175n+105e</v>
      </c>
      <c r="J106" t="str">
        <f>SOB_126!O106</f>
        <v>385u+455d+105e</v>
      </c>
      <c r="K106" t="str">
        <f>"G(P)="&amp;TEXT(SOB_126!W106,"0.000000")</f>
        <v>G(P)=974.121094</v>
      </c>
      <c r="L106" t="str">
        <f>"GR(P)=8G(P)="&amp;TEXT(SOB_126!X106,"0.000000")</f>
        <v>GR(P)=8G(P)=7792.96875</v>
      </c>
      <c r="M106" t="str">
        <f>"GR(P)=7G(P)+G(P)"</f>
        <v>GR(P)=7G(P)+G(P)</v>
      </c>
      <c r="N106" t="str">
        <f>SOB_126!AB106</f>
        <v>280</v>
      </c>
    </row>
    <row r="107">
      <c r="A107" t="str">
        <f>SOB_126!A107</f>
        <v>SOB106</v>
      </c>
      <c r="B107" t="str">
        <f>SOB_126!A107</f>
        <v>SOB106</v>
      </c>
      <c r="C107" t="str">
        <f>"E Z="&amp;SOB_126!B107</f>
        <v>E Z=106</v>
      </c>
      <c r="D107" t="str">
        <f>"A="&amp;SOB_126!D107</f>
        <v>A=282</v>
      </c>
      <c r="E107" t="str">
        <f>SOB_126!U107</f>
        <v>radioactive</v>
      </c>
      <c r="F107" t="str">
        <f>SOB_126!Z107</f>
        <v>shell 6 occupancy 14/18</v>
      </c>
      <c r="G107" t="str">
        <f>SOB_126!AA107</f>
        <v>closure</v>
      </c>
      <c r="H107" t="str">
        <f>SOB_126!J107</f>
        <v>P_106,282</v>
      </c>
      <c r="I107" t="str">
        <f>SOB_126!K107</f>
        <v>106p+176n+106e</v>
      </c>
      <c r="J107" t="str">
        <f>SOB_126!O107</f>
        <v>388u+458d+106e</v>
      </c>
      <c r="K107" t="str">
        <f>"G(P)="&amp;TEXT(SOB_126!W107,"0.000000")</f>
        <v>G(P)=983.388021</v>
      </c>
      <c r="L107" t="str">
        <f>"GR(P)=8G(P)="&amp;TEXT(SOB_126!X107,"0.000000")</f>
        <v>GR(P)=8G(P)=7867.104167</v>
      </c>
      <c r="M107" t="str">
        <f>"GR(P)=7G(P)+G(P)"</f>
        <v>GR(P)=7G(P)+G(P)</v>
      </c>
      <c r="N107" t="str">
        <f>SOB_126!AB107</f>
        <v>282</v>
      </c>
    </row>
    <row r="108">
      <c r="A108" t="str">
        <f>SOB_126!A108</f>
        <v>SOB107</v>
      </c>
      <c r="B108" t="str">
        <f>SOB_126!A108</f>
        <v>SOB107</v>
      </c>
      <c r="C108" t="str">
        <f>"E Z="&amp;SOB_126!B108</f>
        <v>E Z=107</v>
      </c>
      <c r="D108" t="str">
        <f>"A="&amp;SOB_126!D108</f>
        <v>A=285</v>
      </c>
      <c r="E108" t="str">
        <f>SOB_126!U108</f>
        <v>radioactive</v>
      </c>
      <c r="F108" t="str">
        <f>SOB_126!Z108</f>
        <v>shell 6 occupancy 15/18</v>
      </c>
      <c r="G108" t="str">
        <f>SOB_126!AA108</f>
        <v>closure</v>
      </c>
      <c r="H108" t="str">
        <f>SOB_126!J108</f>
        <v>P_107,285</v>
      </c>
      <c r="I108" t="str">
        <f>SOB_126!K108</f>
        <v>107p+178n+107e</v>
      </c>
      <c r="J108" t="str">
        <f>SOB_126!O108</f>
        <v>392u+463d+107e</v>
      </c>
      <c r="K108" t="str">
        <f>"G(P)="&amp;TEXT(SOB_126!W108,"0.000000")</f>
        <v>G(P)=992.670573</v>
      </c>
      <c r="L108" t="str">
        <f>"GR(P)=8G(P)="&amp;TEXT(SOB_126!X108,"0.000000")</f>
        <v>GR(P)=8G(P)=7941.364583</v>
      </c>
      <c r="M108" t="str">
        <f>"GR(P)=7G(P)+G(P)"</f>
        <v>GR(P)=7G(P)+G(P)</v>
      </c>
      <c r="N108" t="str">
        <f>SOB_126!AB108</f>
        <v>285</v>
      </c>
    </row>
    <row r="109">
      <c r="A109" t="str">
        <f>SOB_126!A109</f>
        <v>SOB108</v>
      </c>
      <c r="B109" t="str">
        <f>SOB_126!A109</f>
        <v>SOB108</v>
      </c>
      <c r="C109" t="str">
        <f>"E Z="&amp;SOB_126!B109</f>
        <v>E Z=108</v>
      </c>
      <c r="D109" t="str">
        <f>"A="&amp;SOB_126!D109</f>
        <v>A=288</v>
      </c>
      <c r="E109" t="str">
        <f>SOB_126!U109</f>
        <v>radioactive</v>
      </c>
      <c r="F109" t="str">
        <f>SOB_126!Z109</f>
        <v>shell 6 occupancy 16/18</v>
      </c>
      <c r="G109" t="str">
        <f>SOB_126!AA109</f>
        <v>closure</v>
      </c>
      <c r="H109" t="str">
        <f>SOB_126!J109</f>
        <v>P_108,288</v>
      </c>
      <c r="I109" t="str">
        <f>SOB_126!K109</f>
        <v>108p+180n+108e</v>
      </c>
      <c r="J109" t="str">
        <f>SOB_126!O109</f>
        <v>396u+468d+108e</v>
      </c>
      <c r="K109" t="str">
        <f>"G(P)="&amp;TEXT(SOB_126!W109,"0.000000")</f>
        <v>G(P)=1001.953125</v>
      </c>
      <c r="L109" t="str">
        <f>"GR(P)=8G(P)="&amp;TEXT(SOB_126!X109,"0.000000")</f>
        <v>GR(P)=8G(P)=8015.625</v>
      </c>
      <c r="M109" t="str">
        <f>"GR(P)=7G(P)+G(P)"</f>
        <v>GR(P)=7G(P)+G(P)</v>
      </c>
      <c r="N109" t="str">
        <f>SOB_126!AB109</f>
        <v>288</v>
      </c>
    </row>
    <row r="110">
      <c r="A110" t="str">
        <f>SOB_126!A110</f>
        <v>SOB109</v>
      </c>
      <c r="B110" t="str">
        <f>SOB_126!A110</f>
        <v>SOB109</v>
      </c>
      <c r="C110" t="str">
        <f>"E Z="&amp;SOB_126!B110</f>
        <v>E Z=109</v>
      </c>
      <c r="D110" t="str">
        <f>"A="&amp;SOB_126!D110</f>
        <v>A=299</v>
      </c>
      <c r="E110" t="str">
        <f>SOB_126!U110</f>
        <v>radioactive</v>
      </c>
      <c r="F110" t="str">
        <f>SOB_126!Z110</f>
        <v>shell 6 occupancy 17/18</v>
      </c>
      <c r="G110" t="str">
        <f>SOB_126!AA110</f>
        <v>closure</v>
      </c>
      <c r="H110" t="str">
        <f>SOB_126!J110</f>
        <v>P_109,299</v>
      </c>
      <c r="I110" t="str">
        <f>SOB_126!K110</f>
        <v>109p+190n+109e</v>
      </c>
      <c r="J110" t="str">
        <f>SOB_126!O110</f>
        <v>408u+489d+109e</v>
      </c>
      <c r="K110" t="str">
        <f>"G(P)="&amp;TEXT(SOB_126!W110,"0.000000")</f>
        <v>G(P)=1011.360677</v>
      </c>
      <c r="L110" t="str">
        <f>"GR(P)=8G(P)="&amp;TEXT(SOB_126!X110,"0.000000")</f>
        <v>GR(P)=8G(P)=8090.885417</v>
      </c>
      <c r="M110" t="str">
        <f>"GR(P)=7G(P)+G(P)"</f>
        <v>GR(P)=7G(P)+G(P)</v>
      </c>
      <c r="N110" t="str">
        <f>SOB_126!AB110</f>
        <v>299</v>
      </c>
    </row>
    <row r="111">
      <c r="A111" t="str">
        <f>SOB_126!A111</f>
        <v>SOB110</v>
      </c>
      <c r="B111" t="str">
        <f>SOB_126!A111</f>
        <v>SOB110</v>
      </c>
      <c r="C111" t="str">
        <f>"E Z="&amp;SOB_126!B111</f>
        <v>E Z=110</v>
      </c>
      <c r="D111" t="str">
        <f>"A="&amp;SOB_126!D111</f>
        <v>A=302</v>
      </c>
      <c r="E111" t="str">
        <f>SOB_126!U111</f>
        <v>radioactive</v>
      </c>
      <c r="F111" t="str">
        <f>SOB_126!Z111</f>
        <v>shell 6 occupancy 18/18</v>
      </c>
      <c r="G111" t="str">
        <f>SOB_126!AA111</f>
        <v>closure</v>
      </c>
      <c r="H111" t="str">
        <f>SOB_126!J111</f>
        <v>P_110,302</v>
      </c>
      <c r="I111" t="str">
        <f>SOB_126!K111</f>
        <v>110p+192n+110e</v>
      </c>
      <c r="J111" t="str">
        <f>SOB_126!O111</f>
        <v>412u+494d+110e</v>
      </c>
      <c r="K111" t="str">
        <f>"G(P)="&amp;TEXT(SOB_126!W111,"0.000000")</f>
        <v>G(P)=1020.643229</v>
      </c>
      <c r="L111" t="str">
        <f>"GR(P)=8G(P)="&amp;TEXT(SOB_126!X111,"0.000000")</f>
        <v>GR(P)=8G(P)=8165.145833</v>
      </c>
      <c r="M111" t="str">
        <f>"GR(P)=7G(P)+G(P)"</f>
        <v>GR(P)=7G(P)+G(P)</v>
      </c>
      <c r="N111" t="str">
        <f>SOB_126!AB111</f>
        <v>302</v>
      </c>
    </row>
    <row r="112">
      <c r="A112" t="str">
        <f>SOB_126!A112</f>
        <v>SOB111</v>
      </c>
      <c r="B112" t="str">
        <f>SOB_126!A112</f>
        <v>SOB111</v>
      </c>
      <c r="C112" t="str">
        <f>"E Z="&amp;SOB_126!B112</f>
        <v>E Z=111</v>
      </c>
      <c r="D112" t="str">
        <f>"A="&amp;SOB_126!D112</f>
        <v>A=305</v>
      </c>
      <c r="E112" t="str">
        <f>SOB_126!U112</f>
        <v>radioactive</v>
      </c>
      <c r="F112" t="str">
        <f>SOB_126!Z112</f>
        <v>shell 7 occupancy 1/8</v>
      </c>
      <c r="G112" t="str">
        <f>SOB_126!AA112</f>
        <v>closure</v>
      </c>
      <c r="H112" t="str">
        <f>SOB_126!J112</f>
        <v>P_111,305</v>
      </c>
      <c r="I112" t="str">
        <f>SOB_126!K112</f>
        <v>111p+194n+111e</v>
      </c>
      <c r="J112" t="str">
        <f>SOB_126!O112</f>
        <v>416u+499d+111e</v>
      </c>
      <c r="K112" t="str">
        <f>"G(P)="&amp;TEXT(SOB_126!W112,"0.000000")</f>
        <v>G(P)=1029.925781</v>
      </c>
      <c r="L112" t="str">
        <f>"GR(P)=8G(P)="&amp;TEXT(SOB_126!X112,"0.000000")</f>
        <v>GR(P)=8G(P)=8239.40625</v>
      </c>
      <c r="M112" t="str">
        <f>"GR(P)=7G(P)+G(P)"</f>
        <v>GR(P)=7G(P)+G(P)</v>
      </c>
      <c r="N112" t="str">
        <f>SOB_126!AB112</f>
        <v>305</v>
      </c>
    </row>
    <row r="113">
      <c r="A113" t="str">
        <f>SOB_126!A113</f>
        <v>SOB112</v>
      </c>
      <c r="B113" t="str">
        <f>SOB_126!A113</f>
        <v>SOB112</v>
      </c>
      <c r="C113" t="str">
        <f>"E Z="&amp;SOB_126!B113</f>
        <v>E Z=112</v>
      </c>
      <c r="D113" t="str">
        <f>"A="&amp;SOB_126!D113</f>
        <v>A=308</v>
      </c>
      <c r="E113" t="str">
        <f>SOB_126!U113</f>
        <v>radioactive</v>
      </c>
      <c r="F113" t="str">
        <f>SOB_126!Z113</f>
        <v>shell 7 occupancy 2/8</v>
      </c>
      <c r="G113" t="str">
        <f>SOB_126!AA113</f>
        <v>closure</v>
      </c>
      <c r="H113" t="str">
        <f>SOB_126!J113</f>
        <v>P_112,308</v>
      </c>
      <c r="I113" t="str">
        <f>SOB_126!K113</f>
        <v>112p+196n+112e</v>
      </c>
      <c r="J113" t="str">
        <f>SOB_126!O113</f>
        <v>420u+504d+112e</v>
      </c>
      <c r="K113" t="str">
        <f>"G(P)="&amp;TEXT(SOB_126!W113,"0.000000")</f>
        <v>G(P)=1039.208333</v>
      </c>
      <c r="L113" t="str">
        <f>"GR(P)=8G(P)="&amp;TEXT(SOB_126!X113,"0.000000")</f>
        <v>GR(P)=8G(P)=8313.666667</v>
      </c>
      <c r="M113" t="str">
        <f>"GR(P)=7G(P)+G(P)"</f>
        <v>GR(P)=7G(P)+G(P)</v>
      </c>
      <c r="N113" t="str">
        <f>SOB_126!AB113</f>
        <v>308</v>
      </c>
    </row>
    <row r="114">
      <c r="A114" t="str">
        <f>SOB_126!A114</f>
        <v>SOB113</v>
      </c>
      <c r="B114" t="str">
        <f>SOB_126!A114</f>
        <v>SOB113</v>
      </c>
      <c r="C114" t="str">
        <f>"E Z="&amp;SOB_126!B114</f>
        <v>E Z=113</v>
      </c>
      <c r="D114" t="str">
        <f>"A="&amp;SOB_126!D114</f>
        <v>A=310</v>
      </c>
      <c r="E114" t="str">
        <f>SOB_126!U114</f>
        <v>radioactive</v>
      </c>
      <c r="F114" t="str">
        <f>SOB_126!Z114</f>
        <v>shell 7 occupancy 3/8</v>
      </c>
      <c r="G114" t="str">
        <f>SOB_126!AA114</f>
        <v>closure</v>
      </c>
      <c r="H114" t="str">
        <f>SOB_126!J114</f>
        <v>P_113,310</v>
      </c>
      <c r="I114" t="str">
        <f>SOB_126!K114</f>
        <v>113p+197n+113e</v>
      </c>
      <c r="J114" t="str">
        <f>SOB_126!O114</f>
        <v>423u+507d+113e</v>
      </c>
      <c r="K114" t="str">
        <f>"G(P)="&amp;TEXT(SOB_126!W114,"0.000000")</f>
        <v>G(P)=1048.47526</v>
      </c>
      <c r="L114" t="str">
        <f>"GR(P)=8G(P)="&amp;TEXT(SOB_126!X114,"0.000000")</f>
        <v>GR(P)=8G(P)=8387.802083</v>
      </c>
      <c r="M114" t="str">
        <f>"GR(P)=7G(P)+G(P)"</f>
        <v>GR(P)=7G(P)+G(P)</v>
      </c>
      <c r="N114" t="str">
        <f>SOB_126!AB114</f>
        <v>310</v>
      </c>
    </row>
    <row r="115">
      <c r="A115" t="str">
        <f>SOB_126!A115</f>
        <v>SOB114</v>
      </c>
      <c r="B115" t="str">
        <f>SOB_126!A115</f>
        <v>SOB114</v>
      </c>
      <c r="C115" t="str">
        <f>"E Z="&amp;SOB_126!B115</f>
        <v>E Z=114</v>
      </c>
      <c r="D115" t="str">
        <f>"A="&amp;SOB_126!D115</f>
        <v>A=313</v>
      </c>
      <c r="E115" t="str">
        <f>SOB_126!U115</f>
        <v>radioactive</v>
      </c>
      <c r="F115" t="str">
        <f>SOB_126!Z115</f>
        <v>shell 7 occupancy 4/8</v>
      </c>
      <c r="G115" t="str">
        <f>SOB_126!AA115</f>
        <v>closure</v>
      </c>
      <c r="H115" t="str">
        <f>SOB_126!J115</f>
        <v>P_114,313</v>
      </c>
      <c r="I115" t="str">
        <f>SOB_126!K115</f>
        <v>114p+199n+114e</v>
      </c>
      <c r="J115" t="str">
        <f>SOB_126!O115</f>
        <v>427u+512d+114e</v>
      </c>
      <c r="K115" t="str">
        <f>"G(P)="&amp;TEXT(SOB_126!W115,"0.000000")</f>
        <v>G(P)=1057.757812</v>
      </c>
      <c r="L115" t="str">
        <f>"GR(P)=8G(P)="&amp;TEXT(SOB_126!X115,"0.000000")</f>
        <v>GR(P)=8G(P)=8462.0625</v>
      </c>
      <c r="M115" t="str">
        <f>"GR(P)=7G(P)+G(P)"</f>
        <v>GR(P)=7G(P)+G(P)</v>
      </c>
      <c r="N115" t="str">
        <f>SOB_126!AB115</f>
        <v>313</v>
      </c>
    </row>
    <row r="116">
      <c r="A116" t="str">
        <f>SOB_126!A116</f>
        <v>SOB115</v>
      </c>
      <c r="B116" t="str">
        <f>SOB_126!A116</f>
        <v>SOB115</v>
      </c>
      <c r="C116" t="str">
        <f>"E Z="&amp;SOB_126!B116</f>
        <v>E Z=115</v>
      </c>
      <c r="D116" t="str">
        <f>"A="&amp;SOB_126!D116</f>
        <v>A=316</v>
      </c>
      <c r="E116" t="str">
        <f>SOB_126!U116</f>
        <v>radioactive</v>
      </c>
      <c r="F116" t="str">
        <f>SOB_126!Z116</f>
        <v>shell 7 occupancy 5/8</v>
      </c>
      <c r="G116" t="str">
        <f>SOB_126!AA116</f>
        <v>closure</v>
      </c>
      <c r="H116" t="str">
        <f>SOB_126!J116</f>
        <v>P_115,316</v>
      </c>
      <c r="I116" t="str">
        <f>SOB_126!K116</f>
        <v>115p+201n+115e</v>
      </c>
      <c r="J116" t="str">
        <f>SOB_126!O116</f>
        <v>431u+517d+115e</v>
      </c>
      <c r="K116" t="str">
        <f>"G(P)="&amp;TEXT(SOB_126!W116,"0.000000")</f>
        <v>G(P)=1067.040365</v>
      </c>
      <c r="L116" t="str">
        <f>"GR(P)=8G(P)="&amp;TEXT(SOB_126!X116,"0.000000")</f>
        <v>GR(P)=8G(P)=8536.322917</v>
      </c>
      <c r="M116" t="str">
        <f>"GR(P)=7G(P)+G(P)"</f>
        <v>GR(P)=7G(P)+G(P)</v>
      </c>
      <c r="N116" t="str">
        <f>SOB_126!AB116</f>
        <v>316</v>
      </c>
    </row>
    <row r="117">
      <c r="A117" t="str">
        <f>SOB_126!A117</f>
        <v>SOB116</v>
      </c>
      <c r="B117" t="str">
        <f>SOB_126!A117</f>
        <v>SOB116</v>
      </c>
      <c r="C117" t="str">
        <f>"E Z="&amp;SOB_126!B117</f>
        <v>E Z=116</v>
      </c>
      <c r="D117" t="str">
        <f>"A="&amp;SOB_126!D117</f>
        <v>A=319</v>
      </c>
      <c r="E117" t="str">
        <f>SOB_126!U117</f>
        <v>radioactive</v>
      </c>
      <c r="F117" t="str">
        <f>SOB_126!Z117</f>
        <v>shell 7 occupancy 6/8</v>
      </c>
      <c r="G117" t="str">
        <f>SOB_126!AA117</f>
        <v>closure</v>
      </c>
      <c r="H117" t="str">
        <f>SOB_126!J117</f>
        <v>P_116,319</v>
      </c>
      <c r="I117" t="str">
        <f>SOB_126!K117</f>
        <v>116p+203n+116e</v>
      </c>
      <c r="J117" t="str">
        <f>SOB_126!O117</f>
        <v>435u+522d+116e</v>
      </c>
      <c r="K117" t="str">
        <f>"G(P)="&amp;TEXT(SOB_126!W117,"0.000000")</f>
        <v>G(P)=1076.322917</v>
      </c>
      <c r="L117" t="str">
        <f>"GR(P)=8G(P)="&amp;TEXT(SOB_126!X117,"0.000000")</f>
        <v>GR(P)=8G(P)=8610.583333</v>
      </c>
      <c r="M117" t="str">
        <f>"GR(P)=7G(P)+G(P)"</f>
        <v>GR(P)=7G(P)+G(P)</v>
      </c>
      <c r="N117" t="str">
        <f>SOB_126!AB117</f>
        <v>319</v>
      </c>
    </row>
    <row r="118">
      <c r="A118" t="str">
        <f>SOB_126!A118</f>
        <v>SOB117</v>
      </c>
      <c r="B118" t="str">
        <f>SOB_126!A118</f>
        <v>SOB117</v>
      </c>
      <c r="C118" t="str">
        <f>"E Z="&amp;SOB_126!B118</f>
        <v>E Z=117</v>
      </c>
      <c r="D118" t="str">
        <f>"A="&amp;SOB_126!D118</f>
        <v>A=321</v>
      </c>
      <c r="E118" t="str">
        <f>SOB_126!U118</f>
        <v>radioactive</v>
      </c>
      <c r="F118" t="str">
        <f>SOB_126!Z118</f>
        <v>shell 7 occupancy 7/8</v>
      </c>
      <c r="G118" t="str">
        <f>SOB_126!AA118</f>
        <v>closure</v>
      </c>
      <c r="H118" t="str">
        <f>SOB_126!J118</f>
        <v>P_117,321</v>
      </c>
      <c r="I118" t="str">
        <f>SOB_126!K118</f>
        <v>117p+204n+117e</v>
      </c>
      <c r="J118" t="str">
        <f>SOB_126!O118</f>
        <v>438u+525d+117e</v>
      </c>
      <c r="K118" t="str">
        <f>"G(P)="&amp;TEXT(SOB_126!W118,"0.000000")</f>
        <v>G(P)=1085.589844</v>
      </c>
      <c r="L118" t="str">
        <f>"GR(P)=8G(P)="&amp;TEXT(SOB_126!X118,"0.000000")</f>
        <v>GR(P)=8G(P)=8684.71875</v>
      </c>
      <c r="M118" t="str">
        <f>"GR(P)=7G(P)+G(P)"</f>
        <v>GR(P)=7G(P)+G(P)</v>
      </c>
      <c r="N118" t="str">
        <f>SOB_126!AB118</f>
        <v>321</v>
      </c>
    </row>
    <row r="119">
      <c r="A119" t="str">
        <f>SOB_126!A119</f>
        <v>SOB118</v>
      </c>
      <c r="B119" t="str">
        <f>SOB_126!A119</f>
        <v>SOB118</v>
      </c>
      <c r="C119" t="str">
        <f>"E Z="&amp;SOB_126!B119</f>
        <v>E Z=118</v>
      </c>
      <c r="D119" t="str">
        <f>"A="&amp;SOB_126!D119</f>
        <v>A=324</v>
      </c>
      <c r="E119" t="str">
        <f>SOB_126!U119</f>
        <v>radioactive</v>
      </c>
      <c r="F119" t="str">
        <f>SOB_126!Z119</f>
        <v>shell 7 occupancy 8/8</v>
      </c>
      <c r="G119" t="str">
        <f>SOB_126!AA119</f>
        <v>closure</v>
      </c>
      <c r="H119" t="str">
        <f>SOB_126!J119</f>
        <v>P_118,324</v>
      </c>
      <c r="I119" t="str">
        <f>SOB_126!K119</f>
        <v>118p+206n+118e</v>
      </c>
      <c r="J119" t="str">
        <f>SOB_126!O119</f>
        <v>442u+530d+118e</v>
      </c>
      <c r="K119" t="str">
        <f>"G(P)="&amp;TEXT(SOB_126!W119,"0.000000")</f>
        <v>G(P)=1094.872396</v>
      </c>
      <c r="L119" t="str">
        <f>"GR(P)=8G(P)="&amp;TEXT(SOB_126!X119,"0.000000")</f>
        <v>GR(P)=8G(P)=8758.979167</v>
      </c>
      <c r="M119" t="str">
        <f>"GR(P)=7G(P)+G(P)"</f>
        <v>GR(P)=7G(P)+G(P)</v>
      </c>
      <c r="N119" t="str">
        <f>SOB_126!AB119</f>
        <v>324</v>
      </c>
    </row>
    <row r="120">
      <c r="A120" t="str">
        <f>SOB_126!A120</f>
        <v>SOB119</v>
      </c>
      <c r="B120" t="str">
        <f>SOB_126!A120</f>
        <v>SOB119</v>
      </c>
      <c r="C120" t="str">
        <f>"E Z="&amp;SOB_126!B120</f>
        <v>E Z=119</v>
      </c>
      <c r="D120" t="str">
        <f>"A="&amp;SOB_126!D120</f>
        <v>A=327</v>
      </c>
      <c r="E120" t="str">
        <f>SOB_126!U120</f>
        <v>frontier</v>
      </c>
      <c r="F120" t="str">
        <f>SOB_126!Z120</f>
        <v>shell 8 occupancy 1/8</v>
      </c>
      <c r="G120" t="str">
        <f>SOB_126!AA120</f>
        <v>closure</v>
      </c>
      <c r="H120" t="str">
        <f>SOB_126!J120</f>
        <v>P_119,327</v>
      </c>
      <c r="I120" t="str">
        <f>SOB_126!K120</f>
        <v>119p+208n+119e</v>
      </c>
      <c r="J120" t="str">
        <f>SOB_126!O120</f>
        <v>446u+535d+119e</v>
      </c>
      <c r="K120" t="str">
        <f>"G(P)="&amp;TEXT(SOB_126!W120,"0.000000")</f>
        <v>G(P)=1104.154948</v>
      </c>
      <c r="L120" t="str">
        <f>"GR(P)=8G(P)="&amp;TEXT(SOB_126!X120,"0.000000")</f>
        <v>GR(P)=8G(P)=8833.239583</v>
      </c>
      <c r="M120" t="str">
        <f>"GR(P)=7G(P)+G(P)"</f>
        <v>GR(P)=7G(P)+G(P)</v>
      </c>
      <c r="N120" t="str">
        <f>SOB_126!AB120</f>
        <v>327</v>
      </c>
    </row>
    <row r="121">
      <c r="A121" t="str">
        <f>SOB_126!A121</f>
        <v>SOB120</v>
      </c>
      <c r="B121" t="str">
        <f>SOB_126!A121</f>
        <v>SOB120</v>
      </c>
      <c r="C121" t="str">
        <f>"E Z="&amp;SOB_126!B121</f>
        <v>E Z=120</v>
      </c>
      <c r="D121" t="str">
        <f>"A="&amp;SOB_126!D121</f>
        <v>A=330</v>
      </c>
      <c r="E121" t="str">
        <f>SOB_126!U121</f>
        <v>frontier</v>
      </c>
      <c r="F121" t="str">
        <f>SOB_126!Z121</f>
        <v>shell 8 occupancy 2/8</v>
      </c>
      <c r="G121" t="str">
        <f>SOB_126!AA121</f>
        <v>closure</v>
      </c>
      <c r="H121" t="str">
        <f>SOB_126!J121</f>
        <v>P_120,330</v>
      </c>
      <c r="I121" t="str">
        <f>SOB_126!K121</f>
        <v>120p+210n+120e</v>
      </c>
      <c r="J121" t="str">
        <f>SOB_126!O121</f>
        <v>450u+540d+120e</v>
      </c>
      <c r="K121" t="str">
        <f>"G(P)="&amp;TEXT(SOB_126!W121,"0.000000")</f>
        <v>G(P)=1113.4375</v>
      </c>
      <c r="L121" t="str">
        <f>"GR(P)=8G(P)="&amp;TEXT(SOB_126!X121,"0.000000")</f>
        <v>GR(P)=8G(P)=8907.5</v>
      </c>
      <c r="M121" t="str">
        <f>"GR(P)=7G(P)+G(P)"</f>
        <v>GR(P)=7G(P)+G(P)</v>
      </c>
      <c r="N121" t="str">
        <f>SOB_126!AB121</f>
        <v>330</v>
      </c>
    </row>
    <row r="122">
      <c r="A122" t="str">
        <f>SOB_126!A122</f>
        <v>SOB121</v>
      </c>
      <c r="B122" t="str">
        <f>SOB_126!A122</f>
        <v>SOB121</v>
      </c>
      <c r="C122" t="str">
        <f>"E Z="&amp;SOB_126!B122</f>
        <v>E Z=121</v>
      </c>
      <c r="D122" t="str">
        <f>"A="&amp;SOB_126!D122</f>
        <v>A=342</v>
      </c>
      <c r="E122" t="str">
        <f>SOB_126!U122</f>
        <v>frontier</v>
      </c>
      <c r="F122" t="str">
        <f>SOB_126!Z122</f>
        <v>shell 8 occupancy 3/8</v>
      </c>
      <c r="G122" t="str">
        <f>SOB_126!AA122</f>
        <v>closure</v>
      </c>
      <c r="H122" t="str">
        <f>SOB_126!J122</f>
        <v>P_121,342</v>
      </c>
      <c r="I122" t="str">
        <f>SOB_126!K122</f>
        <v>121p+221n+121e</v>
      </c>
      <c r="J122" t="str">
        <f>SOB_126!O122</f>
        <v>463u+563d+121e</v>
      </c>
      <c r="K122" t="str">
        <f>"G(P)="&amp;TEXT(SOB_126!W122,"0.000000")</f>
        <v>G(P)=1122.860677</v>
      </c>
      <c r="L122" t="str">
        <f>"GR(P)=8G(P)="&amp;TEXT(SOB_126!X122,"0.000000")</f>
        <v>GR(P)=8G(P)=8982.885417</v>
      </c>
      <c r="M122" t="str">
        <f>"GR(P)=7G(P)+G(P)"</f>
        <v>GR(P)=7G(P)+G(P)</v>
      </c>
      <c r="N122" t="str">
        <f>SOB_126!AB122</f>
        <v>342</v>
      </c>
    </row>
    <row r="123">
      <c r="A123" t="str">
        <f>SOB_126!A123</f>
        <v>SOB122</v>
      </c>
      <c r="B123" t="str">
        <f>SOB_126!A123</f>
        <v>SOB122</v>
      </c>
      <c r="C123" t="str">
        <f>"E Z="&amp;SOB_126!B123</f>
        <v>E Z=122</v>
      </c>
      <c r="D123" t="str">
        <f>"A="&amp;SOB_126!D123</f>
        <v>A=345</v>
      </c>
      <c r="E123" t="str">
        <f>SOB_126!U123</f>
        <v>frontier</v>
      </c>
      <c r="F123" t="str">
        <f>SOB_126!Z123</f>
        <v>shell 8 occupancy 4/8</v>
      </c>
      <c r="G123" t="str">
        <f>SOB_126!AA123</f>
        <v>closure</v>
      </c>
      <c r="H123" t="str">
        <f>SOB_126!J123</f>
        <v>P_122,345</v>
      </c>
      <c r="I123" t="str">
        <f>SOB_126!K123</f>
        <v>122p+223n+122e</v>
      </c>
      <c r="J123" t="str">
        <f>SOB_126!O123</f>
        <v>467u+568d+122e</v>
      </c>
      <c r="K123" t="str">
        <f>"G(P)="&amp;TEXT(SOB_126!W123,"0.000000")</f>
        <v>G(P)=1132.143229</v>
      </c>
      <c r="L123" t="str">
        <f>"GR(P)=8G(P)="&amp;TEXT(SOB_126!X123,"0.000000")</f>
        <v>GR(P)=8G(P)=9057.145833</v>
      </c>
      <c r="M123" t="str">
        <f>"GR(P)=7G(P)+G(P)"</f>
        <v>GR(P)=7G(P)+G(P)</v>
      </c>
      <c r="N123" t="str">
        <f>SOB_126!AB123</f>
        <v>345</v>
      </c>
    </row>
    <row r="124">
      <c r="A124" t="str">
        <f>SOB_126!A124</f>
        <v>SOB123</v>
      </c>
      <c r="B124" t="str">
        <f>SOB_126!A124</f>
        <v>SOB123</v>
      </c>
      <c r="C124" t="str">
        <f>"E Z="&amp;SOB_126!B124</f>
        <v>E Z=123</v>
      </c>
      <c r="D124" t="str">
        <f>"A="&amp;SOB_126!D124</f>
        <v>A=348</v>
      </c>
      <c r="E124" t="str">
        <f>SOB_126!U124</f>
        <v>frontier</v>
      </c>
      <c r="F124" t="str">
        <f>SOB_126!Z124</f>
        <v>shell 8 occupancy 5/8</v>
      </c>
      <c r="G124" t="str">
        <f>SOB_126!AA124</f>
        <v>closure</v>
      </c>
      <c r="H124" t="str">
        <f>SOB_126!J124</f>
        <v>P_123,348</v>
      </c>
      <c r="I124" t="str">
        <f>SOB_126!K124</f>
        <v>123p+225n+123e</v>
      </c>
      <c r="J124" t="str">
        <f>SOB_126!O124</f>
        <v>471u+573d+123e</v>
      </c>
      <c r="K124" t="str">
        <f>"G(P)="&amp;TEXT(SOB_126!W124,"0.000000")</f>
        <v>G(P)=1141.425781</v>
      </c>
      <c r="L124" t="str">
        <f>"GR(P)=8G(P)="&amp;TEXT(SOB_126!X124,"0.000000")</f>
        <v>GR(P)=8G(P)=9131.40625</v>
      </c>
      <c r="M124" t="str">
        <f>"GR(P)=7G(P)+G(P)"</f>
        <v>GR(P)=7G(P)+G(P)</v>
      </c>
      <c r="N124" t="str">
        <f>SOB_126!AB124</f>
        <v>348</v>
      </c>
    </row>
    <row r="125">
      <c r="A125" t="str">
        <f>SOB_126!A125</f>
        <v>SOB124</v>
      </c>
      <c r="B125" t="str">
        <f>SOB_126!A125</f>
        <v>SOB124</v>
      </c>
      <c r="C125" t="str">
        <f>"E Z="&amp;SOB_126!B125</f>
        <v>E Z=124</v>
      </c>
      <c r="D125" t="str">
        <f>"A="&amp;SOB_126!D125</f>
        <v>A=351</v>
      </c>
      <c r="E125" t="str">
        <f>SOB_126!U125</f>
        <v>frontier</v>
      </c>
      <c r="F125" t="str">
        <f>SOB_126!Z125</f>
        <v>shell 8 occupancy 6/8</v>
      </c>
      <c r="G125" t="str">
        <f>SOB_126!AA125</f>
        <v>closure</v>
      </c>
      <c r="H125" t="str">
        <f>SOB_126!J125</f>
        <v>P_124,351</v>
      </c>
      <c r="I125" t="str">
        <f>SOB_126!K125</f>
        <v>124p+227n+124e</v>
      </c>
      <c r="J125" t="str">
        <f>SOB_126!O125</f>
        <v>475u+578d+124e</v>
      </c>
      <c r="K125" t="str">
        <f>"G(P)="&amp;TEXT(SOB_126!W125,"0.000000")</f>
        <v>G(P)=1150.708333</v>
      </c>
      <c r="L125" t="str">
        <f>"GR(P)=8G(P)="&amp;TEXT(SOB_126!X125,"0.000000")</f>
        <v>GR(P)=8G(P)=9205.666667</v>
      </c>
      <c r="M125" t="str">
        <f>"GR(P)=7G(P)+G(P)"</f>
        <v>GR(P)=7G(P)+G(P)</v>
      </c>
      <c r="N125" t="str">
        <f>SOB_126!AB125</f>
        <v>351</v>
      </c>
    </row>
    <row r="126">
      <c r="A126" t="str">
        <f>SOB_126!A126</f>
        <v>SOB125</v>
      </c>
      <c r="B126" t="str">
        <f>SOB_126!A126</f>
        <v>SOB125</v>
      </c>
      <c r="C126" t="str">
        <f>"E Z="&amp;SOB_126!B126</f>
        <v>E Z=125</v>
      </c>
      <c r="D126" t="str">
        <f>"A="&amp;SOB_126!D126</f>
        <v>A=354</v>
      </c>
      <c r="E126" t="str">
        <f>SOB_126!U126</f>
        <v>frontier</v>
      </c>
      <c r="F126" t="str">
        <f>SOB_126!Z126</f>
        <v>shell 8 occupancy 7/8</v>
      </c>
      <c r="G126" t="str">
        <f>SOB_126!AA126</f>
        <v>closure</v>
      </c>
      <c r="H126" t="str">
        <f>SOB_126!J126</f>
        <v>P_125,354</v>
      </c>
      <c r="I126" t="str">
        <f>SOB_126!K126</f>
        <v>125p+229n+125e</v>
      </c>
      <c r="J126" t="str">
        <f>SOB_126!O126</f>
        <v>479u+583d+125e</v>
      </c>
      <c r="K126" t="str">
        <f>"G(P)="&amp;TEXT(SOB_126!W126,"0.000000")</f>
        <v>G(P)=1159.990885</v>
      </c>
      <c r="L126" t="str">
        <f>"GR(P)=8G(P)="&amp;TEXT(SOB_126!X126,"0.000000")</f>
        <v>GR(P)=8G(P)=9279.927083</v>
      </c>
      <c r="M126" t="str">
        <f>"GR(P)=7G(P)+G(P)"</f>
        <v>GR(P)=7G(P)+G(P)</v>
      </c>
      <c r="N126" t="str">
        <f>SOB_126!AB126</f>
        <v>354</v>
      </c>
    </row>
    <row r="127">
      <c r="A127" t="str">
        <f>SOB_126!A127</f>
        <v>SOB126</v>
      </c>
      <c r="B127" t="str">
        <f>SOB_126!A127</f>
        <v>SOB126</v>
      </c>
      <c r="C127" t="str">
        <f>"E Z="&amp;SOB_126!B127</f>
        <v>E Z=126</v>
      </c>
      <c r="D127" t="str">
        <f>"A="&amp;SOB_126!D127</f>
        <v>A=357</v>
      </c>
      <c r="E127" t="str">
        <f>SOB_126!U127</f>
        <v>frontier</v>
      </c>
      <c r="F127" t="str">
        <f>SOB_126!Z127</f>
        <v>shell 8 occupancy 8/8</v>
      </c>
      <c r="G127" t="str">
        <f>SOB_126!AA127</f>
        <v>closure</v>
      </c>
      <c r="H127" t="str">
        <f>SOB_126!J127</f>
        <v>P_126,357</v>
      </c>
      <c r="I127" t="str">
        <f>SOB_126!K127</f>
        <v>126p+231n+126e</v>
      </c>
      <c r="J127" t="str">
        <f>SOB_126!O127</f>
        <v>483u+588d+126e</v>
      </c>
      <c r="K127" t="str">
        <f>"G(P)="&amp;TEXT(SOB_126!W127,"0.000000")</f>
        <v>G(P)=1169.273438</v>
      </c>
      <c r="L127" t="str">
        <f>"GR(P)=8G(P)="&amp;TEXT(SOB_126!X127,"0.000000")</f>
        <v>GR(P)=8G(P)=9354.1875</v>
      </c>
      <c r="M127" t="str">
        <f>"GR(P)=7G(P)+G(P)"</f>
        <v>GR(P)=7G(P)+G(P)</v>
      </c>
      <c r="N127" t="str">
        <f>SOB_126!AB127</f>
        <v>357</v>
      </c>
    </row>
  </sheetData>
  <autoFilter ref="A1:Q127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20" customWidth="1"/>
    <col min="3" max="3" width="62" customWidth="1"/>
    <col min="4" max="4" width="54" customWidth="1"/>
  </cols>
  <sheetData>
    <row r="1">
      <c r="A1" t="inlineStr" s="1">
        <is>
          <t>sheet</t>
        </is>
      </c>
      <c r="B1" t="inlineStr" s="1">
        <is>
          <t>range</t>
        </is>
      </c>
      <c r="C1" t="inlineStr" s="1">
        <is>
          <t>purpose</t>
        </is>
      </c>
      <c r="D1" t="inlineStr" s="1">
        <is>
          <t>formula_example</t>
        </is>
      </c>
    </row>
    <row r="2">
      <c r="A2" t="inlineStr">
        <is>
          <t>Constants</t>
        </is>
      </c>
      <c r="B2" t="inlineStr">
        <is>
          <t>B2:B17</t>
        </is>
      </c>
      <c r="C2" t="inlineStr">
        <is>
          <t>sealed constants and derived CR225 clock terms</t>
        </is>
      </c>
      <c r="D2" t="inlineStr">
        <is>
          <t>=2^B3; =B6/B5; =B13-B4</t>
        </is>
      </c>
    </row>
    <row r="3">
      <c r="A3" t="inlineStr">
        <is>
          <t>Hidden_Set</t>
        </is>
      </c>
      <c r="B3" t="inlineStr">
        <is>
          <t>A2:E14</t>
        </is>
      </c>
      <c r="C3" t="inlineStr">
        <is>
          <t>derive H from alpha_H^a * D^b &lt;= R</t>
        </is>
      </c>
      <c r="D3" t="inlineStr">
        <is>
          <t>=Constants!$B$4^A2*Constants!$B$3^B2</t>
        </is>
      </c>
    </row>
    <row r="4">
      <c r="A4" t="inlineStr">
        <is>
          <t>Shells</t>
        </is>
      </c>
      <c r="B4" t="inlineStr">
        <is>
          <t>B2:E9</t>
        </is>
      </c>
      <c r="C4" t="inlineStr">
        <is>
          <t>derive shell path and capacities</t>
        </is>
      </c>
      <c r="D4" t="inlineStr">
        <is>
          <t>=2*B2^2</t>
        </is>
      </c>
    </row>
    <row r="5">
      <c r="A5" t="inlineStr">
        <is>
          <t>SOB_126</t>
        </is>
      </c>
      <c r="B5" t="inlineStr">
        <is>
          <t>A2:AC127</t>
        </is>
      </c>
      <c r="C5" t="inlineStr">
        <is>
          <t>derive all 126 SOB rows, P addresses, G/GR, and CLOCK prediction</t>
        </is>
      </c>
      <c r="D5" t="inlineStr">
        <is>
          <t>=IF(AND(B2&lt;=Constants!$B$14,B2&lt;&gt;Constants!$B$15,B2&lt;&gt;Constants!$B$16),"stable","radioactive")</t>
        </is>
      </c>
    </row>
    <row r="6">
      <c r="A6" t="inlineStr">
        <is>
          <t>Card_Payloads_126</t>
        </is>
      </c>
      <c r="B6" t="inlineStr">
        <is>
          <t>A2:Q127</t>
        </is>
      </c>
      <c r="C6" t="inlineStr">
        <is>
          <t>derive card-facing text fields without reveal labels</t>
        </is>
      </c>
      <c r="D6" t="inlineStr">
        <is>
          <t>="GR(P)=8G(P)="&amp;TEXT(SOB_126!X2,"0.000000")</t>
        </is>
      </c>
    </row>
    <row r="7">
      <c r="A7" t="inlineStr">
        <is>
          <t>Checks</t>
        </is>
      </c>
      <c r="B7" t="inlineStr">
        <is>
          <t>B2:E16</t>
        </is>
      </c>
      <c r="C7" t="inlineStr">
        <is>
          <t>formula checks for counts and Z79 readout</t>
        </is>
      </c>
      <c r="D7" t="inlineStr">
        <is>
          <t>=COUNTIF(SOB_126!U2:U127,"stable")</t>
        </is>
      </c>
    </row>
  </sheetData>
  <autoFilter ref="A1:D7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24" customWidth="1"/>
    <col min="3" max="3" width="52" customWidth="1"/>
    <col min="4" max="4" width="24" customWidth="1"/>
    <col min="5" max="5" width="12" customWidth="1"/>
  </cols>
  <sheetData>
    <row r="1">
      <c r="A1" t="inlineStr" s="1">
        <is>
          <t>check</t>
        </is>
      </c>
      <c r="B1" t="inlineStr" s="1">
        <is>
          <t>formula_result</t>
        </is>
      </c>
      <c r="C1" t="inlineStr" s="1">
        <is>
          <t>formula</t>
        </is>
      </c>
      <c r="D1" t="inlineStr" s="1">
        <is>
          <t>expected</t>
        </is>
      </c>
      <c r="E1" t="inlineStr" s="1">
        <is>
          <t>status</t>
        </is>
      </c>
    </row>
    <row r="2">
      <c r="A2" t="inlineStr">
        <is>
          <t>native_capacity</t>
        </is>
      </c>
      <c r="B2">
        <f>Constants!B7</f>
        <v>126</v>
      </c>
      <c r="C2" t="inlineStr">
        <is>
          <t>=Constants!B7</t>
        </is>
      </c>
      <c r="D2" t="inlineStr">
        <is>
          <t>126</t>
        </is>
      </c>
      <c r="E2" t="str">
        <f>IF(B2=D2,"PASS","FAIL")</f>
        <v>PASS</v>
      </c>
    </row>
    <row r="3">
      <c r="A3" t="inlineStr">
        <is>
          <t>hidden_sum_H</t>
        </is>
      </c>
      <c r="B3">
        <f>Constants!B13</f>
        <v>45</v>
      </c>
      <c r="C3" t="inlineStr">
        <is>
          <t>=Constants!B13</t>
        </is>
      </c>
      <c r="D3" t="inlineStr">
        <is>
          <t>45</t>
        </is>
      </c>
      <c r="E3" t="str">
        <f>IF(B3=D3,"PASS","FAIL")</f>
        <v>PASS</v>
      </c>
    </row>
    <row r="4">
      <c r="A4" t="inlineStr">
        <is>
          <t>clock_boundary</t>
        </is>
      </c>
      <c r="B4">
        <f>Constants!B14</f>
        <v>83</v>
      </c>
      <c r="C4" t="inlineStr">
        <is>
          <t>=Constants!B14</t>
        </is>
      </c>
      <c r="D4" t="inlineStr">
        <is>
          <t>83</t>
        </is>
      </c>
      <c r="E4" t="str">
        <f>IF(B4=D4,"PASS","FAIL")</f>
        <v>PASS</v>
      </c>
    </row>
    <row r="5">
      <c r="A5" t="inlineStr">
        <is>
          <t>clock_hole_1</t>
        </is>
      </c>
      <c r="B5">
        <f>Constants!B15</f>
        <v>43</v>
      </c>
      <c r="C5" t="inlineStr">
        <is>
          <t>=Constants!B15</t>
        </is>
      </c>
      <c r="D5" t="inlineStr">
        <is>
          <t>43</t>
        </is>
      </c>
      <c r="E5" t="str">
        <f>IF(B5=D5,"PASS","FAIL")</f>
        <v>PASS</v>
      </c>
    </row>
    <row r="6">
      <c r="A6" t="inlineStr">
        <is>
          <t>clock_hole_2</t>
        </is>
      </c>
      <c r="B6">
        <f>Constants!B16</f>
        <v>61</v>
      </c>
      <c r="C6" t="inlineStr">
        <is>
          <t>=Constants!B16</t>
        </is>
      </c>
      <c r="D6" t="inlineStr">
        <is>
          <t>61</t>
        </is>
      </c>
      <c r="E6" t="str">
        <f>IF(B6=D6,"PASS","FAIL")</f>
        <v>PASS</v>
      </c>
    </row>
    <row r="7">
      <c r="A7" t="inlineStr">
        <is>
          <t>sob_rows</t>
        </is>
      </c>
      <c r="B7">
        <f>COUNTA(SOB_126!B2:B127)</f>
        <v>126</v>
      </c>
      <c r="C7" t="inlineStr">
        <is>
          <t>=COUNTA(SOB_126!B2:B127)</t>
        </is>
      </c>
      <c r="D7" t="inlineStr">
        <is>
          <t>126</t>
        </is>
      </c>
      <c r="E7" t="str">
        <f>IF(B7=D7,"PASS","FAIL")</f>
        <v>PASS</v>
      </c>
    </row>
    <row r="8">
      <c r="A8" t="inlineStr">
        <is>
          <t>clock_stable_count</t>
        </is>
      </c>
      <c r="B8">
        <f>COUNTIF(SOB_126!U2:U127,"stable")</f>
        <v>81</v>
      </c>
      <c r="C8" t="inlineStr">
        <is>
          <t>=COUNTIF(SOB_126!U2:U127,"stable")</t>
        </is>
      </c>
      <c r="D8" t="inlineStr">
        <is>
          <t>81</t>
        </is>
      </c>
      <c r="E8" t="str">
        <f>IF(B8=D8,"PASS","FAIL")</f>
        <v>PASS</v>
      </c>
    </row>
    <row r="9">
      <c r="A9" t="inlineStr">
        <is>
          <t>clock_radioactive_count</t>
        </is>
      </c>
      <c r="B9">
        <f>COUNTIF(SOB_126!U2:U127,"radioactive")</f>
        <v>37</v>
      </c>
      <c r="C9" t="inlineStr">
        <is>
          <t>=COUNTIF(SOB_126!U2:U127,"radioactive")</t>
        </is>
      </c>
      <c r="D9" t="inlineStr">
        <is>
          <t>37</t>
        </is>
      </c>
      <c r="E9" t="str">
        <f>IF(B9=D9,"PASS","FAIL")</f>
        <v>PASS</v>
      </c>
    </row>
    <row r="10">
      <c r="A10" t="inlineStr">
        <is>
          <t>clock_frontier_count</t>
        </is>
      </c>
      <c r="B10">
        <f>COUNTIF(SOB_126!U2:U127,"frontier")</f>
        <v>8</v>
      </c>
      <c r="C10" t="inlineStr">
        <is>
          <t>=COUNTIF(SOB_126!U2:U127,"frontier")</t>
        </is>
      </c>
      <c r="D10" t="inlineStr">
        <is>
          <t>8</t>
        </is>
      </c>
      <c r="E10" t="str">
        <f>IF(B10=D10,"PASS","FAIL")</f>
        <v>PASS</v>
      </c>
    </row>
    <row r="11">
      <c r="A11" t="inlineStr">
        <is>
          <t>closed_shell_count</t>
        </is>
      </c>
      <c r="B11">
        <f>COUNTIF(SOB_126!S2:S127,"CLOSED_SHELL")</f>
        <v>8</v>
      </c>
      <c r="C11" t="inlineStr">
        <is>
          <t>=COUNTIF(SOB_126!S2:S127,"CLOSED_SHELL")</t>
        </is>
      </c>
      <c r="D11" t="inlineStr">
        <is>
          <t>8</t>
        </is>
      </c>
      <c r="E11" t="str">
        <f>IF(B11=D11,"PASS","FAIL")</f>
        <v>PASS</v>
      </c>
    </row>
    <row r="12">
      <c r="A12" t="inlineStr">
        <is>
          <t>z79_N</t>
        </is>
      </c>
      <c r="B12">
        <f>INDEX(SOB_126!C2:C127,79)</f>
        <v>118</v>
      </c>
      <c r="C12" t="inlineStr">
        <is>
          <t>=INDEX(SOB_126!C2:C127,79)</t>
        </is>
      </c>
      <c r="D12" t="inlineStr">
        <is>
          <t>118</t>
        </is>
      </c>
      <c r="E12" t="str">
        <f>IF(B12=D12,"PASS","FAIL")</f>
        <v>PASS</v>
      </c>
    </row>
    <row r="13">
      <c r="A13" t="inlineStr">
        <is>
          <t>z79_A</t>
        </is>
      </c>
      <c r="B13">
        <f>INDEX(SOB_126!D2:D127,79)</f>
        <v>197</v>
      </c>
      <c r="C13" t="inlineStr">
        <is>
          <t>=INDEX(SOB_126!D2:D127,79)</t>
        </is>
      </c>
      <c r="D13" t="inlineStr">
        <is>
          <t>197</t>
        </is>
      </c>
      <c r="E13" t="str">
        <f>IF(B13=D13,"PASS","FAIL")</f>
        <v>PASS</v>
      </c>
    </row>
    <row r="14">
      <c r="A14" t="inlineStr">
        <is>
          <t>z79_clock</t>
        </is>
      </c>
      <c r="B14" t="str">
        <f>INDEX(SOB_126!U2:U127,79)</f>
        <v>stable</v>
      </c>
      <c r="C14" t="inlineStr">
        <is>
          <t>=INDEX(SOB_126!U2:U127,79)</t>
        </is>
      </c>
      <c r="D14" t="inlineStr">
        <is>
          <t>stable</t>
        </is>
      </c>
      <c r="E14" t="str">
        <f>IF(B14=D14,"PASS","FAIL")</f>
        <v>PASS</v>
      </c>
    </row>
    <row r="15">
      <c r="A15" t="inlineStr">
        <is>
          <t>z79_P</t>
        </is>
      </c>
      <c r="B15" t="str">
        <f>INDEX(SOB_126!K2:K127,79)</f>
        <v>79p+118n+79e</v>
      </c>
      <c r="C15" t="inlineStr">
        <is>
          <t>=INDEX(SOB_126!K2:K127,79)</t>
        </is>
      </c>
      <c r="D15" t="inlineStr">
        <is>
          <t>79p+118n+79e</t>
        </is>
      </c>
      <c r="E15" t="str">
        <f>IF(B15=D15,"PASS","FAIL")</f>
        <v>PASS</v>
      </c>
    </row>
    <row r="16">
      <c r="A16" t="inlineStr">
        <is>
          <t>reveal_fields_blank</t>
        </is>
      </c>
      <c r="B16">
        <f>COUNTA(Card_Payloads_126!O2:Q127)</f>
        <v>0</v>
      </c>
      <c r="C16" t="inlineStr">
        <is>
          <t>=COUNTA(Card_Payloads_126!O2:Q127)</t>
        </is>
      </c>
      <c r="D16" t="inlineStr">
        <is>
          <t>0</t>
        </is>
      </c>
      <c r="E16" t="str">
        <f>IF(B16=D16,"PASS","FAIL")</f>
        <v>PASS</v>
      </c>
    </row>
  </sheetData>
  <autoFilter ref="A1:E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CR223 Constants-Only Element Formulas</dc:title>
  <dc:creator>Codex</dc:creator>
  <dcterms:created xsi:type="dcterms:W3CDTF">2026-06-21T04:23:54+00:00</dcterms:created>
  <dcterms:modified xsi:type="dcterms:W3CDTF">2026-06-21T04:23:54+00:00</dcterms:modified>
</cp:coreProperties>
</file>