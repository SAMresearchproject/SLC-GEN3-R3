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B126" sheetId="1" state="visible" r:id="rId1"/>
    <sheet name="Constants" sheetId="2" state="visible" r:id="rId2"/>
    <sheet name="Observed_Loo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4" customWidth="1" min="3" max="3"/>
    <col width="7" customWidth="1" min="4" max="4"/>
    <col width="7" customWidth="1" min="5" max="5"/>
    <col width="16" customWidth="1" min="6" max="6"/>
    <col width="11" customWidth="1" min="7" max="7"/>
    <col width="11" customWidth="1" min="8" max="8"/>
    <col width="8" customWidth="1" min="9" max="9"/>
    <col width="8" customWidth="1" min="10" max="10"/>
    <col width="11" customWidth="1" min="11" max="11"/>
    <col width="11" customWidth="1" min="12" max="12"/>
    <col width="11" customWidth="1" min="13" max="13"/>
    <col width="14" customWidth="1" min="14" max="14"/>
    <col width="18" customWidth="1" min="15" max="15"/>
    <col width="10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14" customWidth="1" min="22" max="22"/>
    <col width="14" customWidth="1" min="23" max="23"/>
    <col width="12" customWidth="1" min="24" max="24"/>
    <col width="32" customWidth="1" min="25" max="25"/>
    <col width="12" customWidth="1" min="26" max="26"/>
    <col width="12" customWidth="1" min="27" max="27"/>
    <col width="13" customWidth="1" min="28" max="28"/>
    <col width="19" customWidth="1" min="29" max="29"/>
    <col width="16" customWidth="1" min="30" max="30"/>
    <col width="25" customWidth="1" min="31" max="31"/>
    <col width="60" customWidth="1" min="32" max="32"/>
  </cols>
  <sheetData>
    <row r="1">
      <c r="A1" s="1" t="inlineStr">
        <is>
          <t>Z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N_sob</t>
        </is>
      </c>
      <c r="E1" s="1" t="inlineStr">
        <is>
          <t>A_sob</t>
        </is>
      </c>
      <c r="F1" s="1" t="inlineStr">
        <is>
          <t>observed_isotope</t>
        </is>
      </c>
      <c r="G1" s="1" t="inlineStr">
        <is>
          <t>N_observed</t>
        </is>
      </c>
      <c r="H1" s="1" t="inlineStr">
        <is>
          <t>A_observed</t>
        </is>
      </c>
      <c r="I1" s="1" t="inlineStr">
        <is>
          <t>delta_N</t>
        </is>
      </c>
      <c r="J1" s="1" t="inlineStr">
        <is>
          <t>delta_A</t>
        </is>
      </c>
      <c r="K1" s="1" t="inlineStr">
        <is>
          <t>lambda_gcd</t>
        </is>
      </c>
      <c r="L1" s="1" t="inlineStr">
        <is>
          <t>primitive_Z</t>
        </is>
      </c>
      <c r="M1" s="1" t="inlineStr">
        <is>
          <t>primitive_N</t>
        </is>
      </c>
      <c r="N1" s="1" t="inlineStr">
        <is>
          <t>primitive_lane</t>
        </is>
      </c>
      <c r="O1" s="1" t="inlineStr">
        <is>
          <t>lane_ratio_NmZ_over_A</t>
        </is>
      </c>
      <c r="P1" s="1" t="inlineStr">
        <is>
          <t>chi</t>
        </is>
      </c>
      <c r="Q1" s="1" t="inlineStr">
        <is>
          <t>p_count</t>
        </is>
      </c>
      <c r="R1" s="1" t="inlineStr">
        <is>
          <t>n_count</t>
        </is>
      </c>
      <c r="S1" s="1" t="inlineStr">
        <is>
          <t>e_count</t>
        </is>
      </c>
      <c r="T1" s="1" t="inlineStr">
        <is>
          <t>u_count</t>
        </is>
      </c>
      <c r="U1" s="1" t="inlineStr">
        <is>
          <t>d_count</t>
        </is>
      </c>
      <c r="V1" s="1" t="inlineStr">
        <is>
          <t>Q_sub</t>
        </is>
      </c>
      <c r="W1" s="1" t="inlineStr">
        <is>
          <t>Q_mass</t>
        </is>
      </c>
      <c r="X1" s="1" t="inlineStr">
        <is>
          <t>delta_Q</t>
        </is>
      </c>
      <c r="Y1" s="1" t="inlineStr">
        <is>
          <t>channel_role</t>
        </is>
      </c>
      <c r="Z1" s="1" t="inlineStr">
        <is>
          <t>B_u_u</t>
        </is>
      </c>
      <c r="AA1" s="1" t="inlineStr">
        <is>
          <t>B_u_MeV</t>
        </is>
      </c>
      <c r="AB1" s="1" t="inlineStr">
        <is>
          <t>B_smooth_MeV</t>
        </is>
      </c>
      <c r="AC1" s="1" t="inlineStr">
        <is>
          <t>binding_residual_MeV</t>
        </is>
      </c>
      <c r="AD1" s="1" t="inlineStr">
        <is>
          <t>clock_role</t>
        </is>
      </c>
      <c r="AE1" s="1" t="inlineStr">
        <is>
          <t>row_status</t>
        </is>
      </c>
      <c r="AF1" s="1" t="inlineStr">
        <is>
          <t>notes</t>
        </is>
      </c>
    </row>
    <row r="2">
      <c r="A2" t="n">
        <v>1</v>
      </c>
      <c r="B2" t="inlineStr">
        <is>
          <t>H</t>
        </is>
      </c>
      <c r="C2" t="inlineStr">
        <is>
          <t>Hydrogen</t>
        </is>
      </c>
      <c r="D2">
        <f>A2 + INT(A2 * INT((A2-1)/12) / 12)</f>
        <v/>
      </c>
      <c r="E2">
        <f>A2+D2</f>
        <v/>
      </c>
      <c r="F2">
        <f>VLOOKUP(A2, Observed_Lookup!A:G, 4, FALSE)</f>
        <v/>
      </c>
      <c r="G2">
        <f>VLOOKUP(A2, Observed_Lookup!A:G, 5, FALSE)</f>
        <v/>
      </c>
      <c r="H2">
        <f>VLOOKUP(A2, Observed_Lookup!A:G, 6, FALSE)</f>
        <v/>
      </c>
      <c r="I2">
        <f>IF(F2="","",D2-G2)</f>
        <v/>
      </c>
      <c r="J2">
        <f>IF(F2="","",E2-H2)</f>
        <v/>
      </c>
      <c r="K2">
        <f>GCD(A2,D2)</f>
        <v/>
      </c>
      <c r="L2">
        <f>A2/K2</f>
        <v/>
      </c>
      <c r="M2">
        <f>D2/K2</f>
        <v/>
      </c>
      <c r="N2">
        <f>"("&amp;L2&amp;","&amp;M2&amp;")"</f>
        <v/>
      </c>
      <c r="O2">
        <f>(D2-A2)/E2</f>
        <v/>
      </c>
      <c r="P2">
        <f>V2/W2</f>
        <v/>
      </c>
      <c r="Q2">
        <f>A2</f>
        <v/>
      </c>
      <c r="R2">
        <f>D2</f>
        <v/>
      </c>
      <c r="S2">
        <f>A2</f>
        <v/>
      </c>
      <c r="T2">
        <f>2*A2+D2</f>
        <v/>
      </c>
      <c r="U2">
        <f>A2+2*D2</f>
        <v/>
      </c>
      <c r="V2">
        <f>8*(A2*(7117/768)+(D2-A2)*(1/64))</f>
        <v/>
      </c>
      <c r="W2">
        <f>4*E2*(7117/768)</f>
        <v/>
      </c>
      <c r="X2">
        <f>W2-V2</f>
        <v/>
      </c>
      <c r="Y2">
        <f>IF(P2&lt;1,"substrate-light / mass-heavy",IF(P2&gt;1,"substrate-heavy / mass-light","balanced"))</f>
        <v/>
      </c>
      <c r="Z2">
        <f>IF(F2="","",H2-IFERROR(VLOOKUP(A2, Observed_Lookup!A:G, 7, FALSE),""))</f>
        <v/>
      </c>
      <c r="AA2">
        <f>IF(Z2="","",Z2*931.49410242)</f>
        <v/>
      </c>
      <c r="AB2">
        <f>8*(A2+IF(F2="",D2,G2))-17*(A2+IF(F2="",D2,G2))^(2/3)-(3/4)*A2*(A2-1)/(A2+IF(F2="",D2,G2))^(1/3)-22*(IF(F2="",D2,G2)-A2)^2/(A2+IF(F2="",D2,G2))+7*IF(AND(MOD(A2,2)=0,MOD(IF(F2="",D2,G2),2)=0),1,IF(AND(MOD(A2,2)=1,MOD(IF(F2="",D2,G2),2)=1),-1,0))/SQRT((A2+IF(F2="",D2,G2)))-(25/4)*IF(AND((A2/GCD(A2,IF(F2="",D2,G2)))=1,(IF(F2="",D2,G2)/GCD(A2,IF(F2="",D2,G2)))=1),0,1)</f>
        <v/>
      </c>
      <c r="AC2">
        <f>IF(AA2="","",AA2-AB2)</f>
        <v/>
      </c>
      <c r="AD2">
        <f>IF(AND(A2&lt;=83,A2&lt;&gt;43,A2&lt;&gt;61),"clock-stable","clock-boundary")</f>
        <v/>
      </c>
      <c r="AE2" t="inlineStr">
        <is>
          <t>engine_diff_from_observed</t>
        </is>
      </c>
      <c r="AF2" t="inlineStr">
        <is>
          <t>engine anchor H-2 differs from observed most-abundant H-1</t>
        </is>
      </c>
    </row>
    <row r="3">
      <c r="A3" t="n">
        <v>2</v>
      </c>
      <c r="B3" t="inlineStr">
        <is>
          <t>He</t>
        </is>
      </c>
      <c r="C3" t="inlineStr">
        <is>
          <t>Helium</t>
        </is>
      </c>
      <c r="D3">
        <f>A3 + INT(A3 * INT((A3-1)/12) / 12)</f>
        <v/>
      </c>
      <c r="E3">
        <f>A3+D3</f>
        <v/>
      </c>
      <c r="F3">
        <f>VLOOKUP(A3, Observed_Lookup!A:G, 4, FALSE)</f>
        <v/>
      </c>
      <c r="G3">
        <f>VLOOKUP(A3, Observed_Lookup!A:G, 5, FALSE)</f>
        <v/>
      </c>
      <c r="H3">
        <f>VLOOKUP(A3, Observed_Lookup!A:G, 6, FALSE)</f>
        <v/>
      </c>
      <c r="I3">
        <f>IF(F3="","",D3-G3)</f>
        <v/>
      </c>
      <c r="J3">
        <f>IF(F3="","",E3-H3)</f>
        <v/>
      </c>
      <c r="K3">
        <f>GCD(A3,D3)</f>
        <v/>
      </c>
      <c r="L3">
        <f>A3/K3</f>
        <v/>
      </c>
      <c r="M3">
        <f>D3/K3</f>
        <v/>
      </c>
      <c r="N3">
        <f>"("&amp;L3&amp;","&amp;M3&amp;")"</f>
        <v/>
      </c>
      <c r="O3">
        <f>(D3-A3)/E3</f>
        <v/>
      </c>
      <c r="P3">
        <f>V3/W3</f>
        <v/>
      </c>
      <c r="Q3">
        <f>A3</f>
        <v/>
      </c>
      <c r="R3">
        <f>D3</f>
        <v/>
      </c>
      <c r="S3">
        <f>A3</f>
        <v/>
      </c>
      <c r="T3">
        <f>2*A3+D3</f>
        <v/>
      </c>
      <c r="U3">
        <f>A3+2*D3</f>
        <v/>
      </c>
      <c r="V3">
        <f>8*(A3*(7117/768)+(D3-A3)*(1/64))</f>
        <v/>
      </c>
      <c r="W3">
        <f>4*E3*(7117/768)</f>
        <v/>
      </c>
      <c r="X3">
        <f>W3-V3</f>
        <v/>
      </c>
      <c r="Y3">
        <f>IF(P3&lt;1,"substrate-light / mass-heavy",IF(P3&gt;1,"substrate-heavy / mass-light","balanced"))</f>
        <v/>
      </c>
      <c r="Z3">
        <f>IF(F3="","",H3-IFERROR(VLOOKUP(A3, Observed_Lookup!A:G, 7, FALSE),""))</f>
        <v/>
      </c>
      <c r="AA3">
        <f>IF(Z3="","",Z3*931.49410242)</f>
        <v/>
      </c>
      <c r="AB3">
        <f>8*(A3+IF(F3="",D3,G3))-17*(A3+IF(F3="",D3,G3))^(2/3)-(3/4)*A3*(A3-1)/(A3+IF(F3="",D3,G3))^(1/3)-22*(IF(F3="",D3,G3)-A3)^2/(A3+IF(F3="",D3,G3))+7*IF(AND(MOD(A3,2)=0,MOD(IF(F3="",D3,G3),2)=0),1,IF(AND(MOD(A3,2)=1,MOD(IF(F3="",D3,G3),2)=1),-1,0))/SQRT((A3+IF(F3="",D3,G3)))-(25/4)*IF(AND((A3/GCD(A3,IF(F3="",D3,G3)))=1,(IF(F3="",D3,G3)/GCD(A3,IF(F3="",D3,G3)))=1),0,1)</f>
        <v/>
      </c>
      <c r="AC3">
        <f>IF(AA3="","",AA3-AB3)</f>
        <v/>
      </c>
      <c r="AD3">
        <f>IF(AND(A3&lt;=83,A3&lt;&gt;43,A3&lt;&gt;61),"clock-stable","clock-boundary")</f>
        <v/>
      </c>
      <c r="AE3" t="inlineStr">
        <is>
          <t>engine_matches_observed</t>
        </is>
      </c>
      <c r="AF3" t="inlineStr"/>
    </row>
    <row r="4">
      <c r="A4" t="n">
        <v>3</v>
      </c>
      <c r="B4" t="inlineStr">
        <is>
          <t>Li</t>
        </is>
      </c>
      <c r="C4" t="inlineStr">
        <is>
          <t>Lithium</t>
        </is>
      </c>
      <c r="D4">
        <f>A4 + INT(A4 * INT((A4-1)/12) / 12)</f>
        <v/>
      </c>
      <c r="E4">
        <f>A4+D4</f>
        <v/>
      </c>
      <c r="F4">
        <f>VLOOKUP(A4, Observed_Lookup!A:G, 4, FALSE)</f>
        <v/>
      </c>
      <c r="G4">
        <f>VLOOKUP(A4, Observed_Lookup!A:G, 5, FALSE)</f>
        <v/>
      </c>
      <c r="H4">
        <f>VLOOKUP(A4, Observed_Lookup!A:G, 6, FALSE)</f>
        <v/>
      </c>
      <c r="I4">
        <f>IF(F4="","",D4-G4)</f>
        <v/>
      </c>
      <c r="J4">
        <f>IF(F4="","",E4-H4)</f>
        <v/>
      </c>
      <c r="K4">
        <f>GCD(A4,D4)</f>
        <v/>
      </c>
      <c r="L4">
        <f>A4/K4</f>
        <v/>
      </c>
      <c r="M4">
        <f>D4/K4</f>
        <v/>
      </c>
      <c r="N4">
        <f>"("&amp;L4&amp;","&amp;M4&amp;")"</f>
        <v/>
      </c>
      <c r="O4">
        <f>(D4-A4)/E4</f>
        <v/>
      </c>
      <c r="P4">
        <f>V4/W4</f>
        <v/>
      </c>
      <c r="Q4">
        <f>A4</f>
        <v/>
      </c>
      <c r="R4">
        <f>D4</f>
        <v/>
      </c>
      <c r="S4">
        <f>A4</f>
        <v/>
      </c>
      <c r="T4">
        <f>2*A4+D4</f>
        <v/>
      </c>
      <c r="U4">
        <f>A4+2*D4</f>
        <v/>
      </c>
      <c r="V4">
        <f>8*(A4*(7117/768)+(D4-A4)*(1/64))</f>
        <v/>
      </c>
      <c r="W4">
        <f>4*E4*(7117/768)</f>
        <v/>
      </c>
      <c r="X4">
        <f>W4-V4</f>
        <v/>
      </c>
      <c r="Y4">
        <f>IF(P4&lt;1,"substrate-light / mass-heavy",IF(P4&gt;1,"substrate-heavy / mass-light","balanced"))</f>
        <v/>
      </c>
      <c r="Z4">
        <f>IF(F4="","",H4-IFERROR(VLOOKUP(A4, Observed_Lookup!A:G, 7, FALSE),""))</f>
        <v/>
      </c>
      <c r="AA4">
        <f>IF(Z4="","",Z4*931.49410242)</f>
        <v/>
      </c>
      <c r="AB4">
        <f>8*(A4+IF(F4="",D4,G4))-17*(A4+IF(F4="",D4,G4))^(2/3)-(3/4)*A4*(A4-1)/(A4+IF(F4="",D4,G4))^(1/3)-22*(IF(F4="",D4,G4)-A4)^2/(A4+IF(F4="",D4,G4))+7*IF(AND(MOD(A4,2)=0,MOD(IF(F4="",D4,G4),2)=0),1,IF(AND(MOD(A4,2)=1,MOD(IF(F4="",D4,G4),2)=1),-1,0))/SQRT((A4+IF(F4="",D4,G4)))-(25/4)*IF(AND((A4/GCD(A4,IF(F4="",D4,G4)))=1,(IF(F4="",D4,G4)/GCD(A4,IF(F4="",D4,G4)))=1),0,1)</f>
        <v/>
      </c>
      <c r="AC4">
        <f>IF(AA4="","",AA4-AB4)</f>
        <v/>
      </c>
      <c r="AD4">
        <f>IF(AND(A4&lt;=83,A4&lt;&gt;43,A4&lt;&gt;61),"clock-stable","clock-boundary")</f>
        <v/>
      </c>
      <c r="AE4" t="inlineStr">
        <is>
          <t>engine_diff_from_observed</t>
        </is>
      </c>
      <c r="AF4" t="inlineStr">
        <is>
          <t>engine anchor Li-6 differs from observed most-abundant Li-7</t>
        </is>
      </c>
    </row>
    <row r="5">
      <c r="A5" t="n">
        <v>4</v>
      </c>
      <c r="B5" t="inlineStr">
        <is>
          <t>Be</t>
        </is>
      </c>
      <c r="C5" t="inlineStr">
        <is>
          <t>Beryllium</t>
        </is>
      </c>
      <c r="D5">
        <f>A5 + INT(A5 * INT((A5-1)/12) / 12)</f>
        <v/>
      </c>
      <c r="E5">
        <f>A5+D5</f>
        <v/>
      </c>
      <c r="F5">
        <f>VLOOKUP(A5, Observed_Lookup!A:G, 4, FALSE)</f>
        <v/>
      </c>
      <c r="G5">
        <f>VLOOKUP(A5, Observed_Lookup!A:G, 5, FALSE)</f>
        <v/>
      </c>
      <c r="H5">
        <f>VLOOKUP(A5, Observed_Lookup!A:G, 6, FALSE)</f>
        <v/>
      </c>
      <c r="I5">
        <f>IF(F5="","",D5-G5)</f>
        <v/>
      </c>
      <c r="J5">
        <f>IF(F5="","",E5-H5)</f>
        <v/>
      </c>
      <c r="K5">
        <f>GCD(A5,D5)</f>
        <v/>
      </c>
      <c r="L5">
        <f>A5/K5</f>
        <v/>
      </c>
      <c r="M5">
        <f>D5/K5</f>
        <v/>
      </c>
      <c r="N5">
        <f>"("&amp;L5&amp;","&amp;M5&amp;")"</f>
        <v/>
      </c>
      <c r="O5">
        <f>(D5-A5)/E5</f>
        <v/>
      </c>
      <c r="P5">
        <f>V5/W5</f>
        <v/>
      </c>
      <c r="Q5">
        <f>A5</f>
        <v/>
      </c>
      <c r="R5">
        <f>D5</f>
        <v/>
      </c>
      <c r="S5">
        <f>A5</f>
        <v/>
      </c>
      <c r="T5">
        <f>2*A5+D5</f>
        <v/>
      </c>
      <c r="U5">
        <f>A5+2*D5</f>
        <v/>
      </c>
      <c r="V5">
        <f>8*(A5*(7117/768)+(D5-A5)*(1/64))</f>
        <v/>
      </c>
      <c r="W5">
        <f>4*E5*(7117/768)</f>
        <v/>
      </c>
      <c r="X5">
        <f>W5-V5</f>
        <v/>
      </c>
      <c r="Y5">
        <f>IF(P5&lt;1,"substrate-light / mass-heavy",IF(P5&gt;1,"substrate-heavy / mass-light","balanced"))</f>
        <v/>
      </c>
      <c r="Z5">
        <f>IF(F5="","",H5-IFERROR(VLOOKUP(A5, Observed_Lookup!A:G, 7, FALSE),""))</f>
        <v/>
      </c>
      <c r="AA5">
        <f>IF(Z5="","",Z5*931.49410242)</f>
        <v/>
      </c>
      <c r="AB5">
        <f>8*(A5+IF(F5="",D5,G5))-17*(A5+IF(F5="",D5,G5))^(2/3)-(3/4)*A5*(A5-1)/(A5+IF(F5="",D5,G5))^(1/3)-22*(IF(F5="",D5,G5)-A5)^2/(A5+IF(F5="",D5,G5))+7*IF(AND(MOD(A5,2)=0,MOD(IF(F5="",D5,G5),2)=0),1,IF(AND(MOD(A5,2)=1,MOD(IF(F5="",D5,G5),2)=1),-1,0))/SQRT((A5+IF(F5="",D5,G5)))-(25/4)*IF(AND((A5/GCD(A5,IF(F5="",D5,G5)))=1,(IF(F5="",D5,G5)/GCD(A5,IF(F5="",D5,G5)))=1),0,1)</f>
        <v/>
      </c>
      <c r="AC5">
        <f>IF(AA5="","",AA5-AB5)</f>
        <v/>
      </c>
      <c r="AD5">
        <f>IF(AND(A5&lt;=83,A5&lt;&gt;43,A5&lt;&gt;61),"clock-stable","clock-boundary")</f>
        <v/>
      </c>
      <c r="AE5" t="inlineStr">
        <is>
          <t>engine_matches_observed</t>
        </is>
      </c>
      <c r="AF5" t="inlineStr"/>
    </row>
    <row r="6">
      <c r="A6" t="n">
        <v>5</v>
      </c>
      <c r="B6" t="inlineStr">
        <is>
          <t>B</t>
        </is>
      </c>
      <c r="C6" t="inlineStr">
        <is>
          <t>Boron</t>
        </is>
      </c>
      <c r="D6">
        <f>A6 + INT(A6 * INT((A6-1)/12) / 12)</f>
        <v/>
      </c>
      <c r="E6">
        <f>A6+D6</f>
        <v/>
      </c>
      <c r="F6">
        <f>VLOOKUP(A6, Observed_Lookup!A:G, 4, FALSE)</f>
        <v/>
      </c>
      <c r="G6">
        <f>VLOOKUP(A6, Observed_Lookup!A:G, 5, FALSE)</f>
        <v/>
      </c>
      <c r="H6">
        <f>VLOOKUP(A6, Observed_Lookup!A:G, 6, FALSE)</f>
        <v/>
      </c>
      <c r="I6">
        <f>IF(F6="","",D6-G6)</f>
        <v/>
      </c>
      <c r="J6">
        <f>IF(F6="","",E6-H6)</f>
        <v/>
      </c>
      <c r="K6">
        <f>GCD(A6,D6)</f>
        <v/>
      </c>
      <c r="L6">
        <f>A6/K6</f>
        <v/>
      </c>
      <c r="M6">
        <f>D6/K6</f>
        <v/>
      </c>
      <c r="N6">
        <f>"("&amp;L6&amp;","&amp;M6&amp;")"</f>
        <v/>
      </c>
      <c r="O6">
        <f>(D6-A6)/E6</f>
        <v/>
      </c>
      <c r="P6">
        <f>V6/W6</f>
        <v/>
      </c>
      <c r="Q6">
        <f>A6</f>
        <v/>
      </c>
      <c r="R6">
        <f>D6</f>
        <v/>
      </c>
      <c r="S6">
        <f>A6</f>
        <v/>
      </c>
      <c r="T6">
        <f>2*A6+D6</f>
        <v/>
      </c>
      <c r="U6">
        <f>A6+2*D6</f>
        <v/>
      </c>
      <c r="V6">
        <f>8*(A6*(7117/768)+(D6-A6)*(1/64))</f>
        <v/>
      </c>
      <c r="W6">
        <f>4*E6*(7117/768)</f>
        <v/>
      </c>
      <c r="X6">
        <f>W6-V6</f>
        <v/>
      </c>
      <c r="Y6">
        <f>IF(P6&lt;1,"substrate-light / mass-heavy",IF(P6&gt;1,"substrate-heavy / mass-light","balanced"))</f>
        <v/>
      </c>
      <c r="Z6">
        <f>IF(F6="","",H6-IFERROR(VLOOKUP(A6, Observed_Lookup!A:G, 7, FALSE),""))</f>
        <v/>
      </c>
      <c r="AA6">
        <f>IF(Z6="","",Z6*931.49410242)</f>
        <v/>
      </c>
      <c r="AB6">
        <f>8*(A6+IF(F6="",D6,G6))-17*(A6+IF(F6="",D6,G6))^(2/3)-(3/4)*A6*(A6-1)/(A6+IF(F6="",D6,G6))^(1/3)-22*(IF(F6="",D6,G6)-A6)^2/(A6+IF(F6="",D6,G6))+7*IF(AND(MOD(A6,2)=0,MOD(IF(F6="",D6,G6),2)=0),1,IF(AND(MOD(A6,2)=1,MOD(IF(F6="",D6,G6),2)=1),-1,0))/SQRT((A6+IF(F6="",D6,G6)))-(25/4)*IF(AND((A6/GCD(A6,IF(F6="",D6,G6)))=1,(IF(F6="",D6,G6)/GCD(A6,IF(F6="",D6,G6)))=1),0,1)</f>
        <v/>
      </c>
      <c r="AC6">
        <f>IF(AA6="","",AA6-AB6)</f>
        <v/>
      </c>
      <c r="AD6">
        <f>IF(AND(A6&lt;=83,A6&lt;&gt;43,A6&lt;&gt;61),"clock-stable","clock-boundary")</f>
        <v/>
      </c>
      <c r="AE6" t="inlineStr">
        <is>
          <t>engine_matches_observed</t>
        </is>
      </c>
      <c r="AF6" t="inlineStr"/>
    </row>
    <row r="7">
      <c r="A7" t="n">
        <v>6</v>
      </c>
      <c r="B7" t="inlineStr">
        <is>
          <t>C</t>
        </is>
      </c>
      <c r="C7" t="inlineStr">
        <is>
          <t>Carbon</t>
        </is>
      </c>
      <c r="D7">
        <f>A7 + INT(A7 * INT((A7-1)/12) / 12)</f>
        <v/>
      </c>
      <c r="E7">
        <f>A7+D7</f>
        <v/>
      </c>
      <c r="F7">
        <f>VLOOKUP(A7, Observed_Lookup!A:G, 4, FALSE)</f>
        <v/>
      </c>
      <c r="G7">
        <f>VLOOKUP(A7, Observed_Lookup!A:G, 5, FALSE)</f>
        <v/>
      </c>
      <c r="H7">
        <f>VLOOKUP(A7, Observed_Lookup!A:G, 6, FALSE)</f>
        <v/>
      </c>
      <c r="I7">
        <f>IF(F7="","",D7-G7)</f>
        <v/>
      </c>
      <c r="J7">
        <f>IF(F7="","",E7-H7)</f>
        <v/>
      </c>
      <c r="K7">
        <f>GCD(A7,D7)</f>
        <v/>
      </c>
      <c r="L7">
        <f>A7/K7</f>
        <v/>
      </c>
      <c r="M7">
        <f>D7/K7</f>
        <v/>
      </c>
      <c r="N7">
        <f>"("&amp;L7&amp;","&amp;M7&amp;")"</f>
        <v/>
      </c>
      <c r="O7">
        <f>(D7-A7)/E7</f>
        <v/>
      </c>
      <c r="P7">
        <f>V7/W7</f>
        <v/>
      </c>
      <c r="Q7">
        <f>A7</f>
        <v/>
      </c>
      <c r="R7">
        <f>D7</f>
        <v/>
      </c>
      <c r="S7">
        <f>A7</f>
        <v/>
      </c>
      <c r="T7">
        <f>2*A7+D7</f>
        <v/>
      </c>
      <c r="U7">
        <f>A7+2*D7</f>
        <v/>
      </c>
      <c r="V7">
        <f>8*(A7*(7117/768)+(D7-A7)*(1/64))</f>
        <v/>
      </c>
      <c r="W7">
        <f>4*E7*(7117/768)</f>
        <v/>
      </c>
      <c r="X7">
        <f>W7-V7</f>
        <v/>
      </c>
      <c r="Y7">
        <f>IF(P7&lt;1,"substrate-light / mass-heavy",IF(P7&gt;1,"substrate-heavy / mass-light","balanced"))</f>
        <v/>
      </c>
      <c r="Z7">
        <f>IF(F7="","",H7-IFERROR(VLOOKUP(A7, Observed_Lookup!A:G, 7, FALSE),""))</f>
        <v/>
      </c>
      <c r="AA7">
        <f>IF(Z7="","",Z7*931.49410242)</f>
        <v/>
      </c>
      <c r="AB7">
        <f>8*(A7+IF(F7="",D7,G7))-17*(A7+IF(F7="",D7,G7))^(2/3)-(3/4)*A7*(A7-1)/(A7+IF(F7="",D7,G7))^(1/3)-22*(IF(F7="",D7,G7)-A7)^2/(A7+IF(F7="",D7,G7))+7*IF(AND(MOD(A7,2)=0,MOD(IF(F7="",D7,G7),2)=0),1,IF(AND(MOD(A7,2)=1,MOD(IF(F7="",D7,G7),2)=1),-1,0))/SQRT((A7+IF(F7="",D7,G7)))-(25/4)*IF(AND((A7/GCD(A7,IF(F7="",D7,G7)))=1,(IF(F7="",D7,G7)/GCD(A7,IF(F7="",D7,G7)))=1),0,1)</f>
        <v/>
      </c>
      <c r="AC7">
        <f>IF(AA7="","",AA7-AB7)</f>
        <v/>
      </c>
      <c r="AD7">
        <f>IF(AND(A7&lt;=83,A7&lt;&gt;43,A7&lt;&gt;61),"clock-stable","clock-boundary")</f>
        <v/>
      </c>
      <c r="AE7" t="inlineStr">
        <is>
          <t>engine_diff_from_observed</t>
        </is>
      </c>
      <c r="AF7" t="inlineStr">
        <is>
          <t>engine anchor C-14 differs from observed most-abundant C-12</t>
        </is>
      </c>
    </row>
    <row r="8">
      <c r="A8" t="n">
        <v>7</v>
      </c>
      <c r="B8" t="inlineStr">
        <is>
          <t>N</t>
        </is>
      </c>
      <c r="C8" t="inlineStr">
        <is>
          <t>Nitrogen</t>
        </is>
      </c>
      <c r="D8">
        <f>A8 + INT(A8 * INT((A8-1)/12) / 12)</f>
        <v/>
      </c>
      <c r="E8">
        <f>A8+D8</f>
        <v/>
      </c>
      <c r="F8">
        <f>VLOOKUP(A8, Observed_Lookup!A:G, 4, FALSE)</f>
        <v/>
      </c>
      <c r="G8">
        <f>VLOOKUP(A8, Observed_Lookup!A:G, 5, FALSE)</f>
        <v/>
      </c>
      <c r="H8">
        <f>VLOOKUP(A8, Observed_Lookup!A:G, 6, FALSE)</f>
        <v/>
      </c>
      <c r="I8">
        <f>IF(F8="","",D8-G8)</f>
        <v/>
      </c>
      <c r="J8">
        <f>IF(F8="","",E8-H8)</f>
        <v/>
      </c>
      <c r="K8">
        <f>GCD(A8,D8)</f>
        <v/>
      </c>
      <c r="L8">
        <f>A8/K8</f>
        <v/>
      </c>
      <c r="M8">
        <f>D8/K8</f>
        <v/>
      </c>
      <c r="N8">
        <f>"("&amp;L8&amp;","&amp;M8&amp;")"</f>
        <v/>
      </c>
      <c r="O8">
        <f>(D8-A8)/E8</f>
        <v/>
      </c>
      <c r="P8">
        <f>V8/W8</f>
        <v/>
      </c>
      <c r="Q8">
        <f>A8</f>
        <v/>
      </c>
      <c r="R8">
        <f>D8</f>
        <v/>
      </c>
      <c r="S8">
        <f>A8</f>
        <v/>
      </c>
      <c r="T8">
        <f>2*A8+D8</f>
        <v/>
      </c>
      <c r="U8">
        <f>A8+2*D8</f>
        <v/>
      </c>
      <c r="V8">
        <f>8*(A8*(7117/768)+(D8-A8)*(1/64))</f>
        <v/>
      </c>
      <c r="W8">
        <f>4*E8*(7117/768)</f>
        <v/>
      </c>
      <c r="X8">
        <f>W8-V8</f>
        <v/>
      </c>
      <c r="Y8">
        <f>IF(P8&lt;1,"substrate-light / mass-heavy",IF(P8&gt;1,"substrate-heavy / mass-light","balanced"))</f>
        <v/>
      </c>
      <c r="Z8">
        <f>IF(F8="","",H8-IFERROR(VLOOKUP(A8, Observed_Lookup!A:G, 7, FALSE),""))</f>
        <v/>
      </c>
      <c r="AA8">
        <f>IF(Z8="","",Z8*931.49410242)</f>
        <v/>
      </c>
      <c r="AB8">
        <f>8*(A8+IF(F8="",D8,G8))-17*(A8+IF(F8="",D8,G8))^(2/3)-(3/4)*A8*(A8-1)/(A8+IF(F8="",D8,G8))^(1/3)-22*(IF(F8="",D8,G8)-A8)^2/(A8+IF(F8="",D8,G8))+7*IF(AND(MOD(A8,2)=0,MOD(IF(F8="",D8,G8),2)=0),1,IF(AND(MOD(A8,2)=1,MOD(IF(F8="",D8,G8),2)=1),-1,0))/SQRT((A8+IF(F8="",D8,G8)))-(25/4)*IF(AND((A8/GCD(A8,IF(F8="",D8,G8)))=1,(IF(F8="",D8,G8)/GCD(A8,IF(F8="",D8,G8)))=1),0,1)</f>
        <v/>
      </c>
      <c r="AC8">
        <f>IF(AA8="","",AA8-AB8)</f>
        <v/>
      </c>
      <c r="AD8">
        <f>IF(AND(A8&lt;=83,A8&lt;&gt;43,A8&lt;&gt;61),"clock-stable","clock-boundary")</f>
        <v/>
      </c>
      <c r="AE8" t="inlineStr">
        <is>
          <t>engine_diff_from_observed</t>
        </is>
      </c>
      <c r="AF8" t="inlineStr">
        <is>
          <t>engine anchor N-17 differs from observed most-abundant N-14</t>
        </is>
      </c>
    </row>
    <row r="9">
      <c r="A9" t="n">
        <v>8</v>
      </c>
      <c r="B9" t="inlineStr">
        <is>
          <t>O</t>
        </is>
      </c>
      <c r="C9" t="inlineStr">
        <is>
          <t>Oxygen</t>
        </is>
      </c>
      <c r="D9">
        <f>A9 + INT(A9 * INT((A9-1)/12) / 12)</f>
        <v/>
      </c>
      <c r="E9">
        <f>A9+D9</f>
        <v/>
      </c>
      <c r="F9">
        <f>VLOOKUP(A9, Observed_Lookup!A:G, 4, FALSE)</f>
        <v/>
      </c>
      <c r="G9">
        <f>VLOOKUP(A9, Observed_Lookup!A:G, 5, FALSE)</f>
        <v/>
      </c>
      <c r="H9">
        <f>VLOOKUP(A9, Observed_Lookup!A:G, 6, FALSE)</f>
        <v/>
      </c>
      <c r="I9">
        <f>IF(F9="","",D9-G9)</f>
        <v/>
      </c>
      <c r="J9">
        <f>IF(F9="","",E9-H9)</f>
        <v/>
      </c>
      <c r="K9">
        <f>GCD(A9,D9)</f>
        <v/>
      </c>
      <c r="L9">
        <f>A9/K9</f>
        <v/>
      </c>
      <c r="M9">
        <f>D9/K9</f>
        <v/>
      </c>
      <c r="N9">
        <f>"("&amp;L9&amp;","&amp;M9&amp;")"</f>
        <v/>
      </c>
      <c r="O9">
        <f>(D9-A9)/E9</f>
        <v/>
      </c>
      <c r="P9">
        <f>V9/W9</f>
        <v/>
      </c>
      <c r="Q9">
        <f>A9</f>
        <v/>
      </c>
      <c r="R9">
        <f>D9</f>
        <v/>
      </c>
      <c r="S9">
        <f>A9</f>
        <v/>
      </c>
      <c r="T9">
        <f>2*A9+D9</f>
        <v/>
      </c>
      <c r="U9">
        <f>A9+2*D9</f>
        <v/>
      </c>
      <c r="V9">
        <f>8*(A9*(7117/768)+(D9-A9)*(1/64))</f>
        <v/>
      </c>
      <c r="W9">
        <f>4*E9*(7117/768)</f>
        <v/>
      </c>
      <c r="X9">
        <f>W9-V9</f>
        <v/>
      </c>
      <c r="Y9">
        <f>IF(P9&lt;1,"substrate-light / mass-heavy",IF(P9&gt;1,"substrate-heavy / mass-light","balanced"))</f>
        <v/>
      </c>
      <c r="Z9">
        <f>IF(F9="","",H9-IFERROR(VLOOKUP(A9, Observed_Lookup!A:G, 7, FALSE),""))</f>
        <v/>
      </c>
      <c r="AA9">
        <f>IF(Z9="","",Z9*931.49410242)</f>
        <v/>
      </c>
      <c r="AB9">
        <f>8*(A9+IF(F9="",D9,G9))-17*(A9+IF(F9="",D9,G9))^(2/3)-(3/4)*A9*(A9-1)/(A9+IF(F9="",D9,G9))^(1/3)-22*(IF(F9="",D9,G9)-A9)^2/(A9+IF(F9="",D9,G9))+7*IF(AND(MOD(A9,2)=0,MOD(IF(F9="",D9,G9),2)=0),1,IF(AND(MOD(A9,2)=1,MOD(IF(F9="",D9,G9),2)=1),-1,0))/SQRT((A9+IF(F9="",D9,G9)))-(25/4)*IF(AND((A9/GCD(A9,IF(F9="",D9,G9)))=1,(IF(F9="",D9,G9)/GCD(A9,IF(F9="",D9,G9)))=1),0,1)</f>
        <v/>
      </c>
      <c r="AC9">
        <f>IF(AA9="","",AA9-AB9)</f>
        <v/>
      </c>
      <c r="AD9">
        <f>IF(AND(A9&lt;=83,A9&lt;&gt;43,A9&lt;&gt;61),"clock-stable","clock-boundary")</f>
        <v/>
      </c>
      <c r="AE9" t="inlineStr">
        <is>
          <t>engine_diff_from_observed</t>
        </is>
      </c>
      <c r="AF9" t="inlineStr">
        <is>
          <t>engine anchor O-20 differs from observed most-abundant O-16</t>
        </is>
      </c>
    </row>
    <row r="10">
      <c r="A10" t="n">
        <v>9</v>
      </c>
      <c r="B10" t="inlineStr">
        <is>
          <t>F</t>
        </is>
      </c>
      <c r="C10" t="inlineStr">
        <is>
          <t>Fluorine</t>
        </is>
      </c>
      <c r="D10">
        <f>A10 + INT(A10 * INT((A10-1)/12) / 12)</f>
        <v/>
      </c>
      <c r="E10">
        <f>A10+D10</f>
        <v/>
      </c>
      <c r="F10">
        <f>VLOOKUP(A10, Observed_Lookup!A:G, 4, FALSE)</f>
        <v/>
      </c>
      <c r="G10">
        <f>VLOOKUP(A10, Observed_Lookup!A:G, 5, FALSE)</f>
        <v/>
      </c>
      <c r="H10">
        <f>VLOOKUP(A10, Observed_Lookup!A:G, 6, FALSE)</f>
        <v/>
      </c>
      <c r="I10">
        <f>IF(F10="","",D10-G10)</f>
        <v/>
      </c>
      <c r="J10">
        <f>IF(F10="","",E10-H10)</f>
        <v/>
      </c>
      <c r="K10">
        <f>GCD(A10,D10)</f>
        <v/>
      </c>
      <c r="L10">
        <f>A10/K10</f>
        <v/>
      </c>
      <c r="M10">
        <f>D10/K10</f>
        <v/>
      </c>
      <c r="N10">
        <f>"("&amp;L10&amp;","&amp;M10&amp;")"</f>
        <v/>
      </c>
      <c r="O10">
        <f>(D10-A10)/E10</f>
        <v/>
      </c>
      <c r="P10">
        <f>V10/W10</f>
        <v/>
      </c>
      <c r="Q10">
        <f>A10</f>
        <v/>
      </c>
      <c r="R10">
        <f>D10</f>
        <v/>
      </c>
      <c r="S10">
        <f>A10</f>
        <v/>
      </c>
      <c r="T10">
        <f>2*A10+D10</f>
        <v/>
      </c>
      <c r="U10">
        <f>A10+2*D10</f>
        <v/>
      </c>
      <c r="V10">
        <f>8*(A10*(7117/768)+(D10-A10)*(1/64))</f>
        <v/>
      </c>
      <c r="W10">
        <f>4*E10*(7117/768)</f>
        <v/>
      </c>
      <c r="X10">
        <f>W10-V10</f>
        <v/>
      </c>
      <c r="Y10">
        <f>IF(P10&lt;1,"substrate-light / mass-heavy",IF(P10&gt;1,"substrate-heavy / mass-light","balanced"))</f>
        <v/>
      </c>
      <c r="Z10">
        <f>IF(F10="","",H10-IFERROR(VLOOKUP(A10, Observed_Lookup!A:G, 7, FALSE),""))</f>
        <v/>
      </c>
      <c r="AA10">
        <f>IF(Z10="","",Z10*931.49410242)</f>
        <v/>
      </c>
      <c r="AB10">
        <f>8*(A10+IF(F10="",D10,G10))-17*(A10+IF(F10="",D10,G10))^(2/3)-(3/4)*A10*(A10-1)/(A10+IF(F10="",D10,G10))^(1/3)-22*(IF(F10="",D10,G10)-A10)^2/(A10+IF(F10="",D10,G10))+7*IF(AND(MOD(A10,2)=0,MOD(IF(F10="",D10,G10),2)=0),1,IF(AND(MOD(A10,2)=1,MOD(IF(F10="",D10,G10),2)=1),-1,0))/SQRT((A10+IF(F10="",D10,G10)))-(25/4)*IF(AND((A10/GCD(A10,IF(F10="",D10,G10)))=1,(IF(F10="",D10,G10)/GCD(A10,IF(F10="",D10,G10)))=1),0,1)</f>
        <v/>
      </c>
      <c r="AC10">
        <f>IF(AA10="","",AA10-AB10)</f>
        <v/>
      </c>
      <c r="AD10">
        <f>IF(AND(A10&lt;=83,A10&lt;&gt;43,A10&lt;&gt;61),"clock-stable","clock-boundary")</f>
        <v/>
      </c>
      <c r="AE10" t="inlineStr">
        <is>
          <t>engine_diff_from_observed</t>
        </is>
      </c>
      <c r="AF10" t="inlineStr">
        <is>
          <t>engine anchor F-24 differs from observed most-abundant F-19</t>
        </is>
      </c>
    </row>
    <row r="11">
      <c r="A11" t="n">
        <v>10</v>
      </c>
      <c r="B11" t="inlineStr">
        <is>
          <t>Ne</t>
        </is>
      </c>
      <c r="C11" t="inlineStr">
        <is>
          <t>Neon</t>
        </is>
      </c>
      <c r="D11">
        <f>A11 + INT(A11 * INT((A11-1)/12) / 12)</f>
        <v/>
      </c>
      <c r="E11">
        <f>A11+D11</f>
        <v/>
      </c>
      <c r="F11">
        <f>VLOOKUP(A11, Observed_Lookup!A:G, 4, FALSE)</f>
        <v/>
      </c>
      <c r="G11">
        <f>VLOOKUP(A11, Observed_Lookup!A:G, 5, FALSE)</f>
        <v/>
      </c>
      <c r="H11">
        <f>VLOOKUP(A11, Observed_Lookup!A:G, 6, FALSE)</f>
        <v/>
      </c>
      <c r="I11">
        <f>IF(F11="","",D11-G11)</f>
        <v/>
      </c>
      <c r="J11">
        <f>IF(F11="","",E11-H11)</f>
        <v/>
      </c>
      <c r="K11">
        <f>GCD(A11,D11)</f>
        <v/>
      </c>
      <c r="L11">
        <f>A11/K11</f>
        <v/>
      </c>
      <c r="M11">
        <f>D11/K11</f>
        <v/>
      </c>
      <c r="N11">
        <f>"("&amp;L11&amp;","&amp;M11&amp;")"</f>
        <v/>
      </c>
      <c r="O11">
        <f>(D11-A11)/E11</f>
        <v/>
      </c>
      <c r="P11">
        <f>V11/W11</f>
        <v/>
      </c>
      <c r="Q11">
        <f>A11</f>
        <v/>
      </c>
      <c r="R11">
        <f>D11</f>
        <v/>
      </c>
      <c r="S11">
        <f>A11</f>
        <v/>
      </c>
      <c r="T11">
        <f>2*A11+D11</f>
        <v/>
      </c>
      <c r="U11">
        <f>A11+2*D11</f>
        <v/>
      </c>
      <c r="V11">
        <f>8*(A11*(7117/768)+(D11-A11)*(1/64))</f>
        <v/>
      </c>
      <c r="W11">
        <f>4*E11*(7117/768)</f>
        <v/>
      </c>
      <c r="X11">
        <f>W11-V11</f>
        <v/>
      </c>
      <c r="Y11">
        <f>IF(P11&lt;1,"substrate-light / mass-heavy",IF(P11&gt;1,"substrate-heavy / mass-light","balanced"))</f>
        <v/>
      </c>
      <c r="Z11">
        <f>IF(F11="","",H11-IFERROR(VLOOKUP(A11, Observed_Lookup!A:G, 7, FALSE),""))</f>
        <v/>
      </c>
      <c r="AA11">
        <f>IF(Z11="","",Z11*931.49410242)</f>
        <v/>
      </c>
      <c r="AB11">
        <f>8*(A11+IF(F11="",D11,G11))-17*(A11+IF(F11="",D11,G11))^(2/3)-(3/4)*A11*(A11-1)/(A11+IF(F11="",D11,G11))^(1/3)-22*(IF(F11="",D11,G11)-A11)^2/(A11+IF(F11="",D11,G11))+7*IF(AND(MOD(A11,2)=0,MOD(IF(F11="",D11,G11),2)=0),1,IF(AND(MOD(A11,2)=1,MOD(IF(F11="",D11,G11),2)=1),-1,0))/SQRT((A11+IF(F11="",D11,G11)))-(25/4)*IF(AND((A11/GCD(A11,IF(F11="",D11,G11)))=1,(IF(F11="",D11,G11)/GCD(A11,IF(F11="",D11,G11)))=1),0,1)</f>
        <v/>
      </c>
      <c r="AC11">
        <f>IF(AA11="","",AA11-AB11)</f>
        <v/>
      </c>
      <c r="AD11">
        <f>IF(AND(A11&lt;=83,A11&lt;&gt;43,A11&lt;&gt;61),"clock-stable","clock-boundary")</f>
        <v/>
      </c>
      <c r="AE11" t="inlineStr">
        <is>
          <t>engine_diff_from_observed</t>
        </is>
      </c>
      <c r="AF11" t="inlineStr">
        <is>
          <t>engine anchor Ne-27 differs from observed most-abundant Ne-20</t>
        </is>
      </c>
    </row>
    <row r="12">
      <c r="A12" t="n">
        <v>11</v>
      </c>
      <c r="B12" t="inlineStr">
        <is>
          <t>Na</t>
        </is>
      </c>
      <c r="C12" t="inlineStr">
        <is>
          <t>Sodium</t>
        </is>
      </c>
      <c r="D12">
        <f>A12 + INT(A12 * INT((A12-1)/12) / 12)</f>
        <v/>
      </c>
      <c r="E12">
        <f>A12+D12</f>
        <v/>
      </c>
      <c r="F12">
        <f>VLOOKUP(A12, Observed_Lookup!A:G, 4, FALSE)</f>
        <v/>
      </c>
      <c r="G12">
        <f>VLOOKUP(A12, Observed_Lookup!A:G, 5, FALSE)</f>
        <v/>
      </c>
      <c r="H12">
        <f>VLOOKUP(A12, Observed_Lookup!A:G, 6, FALSE)</f>
        <v/>
      </c>
      <c r="I12">
        <f>IF(F12="","",D12-G12)</f>
        <v/>
      </c>
      <c r="J12">
        <f>IF(F12="","",E12-H12)</f>
        <v/>
      </c>
      <c r="K12">
        <f>GCD(A12,D12)</f>
        <v/>
      </c>
      <c r="L12">
        <f>A12/K12</f>
        <v/>
      </c>
      <c r="M12">
        <f>D12/K12</f>
        <v/>
      </c>
      <c r="N12">
        <f>"("&amp;L12&amp;","&amp;M12&amp;")"</f>
        <v/>
      </c>
      <c r="O12">
        <f>(D12-A12)/E12</f>
        <v/>
      </c>
      <c r="P12">
        <f>V12/W12</f>
        <v/>
      </c>
      <c r="Q12">
        <f>A12</f>
        <v/>
      </c>
      <c r="R12">
        <f>D12</f>
        <v/>
      </c>
      <c r="S12">
        <f>A12</f>
        <v/>
      </c>
      <c r="T12">
        <f>2*A12+D12</f>
        <v/>
      </c>
      <c r="U12">
        <f>A12+2*D12</f>
        <v/>
      </c>
      <c r="V12">
        <f>8*(A12*(7117/768)+(D12-A12)*(1/64))</f>
        <v/>
      </c>
      <c r="W12">
        <f>4*E12*(7117/768)</f>
        <v/>
      </c>
      <c r="X12">
        <f>W12-V12</f>
        <v/>
      </c>
      <c r="Y12">
        <f>IF(P12&lt;1,"substrate-light / mass-heavy",IF(P12&gt;1,"substrate-heavy / mass-light","balanced"))</f>
        <v/>
      </c>
      <c r="Z12">
        <f>IF(F12="","",H12-IFERROR(VLOOKUP(A12, Observed_Lookup!A:G, 7, FALSE),""))</f>
        <v/>
      </c>
      <c r="AA12">
        <f>IF(Z12="","",Z12*931.49410242)</f>
        <v/>
      </c>
      <c r="AB12">
        <f>8*(A12+IF(F12="",D12,G12))-17*(A12+IF(F12="",D12,G12))^(2/3)-(3/4)*A12*(A12-1)/(A12+IF(F12="",D12,G12))^(1/3)-22*(IF(F12="",D12,G12)-A12)^2/(A12+IF(F12="",D12,G12))+7*IF(AND(MOD(A12,2)=0,MOD(IF(F12="",D12,G12),2)=0),1,IF(AND(MOD(A12,2)=1,MOD(IF(F12="",D12,G12),2)=1),-1,0))/SQRT((A12+IF(F12="",D12,G12)))-(25/4)*IF(AND((A12/GCD(A12,IF(F12="",D12,G12)))=1,(IF(F12="",D12,G12)/GCD(A12,IF(F12="",D12,G12)))=1),0,1)</f>
        <v/>
      </c>
      <c r="AC12">
        <f>IF(AA12="","",AA12-AB12)</f>
        <v/>
      </c>
      <c r="AD12">
        <f>IF(AND(A12&lt;=83,A12&lt;&gt;43,A12&lt;&gt;61),"clock-stable","clock-boundary")</f>
        <v/>
      </c>
      <c r="AE12" t="inlineStr">
        <is>
          <t>engine_diff_from_observed</t>
        </is>
      </c>
      <c r="AF12" t="inlineStr">
        <is>
          <t>engine anchor Na-31 differs from observed most-abundant Na-23</t>
        </is>
      </c>
    </row>
    <row r="13">
      <c r="A13" t="n">
        <v>12</v>
      </c>
      <c r="B13" t="inlineStr">
        <is>
          <t>Mg</t>
        </is>
      </c>
      <c r="C13" t="inlineStr">
        <is>
          <t>Magnesium</t>
        </is>
      </c>
      <c r="D13">
        <f>A13 + INT(A13 * INT((A13-1)/12) / 12)</f>
        <v/>
      </c>
      <c r="E13">
        <f>A13+D13</f>
        <v/>
      </c>
      <c r="F13">
        <f>VLOOKUP(A13, Observed_Lookup!A:G, 4, FALSE)</f>
        <v/>
      </c>
      <c r="G13">
        <f>VLOOKUP(A13, Observed_Lookup!A:G, 5, FALSE)</f>
        <v/>
      </c>
      <c r="H13">
        <f>VLOOKUP(A13, Observed_Lookup!A:G, 6, FALSE)</f>
        <v/>
      </c>
      <c r="I13">
        <f>IF(F13="","",D13-G13)</f>
        <v/>
      </c>
      <c r="J13">
        <f>IF(F13="","",E13-H13)</f>
        <v/>
      </c>
      <c r="K13">
        <f>GCD(A13,D13)</f>
        <v/>
      </c>
      <c r="L13">
        <f>A13/K13</f>
        <v/>
      </c>
      <c r="M13">
        <f>D13/K13</f>
        <v/>
      </c>
      <c r="N13">
        <f>"("&amp;L13&amp;","&amp;M13&amp;")"</f>
        <v/>
      </c>
      <c r="O13">
        <f>(D13-A13)/E13</f>
        <v/>
      </c>
      <c r="P13">
        <f>V13/W13</f>
        <v/>
      </c>
      <c r="Q13">
        <f>A13</f>
        <v/>
      </c>
      <c r="R13">
        <f>D13</f>
        <v/>
      </c>
      <c r="S13">
        <f>A13</f>
        <v/>
      </c>
      <c r="T13">
        <f>2*A13+D13</f>
        <v/>
      </c>
      <c r="U13">
        <f>A13+2*D13</f>
        <v/>
      </c>
      <c r="V13">
        <f>8*(A13*(7117/768)+(D13-A13)*(1/64))</f>
        <v/>
      </c>
      <c r="W13">
        <f>4*E13*(7117/768)</f>
        <v/>
      </c>
      <c r="X13">
        <f>W13-V13</f>
        <v/>
      </c>
      <c r="Y13">
        <f>IF(P13&lt;1,"substrate-light / mass-heavy",IF(P13&gt;1,"substrate-heavy / mass-light","balanced"))</f>
        <v/>
      </c>
      <c r="Z13">
        <f>IF(F13="","",H13-IFERROR(VLOOKUP(A13, Observed_Lookup!A:G, 7, FALSE),""))</f>
        <v/>
      </c>
      <c r="AA13">
        <f>IF(Z13="","",Z13*931.49410242)</f>
        <v/>
      </c>
      <c r="AB13">
        <f>8*(A13+IF(F13="",D13,G13))-17*(A13+IF(F13="",D13,G13))^(2/3)-(3/4)*A13*(A13-1)/(A13+IF(F13="",D13,G13))^(1/3)-22*(IF(F13="",D13,G13)-A13)^2/(A13+IF(F13="",D13,G13))+7*IF(AND(MOD(A13,2)=0,MOD(IF(F13="",D13,G13),2)=0),1,IF(AND(MOD(A13,2)=1,MOD(IF(F13="",D13,G13),2)=1),-1,0))/SQRT((A13+IF(F13="",D13,G13)))-(25/4)*IF(AND((A13/GCD(A13,IF(F13="",D13,G13)))=1,(IF(F13="",D13,G13)/GCD(A13,IF(F13="",D13,G13)))=1),0,1)</f>
        <v/>
      </c>
      <c r="AC13">
        <f>IF(AA13="","",AA13-AB13)</f>
        <v/>
      </c>
      <c r="AD13">
        <f>IF(AND(A13&lt;=83,A13&lt;&gt;43,A13&lt;&gt;61),"clock-stable","clock-boundary")</f>
        <v/>
      </c>
      <c r="AE13" t="inlineStr">
        <is>
          <t>engine_diff_from_observed</t>
        </is>
      </c>
      <c r="AF13" t="inlineStr">
        <is>
          <t>engine anchor Mg-35 differs from observed most-abundant Mg-24</t>
        </is>
      </c>
    </row>
    <row r="14">
      <c r="A14" t="n">
        <v>13</v>
      </c>
      <c r="B14" t="inlineStr">
        <is>
          <t>Al</t>
        </is>
      </c>
      <c r="C14" t="inlineStr">
        <is>
          <t>Aluminum</t>
        </is>
      </c>
      <c r="D14">
        <f>A14 + INT(A14 * INT((A14-1)/12) / 12)</f>
        <v/>
      </c>
      <c r="E14">
        <f>A14+D14</f>
        <v/>
      </c>
      <c r="F14">
        <f>VLOOKUP(A14, Observed_Lookup!A:G, 4, FALSE)</f>
        <v/>
      </c>
      <c r="G14">
        <f>VLOOKUP(A14, Observed_Lookup!A:G, 5, FALSE)</f>
        <v/>
      </c>
      <c r="H14">
        <f>VLOOKUP(A14, Observed_Lookup!A:G, 6, FALSE)</f>
        <v/>
      </c>
      <c r="I14">
        <f>IF(F14="","",D14-G14)</f>
        <v/>
      </c>
      <c r="J14">
        <f>IF(F14="","",E14-H14)</f>
        <v/>
      </c>
      <c r="K14">
        <f>GCD(A14,D14)</f>
        <v/>
      </c>
      <c r="L14">
        <f>A14/K14</f>
        <v/>
      </c>
      <c r="M14">
        <f>D14/K14</f>
        <v/>
      </c>
      <c r="N14">
        <f>"("&amp;L14&amp;","&amp;M14&amp;")"</f>
        <v/>
      </c>
      <c r="O14">
        <f>(D14-A14)/E14</f>
        <v/>
      </c>
      <c r="P14">
        <f>V14/W14</f>
        <v/>
      </c>
      <c r="Q14">
        <f>A14</f>
        <v/>
      </c>
      <c r="R14">
        <f>D14</f>
        <v/>
      </c>
      <c r="S14">
        <f>A14</f>
        <v/>
      </c>
      <c r="T14">
        <f>2*A14+D14</f>
        <v/>
      </c>
      <c r="U14">
        <f>A14+2*D14</f>
        <v/>
      </c>
      <c r="V14">
        <f>8*(A14*(7117/768)+(D14-A14)*(1/64))</f>
        <v/>
      </c>
      <c r="W14">
        <f>4*E14*(7117/768)</f>
        <v/>
      </c>
      <c r="X14">
        <f>W14-V14</f>
        <v/>
      </c>
      <c r="Y14">
        <f>IF(P14&lt;1,"substrate-light / mass-heavy",IF(P14&gt;1,"substrate-heavy / mass-light","balanced"))</f>
        <v/>
      </c>
      <c r="Z14">
        <f>IF(F14="","",H14-IFERROR(VLOOKUP(A14, Observed_Lookup!A:G, 7, FALSE),""))</f>
        <v/>
      </c>
      <c r="AA14">
        <f>IF(Z14="","",Z14*931.49410242)</f>
        <v/>
      </c>
      <c r="AB14">
        <f>8*(A14+IF(F14="",D14,G14))-17*(A14+IF(F14="",D14,G14))^(2/3)-(3/4)*A14*(A14-1)/(A14+IF(F14="",D14,G14))^(1/3)-22*(IF(F14="",D14,G14)-A14)^2/(A14+IF(F14="",D14,G14))+7*IF(AND(MOD(A14,2)=0,MOD(IF(F14="",D14,G14),2)=0),1,IF(AND(MOD(A14,2)=1,MOD(IF(F14="",D14,G14),2)=1),-1,0))/SQRT((A14+IF(F14="",D14,G14)))-(25/4)*IF(AND((A14/GCD(A14,IF(F14="",D14,G14)))=1,(IF(F14="",D14,G14)/GCD(A14,IF(F14="",D14,G14)))=1),0,1)</f>
        <v/>
      </c>
      <c r="AC14">
        <f>IF(AA14="","",AA14-AB14)</f>
        <v/>
      </c>
      <c r="AD14">
        <f>IF(AND(A14&lt;=83,A14&lt;&gt;43,A14&lt;&gt;61),"clock-stable","clock-boundary")</f>
        <v/>
      </c>
      <c r="AE14" t="inlineStr">
        <is>
          <t>engine_diff_from_observed</t>
        </is>
      </c>
      <c r="AF14" t="inlineStr">
        <is>
          <t>engine anchor Al-26 differs from observed most-abundant Al-27</t>
        </is>
      </c>
    </row>
    <row r="15">
      <c r="A15" t="n">
        <v>14</v>
      </c>
      <c r="B15" t="inlineStr">
        <is>
          <t>Si</t>
        </is>
      </c>
      <c r="C15" t="inlineStr">
        <is>
          <t>Silicon</t>
        </is>
      </c>
      <c r="D15">
        <f>A15 + INT(A15 * INT((A15-1)/12) / 12)</f>
        <v/>
      </c>
      <c r="E15">
        <f>A15+D15</f>
        <v/>
      </c>
      <c r="F15">
        <f>VLOOKUP(A15, Observed_Lookup!A:G, 4, FALSE)</f>
        <v/>
      </c>
      <c r="G15">
        <f>VLOOKUP(A15, Observed_Lookup!A:G, 5, FALSE)</f>
        <v/>
      </c>
      <c r="H15">
        <f>VLOOKUP(A15, Observed_Lookup!A:G, 6, FALSE)</f>
        <v/>
      </c>
      <c r="I15">
        <f>IF(F15="","",D15-G15)</f>
        <v/>
      </c>
      <c r="J15">
        <f>IF(F15="","",E15-H15)</f>
        <v/>
      </c>
      <c r="K15">
        <f>GCD(A15,D15)</f>
        <v/>
      </c>
      <c r="L15">
        <f>A15/K15</f>
        <v/>
      </c>
      <c r="M15">
        <f>D15/K15</f>
        <v/>
      </c>
      <c r="N15">
        <f>"("&amp;L15&amp;","&amp;M15&amp;")"</f>
        <v/>
      </c>
      <c r="O15">
        <f>(D15-A15)/E15</f>
        <v/>
      </c>
      <c r="P15">
        <f>V15/W15</f>
        <v/>
      </c>
      <c r="Q15">
        <f>A15</f>
        <v/>
      </c>
      <c r="R15">
        <f>D15</f>
        <v/>
      </c>
      <c r="S15">
        <f>A15</f>
        <v/>
      </c>
      <c r="T15">
        <f>2*A15+D15</f>
        <v/>
      </c>
      <c r="U15">
        <f>A15+2*D15</f>
        <v/>
      </c>
      <c r="V15">
        <f>8*(A15*(7117/768)+(D15-A15)*(1/64))</f>
        <v/>
      </c>
      <c r="W15">
        <f>4*E15*(7117/768)</f>
        <v/>
      </c>
      <c r="X15">
        <f>W15-V15</f>
        <v/>
      </c>
      <c r="Y15">
        <f>IF(P15&lt;1,"substrate-light / mass-heavy",IF(P15&gt;1,"substrate-heavy / mass-light","balanced"))</f>
        <v/>
      </c>
      <c r="Z15">
        <f>IF(F15="","",H15-IFERROR(VLOOKUP(A15, Observed_Lookup!A:G, 7, FALSE),""))</f>
        <v/>
      </c>
      <c r="AA15">
        <f>IF(Z15="","",Z15*931.49410242)</f>
        <v/>
      </c>
      <c r="AB15">
        <f>8*(A15+IF(F15="",D15,G15))-17*(A15+IF(F15="",D15,G15))^(2/3)-(3/4)*A15*(A15-1)/(A15+IF(F15="",D15,G15))^(1/3)-22*(IF(F15="",D15,G15)-A15)^2/(A15+IF(F15="",D15,G15))+7*IF(AND(MOD(A15,2)=0,MOD(IF(F15="",D15,G15),2)=0),1,IF(AND(MOD(A15,2)=1,MOD(IF(F15="",D15,G15),2)=1),-1,0))/SQRT((A15+IF(F15="",D15,G15)))-(25/4)*IF(AND((A15/GCD(A15,IF(F15="",D15,G15)))=1,(IF(F15="",D15,G15)/GCD(A15,IF(F15="",D15,G15)))=1),0,1)</f>
        <v/>
      </c>
      <c r="AC15">
        <f>IF(AA15="","",AA15-AB15)</f>
        <v/>
      </c>
      <c r="AD15">
        <f>IF(AND(A15&lt;=83,A15&lt;&gt;43,A15&lt;&gt;61),"clock-stable","clock-boundary")</f>
        <v/>
      </c>
      <c r="AE15" t="inlineStr">
        <is>
          <t>engine_diff_from_observed</t>
        </is>
      </c>
      <c r="AF15" t="inlineStr">
        <is>
          <t>engine anchor Si-29 differs from observed most-abundant Si-28</t>
        </is>
      </c>
    </row>
    <row r="16">
      <c r="A16" t="n">
        <v>15</v>
      </c>
      <c r="B16" t="inlineStr">
        <is>
          <t>P</t>
        </is>
      </c>
      <c r="C16" t="inlineStr">
        <is>
          <t>Phosphorus</t>
        </is>
      </c>
      <c r="D16">
        <f>A16 + INT(A16 * INT((A16-1)/12) / 12)</f>
        <v/>
      </c>
      <c r="E16">
        <f>A16+D16</f>
        <v/>
      </c>
      <c r="F16">
        <f>VLOOKUP(A16, Observed_Lookup!A:G, 4, FALSE)</f>
        <v/>
      </c>
      <c r="G16">
        <f>VLOOKUP(A16, Observed_Lookup!A:G, 5, FALSE)</f>
        <v/>
      </c>
      <c r="H16">
        <f>VLOOKUP(A16, Observed_Lookup!A:G, 6, FALSE)</f>
        <v/>
      </c>
      <c r="I16">
        <f>IF(F16="","",D16-G16)</f>
        <v/>
      </c>
      <c r="J16">
        <f>IF(F16="","",E16-H16)</f>
        <v/>
      </c>
      <c r="K16">
        <f>GCD(A16,D16)</f>
        <v/>
      </c>
      <c r="L16">
        <f>A16/K16</f>
        <v/>
      </c>
      <c r="M16">
        <f>D16/K16</f>
        <v/>
      </c>
      <c r="N16">
        <f>"("&amp;L16&amp;","&amp;M16&amp;")"</f>
        <v/>
      </c>
      <c r="O16">
        <f>(D16-A16)/E16</f>
        <v/>
      </c>
      <c r="P16">
        <f>V16/W16</f>
        <v/>
      </c>
      <c r="Q16">
        <f>A16</f>
        <v/>
      </c>
      <c r="R16">
        <f>D16</f>
        <v/>
      </c>
      <c r="S16">
        <f>A16</f>
        <v/>
      </c>
      <c r="T16">
        <f>2*A16+D16</f>
        <v/>
      </c>
      <c r="U16">
        <f>A16+2*D16</f>
        <v/>
      </c>
      <c r="V16">
        <f>8*(A16*(7117/768)+(D16-A16)*(1/64))</f>
        <v/>
      </c>
      <c r="W16">
        <f>4*E16*(7117/768)</f>
        <v/>
      </c>
      <c r="X16">
        <f>W16-V16</f>
        <v/>
      </c>
      <c r="Y16">
        <f>IF(P16&lt;1,"substrate-light / mass-heavy",IF(P16&gt;1,"substrate-heavy / mass-light","balanced"))</f>
        <v/>
      </c>
      <c r="Z16">
        <f>IF(F16="","",H16-IFERROR(VLOOKUP(A16, Observed_Lookup!A:G, 7, FALSE),""))</f>
        <v/>
      </c>
      <c r="AA16">
        <f>IF(Z16="","",Z16*931.49410242)</f>
        <v/>
      </c>
      <c r="AB16">
        <f>8*(A16+IF(F16="",D16,G16))-17*(A16+IF(F16="",D16,G16))^(2/3)-(3/4)*A16*(A16-1)/(A16+IF(F16="",D16,G16))^(1/3)-22*(IF(F16="",D16,G16)-A16)^2/(A16+IF(F16="",D16,G16))+7*IF(AND(MOD(A16,2)=0,MOD(IF(F16="",D16,G16),2)=0),1,IF(AND(MOD(A16,2)=1,MOD(IF(F16="",D16,G16),2)=1),-1,0))/SQRT((A16+IF(F16="",D16,G16)))-(25/4)*IF(AND((A16/GCD(A16,IF(F16="",D16,G16)))=1,(IF(F16="",D16,G16)/GCD(A16,IF(F16="",D16,G16)))=1),0,1)</f>
        <v/>
      </c>
      <c r="AC16">
        <f>IF(AA16="","",AA16-AB16)</f>
        <v/>
      </c>
      <c r="AD16">
        <f>IF(AND(A16&lt;=83,A16&lt;&gt;43,A16&lt;&gt;61),"clock-stable","clock-boundary")</f>
        <v/>
      </c>
      <c r="AE16" t="inlineStr">
        <is>
          <t>engine_diff_from_observed</t>
        </is>
      </c>
      <c r="AF16" t="inlineStr">
        <is>
          <t>engine anchor P-32 differs from observed most-abundant P-31</t>
        </is>
      </c>
    </row>
    <row r="17">
      <c r="A17" t="n">
        <v>16</v>
      </c>
      <c r="B17" t="inlineStr">
        <is>
          <t>S</t>
        </is>
      </c>
      <c r="C17" t="inlineStr">
        <is>
          <t>Sulfur</t>
        </is>
      </c>
      <c r="D17">
        <f>A17 + INT(A17 * INT((A17-1)/12) / 12)</f>
        <v/>
      </c>
      <c r="E17">
        <f>A17+D17</f>
        <v/>
      </c>
      <c r="F17">
        <f>VLOOKUP(A17, Observed_Lookup!A:G, 4, FALSE)</f>
        <v/>
      </c>
      <c r="G17">
        <f>VLOOKUP(A17, Observed_Lookup!A:G, 5, FALSE)</f>
        <v/>
      </c>
      <c r="H17">
        <f>VLOOKUP(A17, Observed_Lookup!A:G, 6, FALSE)</f>
        <v/>
      </c>
      <c r="I17">
        <f>IF(F17="","",D17-G17)</f>
        <v/>
      </c>
      <c r="J17">
        <f>IF(F17="","",E17-H17)</f>
        <v/>
      </c>
      <c r="K17">
        <f>GCD(A17,D17)</f>
        <v/>
      </c>
      <c r="L17">
        <f>A17/K17</f>
        <v/>
      </c>
      <c r="M17">
        <f>D17/K17</f>
        <v/>
      </c>
      <c r="N17">
        <f>"("&amp;L17&amp;","&amp;M17&amp;")"</f>
        <v/>
      </c>
      <c r="O17">
        <f>(D17-A17)/E17</f>
        <v/>
      </c>
      <c r="P17">
        <f>V17/W17</f>
        <v/>
      </c>
      <c r="Q17">
        <f>A17</f>
        <v/>
      </c>
      <c r="R17">
        <f>D17</f>
        <v/>
      </c>
      <c r="S17">
        <f>A17</f>
        <v/>
      </c>
      <c r="T17">
        <f>2*A17+D17</f>
        <v/>
      </c>
      <c r="U17">
        <f>A17+2*D17</f>
        <v/>
      </c>
      <c r="V17">
        <f>8*(A17*(7117/768)+(D17-A17)*(1/64))</f>
        <v/>
      </c>
      <c r="W17">
        <f>4*E17*(7117/768)</f>
        <v/>
      </c>
      <c r="X17">
        <f>W17-V17</f>
        <v/>
      </c>
      <c r="Y17">
        <f>IF(P17&lt;1,"substrate-light / mass-heavy",IF(P17&gt;1,"substrate-heavy / mass-light","balanced"))</f>
        <v/>
      </c>
      <c r="Z17">
        <f>IF(F17="","",H17-IFERROR(VLOOKUP(A17, Observed_Lookup!A:G, 7, FALSE),""))</f>
        <v/>
      </c>
      <c r="AA17">
        <f>IF(Z17="","",Z17*931.49410242)</f>
        <v/>
      </c>
      <c r="AB17">
        <f>8*(A17+IF(F17="",D17,G17))-17*(A17+IF(F17="",D17,G17))^(2/3)-(3/4)*A17*(A17-1)/(A17+IF(F17="",D17,G17))^(1/3)-22*(IF(F17="",D17,G17)-A17)^2/(A17+IF(F17="",D17,G17))+7*IF(AND(MOD(A17,2)=0,MOD(IF(F17="",D17,G17),2)=0),1,IF(AND(MOD(A17,2)=1,MOD(IF(F17="",D17,G17),2)=1),-1,0))/SQRT((A17+IF(F17="",D17,G17)))-(25/4)*IF(AND((A17/GCD(A17,IF(F17="",D17,G17)))=1,(IF(F17="",D17,G17)/GCD(A17,IF(F17="",D17,G17)))=1),0,1)</f>
        <v/>
      </c>
      <c r="AC17">
        <f>IF(AA17="","",AA17-AB17)</f>
        <v/>
      </c>
      <c r="AD17">
        <f>IF(AND(A17&lt;=83,A17&lt;&gt;43,A17&lt;&gt;61),"clock-stable","clock-boundary")</f>
        <v/>
      </c>
      <c r="AE17" t="inlineStr">
        <is>
          <t>engine_diff_from_observed</t>
        </is>
      </c>
      <c r="AF17" t="inlineStr">
        <is>
          <t>engine anchor S-36 differs from observed most-abundant S-32</t>
        </is>
      </c>
    </row>
    <row r="18">
      <c r="A18" t="n">
        <v>17</v>
      </c>
      <c r="B18" t="inlineStr">
        <is>
          <t>Cl</t>
        </is>
      </c>
      <c r="C18" t="inlineStr">
        <is>
          <t>Chlorine</t>
        </is>
      </c>
      <c r="D18">
        <f>A18 + INT(A18 * INT((A18-1)/12) / 12)</f>
        <v/>
      </c>
      <c r="E18">
        <f>A18+D18</f>
        <v/>
      </c>
      <c r="F18">
        <f>VLOOKUP(A18, Observed_Lookup!A:G, 4, FALSE)</f>
        <v/>
      </c>
      <c r="G18">
        <f>VLOOKUP(A18, Observed_Lookup!A:G, 5, FALSE)</f>
        <v/>
      </c>
      <c r="H18">
        <f>VLOOKUP(A18, Observed_Lookup!A:G, 6, FALSE)</f>
        <v/>
      </c>
      <c r="I18">
        <f>IF(F18="","",D18-G18)</f>
        <v/>
      </c>
      <c r="J18">
        <f>IF(F18="","",E18-H18)</f>
        <v/>
      </c>
      <c r="K18">
        <f>GCD(A18,D18)</f>
        <v/>
      </c>
      <c r="L18">
        <f>A18/K18</f>
        <v/>
      </c>
      <c r="M18">
        <f>D18/K18</f>
        <v/>
      </c>
      <c r="N18">
        <f>"("&amp;L18&amp;","&amp;M18&amp;")"</f>
        <v/>
      </c>
      <c r="O18">
        <f>(D18-A18)/E18</f>
        <v/>
      </c>
      <c r="P18">
        <f>V18/W18</f>
        <v/>
      </c>
      <c r="Q18">
        <f>A18</f>
        <v/>
      </c>
      <c r="R18">
        <f>D18</f>
        <v/>
      </c>
      <c r="S18">
        <f>A18</f>
        <v/>
      </c>
      <c r="T18">
        <f>2*A18+D18</f>
        <v/>
      </c>
      <c r="U18">
        <f>A18+2*D18</f>
        <v/>
      </c>
      <c r="V18">
        <f>8*(A18*(7117/768)+(D18-A18)*(1/64))</f>
        <v/>
      </c>
      <c r="W18">
        <f>4*E18*(7117/768)</f>
        <v/>
      </c>
      <c r="X18">
        <f>W18-V18</f>
        <v/>
      </c>
      <c r="Y18">
        <f>IF(P18&lt;1,"substrate-light / mass-heavy",IF(P18&gt;1,"substrate-heavy / mass-light","balanced"))</f>
        <v/>
      </c>
      <c r="Z18">
        <f>IF(F18="","",H18-IFERROR(VLOOKUP(A18, Observed_Lookup!A:G, 7, FALSE),""))</f>
        <v/>
      </c>
      <c r="AA18">
        <f>IF(Z18="","",Z18*931.49410242)</f>
        <v/>
      </c>
      <c r="AB18">
        <f>8*(A18+IF(F18="",D18,G18))-17*(A18+IF(F18="",D18,G18))^(2/3)-(3/4)*A18*(A18-1)/(A18+IF(F18="",D18,G18))^(1/3)-22*(IF(F18="",D18,G18)-A18)^2/(A18+IF(F18="",D18,G18))+7*IF(AND(MOD(A18,2)=0,MOD(IF(F18="",D18,G18),2)=0),1,IF(AND(MOD(A18,2)=1,MOD(IF(F18="",D18,G18),2)=1),-1,0))/SQRT((A18+IF(F18="",D18,G18)))-(25/4)*IF(AND((A18/GCD(A18,IF(F18="",D18,G18)))=1,(IF(F18="",D18,G18)/GCD(A18,IF(F18="",D18,G18)))=1),0,1)</f>
        <v/>
      </c>
      <c r="AC18">
        <f>IF(AA18="","",AA18-AB18)</f>
        <v/>
      </c>
      <c r="AD18">
        <f>IF(AND(A18&lt;=83,A18&lt;&gt;43,A18&lt;&gt;61),"clock-stable","clock-boundary")</f>
        <v/>
      </c>
      <c r="AE18" t="inlineStr">
        <is>
          <t>engine_diff_from_observed</t>
        </is>
      </c>
      <c r="AF18" t="inlineStr">
        <is>
          <t>engine anchor Cl-39 differs from observed most-abundant Cl-35</t>
        </is>
      </c>
    </row>
    <row r="19">
      <c r="A19" t="n">
        <v>18</v>
      </c>
      <c r="B19" t="inlineStr">
        <is>
          <t>Ar</t>
        </is>
      </c>
      <c r="C19" t="inlineStr">
        <is>
          <t>Argon</t>
        </is>
      </c>
      <c r="D19">
        <f>A19 + INT(A19 * INT((A19-1)/12) / 12)</f>
        <v/>
      </c>
      <c r="E19">
        <f>A19+D19</f>
        <v/>
      </c>
      <c r="F19">
        <f>VLOOKUP(A19, Observed_Lookup!A:G, 4, FALSE)</f>
        <v/>
      </c>
      <c r="G19">
        <f>VLOOKUP(A19, Observed_Lookup!A:G, 5, FALSE)</f>
        <v/>
      </c>
      <c r="H19">
        <f>VLOOKUP(A19, Observed_Lookup!A:G, 6, FALSE)</f>
        <v/>
      </c>
      <c r="I19">
        <f>IF(F19="","",D19-G19)</f>
        <v/>
      </c>
      <c r="J19">
        <f>IF(F19="","",E19-H19)</f>
        <v/>
      </c>
      <c r="K19">
        <f>GCD(A19,D19)</f>
        <v/>
      </c>
      <c r="L19">
        <f>A19/K19</f>
        <v/>
      </c>
      <c r="M19">
        <f>D19/K19</f>
        <v/>
      </c>
      <c r="N19">
        <f>"("&amp;L19&amp;","&amp;M19&amp;")"</f>
        <v/>
      </c>
      <c r="O19">
        <f>(D19-A19)/E19</f>
        <v/>
      </c>
      <c r="P19">
        <f>V19/W19</f>
        <v/>
      </c>
      <c r="Q19">
        <f>A19</f>
        <v/>
      </c>
      <c r="R19">
        <f>D19</f>
        <v/>
      </c>
      <c r="S19">
        <f>A19</f>
        <v/>
      </c>
      <c r="T19">
        <f>2*A19+D19</f>
        <v/>
      </c>
      <c r="U19">
        <f>A19+2*D19</f>
        <v/>
      </c>
      <c r="V19">
        <f>8*(A19*(7117/768)+(D19-A19)*(1/64))</f>
        <v/>
      </c>
      <c r="W19">
        <f>4*E19*(7117/768)</f>
        <v/>
      </c>
      <c r="X19">
        <f>W19-V19</f>
        <v/>
      </c>
      <c r="Y19">
        <f>IF(P19&lt;1,"substrate-light / mass-heavy",IF(P19&gt;1,"substrate-heavy / mass-light","balanced"))</f>
        <v/>
      </c>
      <c r="Z19">
        <f>IF(F19="","",H19-IFERROR(VLOOKUP(A19, Observed_Lookup!A:G, 7, FALSE),""))</f>
        <v/>
      </c>
      <c r="AA19">
        <f>IF(Z19="","",Z19*931.49410242)</f>
        <v/>
      </c>
      <c r="AB19">
        <f>8*(A19+IF(F19="",D19,G19))-17*(A19+IF(F19="",D19,G19))^(2/3)-(3/4)*A19*(A19-1)/(A19+IF(F19="",D19,G19))^(1/3)-22*(IF(F19="",D19,G19)-A19)^2/(A19+IF(F19="",D19,G19))+7*IF(AND(MOD(A19,2)=0,MOD(IF(F19="",D19,G19),2)=0),1,IF(AND(MOD(A19,2)=1,MOD(IF(F19="",D19,G19),2)=1),-1,0))/SQRT((A19+IF(F19="",D19,G19)))-(25/4)*IF(AND((A19/GCD(A19,IF(F19="",D19,G19)))=1,(IF(F19="",D19,G19)/GCD(A19,IF(F19="",D19,G19)))=1),0,1)</f>
        <v/>
      </c>
      <c r="AC19">
        <f>IF(AA19="","",AA19-AB19)</f>
        <v/>
      </c>
      <c r="AD19">
        <f>IF(AND(A19&lt;=83,A19&lt;&gt;43,A19&lt;&gt;61),"clock-stable","clock-boundary")</f>
        <v/>
      </c>
      <c r="AE19" t="inlineStr">
        <is>
          <t>engine_diff_from_observed</t>
        </is>
      </c>
      <c r="AF19" t="inlineStr">
        <is>
          <t>engine anchor Ar-43 differs from observed most-abundant Ar-40</t>
        </is>
      </c>
    </row>
    <row r="20">
      <c r="A20" t="n">
        <v>19</v>
      </c>
      <c r="B20" t="inlineStr">
        <is>
          <t>K</t>
        </is>
      </c>
      <c r="C20" t="inlineStr">
        <is>
          <t>Potassium</t>
        </is>
      </c>
      <c r="D20">
        <f>A20 + INT(A20 * INT((A20-1)/12) / 12)</f>
        <v/>
      </c>
      <c r="E20">
        <f>A20+D20</f>
        <v/>
      </c>
      <c r="F20">
        <f>VLOOKUP(A20, Observed_Lookup!A:G, 4, FALSE)</f>
        <v/>
      </c>
      <c r="G20">
        <f>VLOOKUP(A20, Observed_Lookup!A:G, 5, FALSE)</f>
        <v/>
      </c>
      <c r="H20">
        <f>VLOOKUP(A20, Observed_Lookup!A:G, 6, FALSE)</f>
        <v/>
      </c>
      <c r="I20">
        <f>IF(F20="","",D20-G20)</f>
        <v/>
      </c>
      <c r="J20">
        <f>IF(F20="","",E20-H20)</f>
        <v/>
      </c>
      <c r="K20">
        <f>GCD(A20,D20)</f>
        <v/>
      </c>
      <c r="L20">
        <f>A20/K20</f>
        <v/>
      </c>
      <c r="M20">
        <f>D20/K20</f>
        <v/>
      </c>
      <c r="N20">
        <f>"("&amp;L20&amp;","&amp;M20&amp;")"</f>
        <v/>
      </c>
      <c r="O20">
        <f>(D20-A20)/E20</f>
        <v/>
      </c>
      <c r="P20">
        <f>V20/W20</f>
        <v/>
      </c>
      <c r="Q20">
        <f>A20</f>
        <v/>
      </c>
      <c r="R20">
        <f>D20</f>
        <v/>
      </c>
      <c r="S20">
        <f>A20</f>
        <v/>
      </c>
      <c r="T20">
        <f>2*A20+D20</f>
        <v/>
      </c>
      <c r="U20">
        <f>A20+2*D20</f>
        <v/>
      </c>
      <c r="V20">
        <f>8*(A20*(7117/768)+(D20-A20)*(1/64))</f>
        <v/>
      </c>
      <c r="W20">
        <f>4*E20*(7117/768)</f>
        <v/>
      </c>
      <c r="X20">
        <f>W20-V20</f>
        <v/>
      </c>
      <c r="Y20">
        <f>IF(P20&lt;1,"substrate-light / mass-heavy",IF(P20&gt;1,"substrate-heavy / mass-light","balanced"))</f>
        <v/>
      </c>
      <c r="Z20">
        <f>IF(F20="","",H20-IFERROR(VLOOKUP(A20, Observed_Lookup!A:G, 7, FALSE),""))</f>
        <v/>
      </c>
      <c r="AA20">
        <f>IF(Z20="","",Z20*931.49410242)</f>
        <v/>
      </c>
      <c r="AB20">
        <f>8*(A20+IF(F20="",D20,G20))-17*(A20+IF(F20="",D20,G20))^(2/3)-(3/4)*A20*(A20-1)/(A20+IF(F20="",D20,G20))^(1/3)-22*(IF(F20="",D20,G20)-A20)^2/(A20+IF(F20="",D20,G20))+7*IF(AND(MOD(A20,2)=0,MOD(IF(F20="",D20,G20),2)=0),1,IF(AND(MOD(A20,2)=1,MOD(IF(F20="",D20,G20),2)=1),-1,0))/SQRT((A20+IF(F20="",D20,G20)))-(25/4)*IF(AND((A20/GCD(A20,IF(F20="",D20,G20)))=1,(IF(F20="",D20,G20)/GCD(A20,IF(F20="",D20,G20)))=1),0,1)</f>
        <v/>
      </c>
      <c r="AC20">
        <f>IF(AA20="","",AA20-AB20)</f>
        <v/>
      </c>
      <c r="AD20">
        <f>IF(AND(A20&lt;=83,A20&lt;&gt;43,A20&lt;&gt;61),"clock-stable","clock-boundary")</f>
        <v/>
      </c>
      <c r="AE20" t="inlineStr">
        <is>
          <t>engine_diff_from_observed</t>
        </is>
      </c>
      <c r="AF20" t="inlineStr">
        <is>
          <t>engine anchor K-47 differs from observed most-abundant K-39</t>
        </is>
      </c>
    </row>
    <row r="21">
      <c r="A21" t="n">
        <v>20</v>
      </c>
      <c r="B21" t="inlineStr">
        <is>
          <t>Ca</t>
        </is>
      </c>
      <c r="C21" t="inlineStr">
        <is>
          <t>Calcium</t>
        </is>
      </c>
      <c r="D21">
        <f>A21 + INT(A21 * INT((A21-1)/12) / 12)</f>
        <v/>
      </c>
      <c r="E21">
        <f>A21+D21</f>
        <v/>
      </c>
      <c r="F21">
        <f>VLOOKUP(A21, Observed_Lookup!A:G, 4, FALSE)</f>
        <v/>
      </c>
      <c r="G21">
        <f>VLOOKUP(A21, Observed_Lookup!A:G, 5, FALSE)</f>
        <v/>
      </c>
      <c r="H21">
        <f>VLOOKUP(A21, Observed_Lookup!A:G, 6, FALSE)</f>
        <v/>
      </c>
      <c r="I21">
        <f>IF(F21="","",D21-G21)</f>
        <v/>
      </c>
      <c r="J21">
        <f>IF(F21="","",E21-H21)</f>
        <v/>
      </c>
      <c r="K21">
        <f>GCD(A21,D21)</f>
        <v/>
      </c>
      <c r="L21">
        <f>A21/K21</f>
        <v/>
      </c>
      <c r="M21">
        <f>D21/K21</f>
        <v/>
      </c>
      <c r="N21">
        <f>"("&amp;L21&amp;","&amp;M21&amp;")"</f>
        <v/>
      </c>
      <c r="O21">
        <f>(D21-A21)/E21</f>
        <v/>
      </c>
      <c r="P21">
        <f>V21/W21</f>
        <v/>
      </c>
      <c r="Q21">
        <f>A21</f>
        <v/>
      </c>
      <c r="R21">
        <f>D21</f>
        <v/>
      </c>
      <c r="S21">
        <f>A21</f>
        <v/>
      </c>
      <c r="T21">
        <f>2*A21+D21</f>
        <v/>
      </c>
      <c r="U21">
        <f>A21+2*D21</f>
        <v/>
      </c>
      <c r="V21">
        <f>8*(A21*(7117/768)+(D21-A21)*(1/64))</f>
        <v/>
      </c>
      <c r="W21">
        <f>4*E21*(7117/768)</f>
        <v/>
      </c>
      <c r="X21">
        <f>W21-V21</f>
        <v/>
      </c>
      <c r="Y21">
        <f>IF(P21&lt;1,"substrate-light / mass-heavy",IF(P21&gt;1,"substrate-heavy / mass-light","balanced"))</f>
        <v/>
      </c>
      <c r="Z21">
        <f>IF(F21="","",H21-IFERROR(VLOOKUP(A21, Observed_Lookup!A:G, 7, FALSE),""))</f>
        <v/>
      </c>
      <c r="AA21">
        <f>IF(Z21="","",Z21*931.49410242)</f>
        <v/>
      </c>
      <c r="AB21">
        <f>8*(A21+IF(F21="",D21,G21))-17*(A21+IF(F21="",D21,G21))^(2/3)-(3/4)*A21*(A21-1)/(A21+IF(F21="",D21,G21))^(1/3)-22*(IF(F21="",D21,G21)-A21)^2/(A21+IF(F21="",D21,G21))+7*IF(AND(MOD(A21,2)=0,MOD(IF(F21="",D21,G21),2)=0),1,IF(AND(MOD(A21,2)=1,MOD(IF(F21="",D21,G21),2)=1),-1,0))/SQRT((A21+IF(F21="",D21,G21)))-(25/4)*IF(AND((A21/GCD(A21,IF(F21="",D21,G21)))=1,(IF(F21="",D21,G21)/GCD(A21,IF(F21="",D21,G21)))=1),0,1)</f>
        <v/>
      </c>
      <c r="AC21">
        <f>IF(AA21="","",AA21-AB21)</f>
        <v/>
      </c>
      <c r="AD21">
        <f>IF(AND(A21&lt;=83,A21&lt;&gt;43,A21&lt;&gt;61),"clock-stable","clock-boundary")</f>
        <v/>
      </c>
      <c r="AE21" t="inlineStr">
        <is>
          <t>engine_diff_from_observed</t>
        </is>
      </c>
      <c r="AF21" t="inlineStr">
        <is>
          <t>engine anchor Ca-51 differs from observed most-abundant Ca-40</t>
        </is>
      </c>
    </row>
    <row r="22">
      <c r="A22" t="n">
        <v>21</v>
      </c>
      <c r="B22" t="inlineStr">
        <is>
          <t>Sc</t>
        </is>
      </c>
      <c r="C22" t="inlineStr">
        <is>
          <t>Scandium</t>
        </is>
      </c>
      <c r="D22">
        <f>A22 + INT(A22 * INT((A22-1)/12) / 12)</f>
        <v/>
      </c>
      <c r="E22">
        <f>A22+D22</f>
        <v/>
      </c>
      <c r="F22">
        <f>VLOOKUP(A22, Observed_Lookup!A:G, 4, FALSE)</f>
        <v/>
      </c>
      <c r="G22">
        <f>VLOOKUP(A22, Observed_Lookup!A:G, 5, FALSE)</f>
        <v/>
      </c>
      <c r="H22">
        <f>VLOOKUP(A22, Observed_Lookup!A:G, 6, FALSE)</f>
        <v/>
      </c>
      <c r="I22">
        <f>IF(F22="","",D22-G22)</f>
        <v/>
      </c>
      <c r="J22">
        <f>IF(F22="","",E22-H22)</f>
        <v/>
      </c>
      <c r="K22">
        <f>GCD(A22,D22)</f>
        <v/>
      </c>
      <c r="L22">
        <f>A22/K22</f>
        <v/>
      </c>
      <c r="M22">
        <f>D22/K22</f>
        <v/>
      </c>
      <c r="N22">
        <f>"("&amp;L22&amp;","&amp;M22&amp;")"</f>
        <v/>
      </c>
      <c r="O22">
        <f>(D22-A22)/E22</f>
        <v/>
      </c>
      <c r="P22">
        <f>V22/W22</f>
        <v/>
      </c>
      <c r="Q22">
        <f>A22</f>
        <v/>
      </c>
      <c r="R22">
        <f>D22</f>
        <v/>
      </c>
      <c r="S22">
        <f>A22</f>
        <v/>
      </c>
      <c r="T22">
        <f>2*A22+D22</f>
        <v/>
      </c>
      <c r="U22">
        <f>A22+2*D22</f>
        <v/>
      </c>
      <c r="V22">
        <f>8*(A22*(7117/768)+(D22-A22)*(1/64))</f>
        <v/>
      </c>
      <c r="W22">
        <f>4*E22*(7117/768)</f>
        <v/>
      </c>
      <c r="X22">
        <f>W22-V22</f>
        <v/>
      </c>
      <c r="Y22">
        <f>IF(P22&lt;1,"substrate-light / mass-heavy",IF(P22&gt;1,"substrate-heavy / mass-light","balanced"))</f>
        <v/>
      </c>
      <c r="Z22">
        <f>IF(F22="","",H22-IFERROR(VLOOKUP(A22, Observed_Lookup!A:G, 7, FALSE),""))</f>
        <v/>
      </c>
      <c r="AA22">
        <f>IF(Z22="","",Z22*931.49410242)</f>
        <v/>
      </c>
      <c r="AB22">
        <f>8*(A22+IF(F22="",D22,G22))-17*(A22+IF(F22="",D22,G22))^(2/3)-(3/4)*A22*(A22-1)/(A22+IF(F22="",D22,G22))^(1/3)-22*(IF(F22="",D22,G22)-A22)^2/(A22+IF(F22="",D22,G22))+7*IF(AND(MOD(A22,2)=0,MOD(IF(F22="",D22,G22),2)=0),1,IF(AND(MOD(A22,2)=1,MOD(IF(F22="",D22,G22),2)=1),-1,0))/SQRT((A22+IF(F22="",D22,G22)))-(25/4)*IF(AND((A22/GCD(A22,IF(F22="",D22,G22)))=1,(IF(F22="",D22,G22)/GCD(A22,IF(F22="",D22,G22)))=1),0,1)</f>
        <v/>
      </c>
      <c r="AC22">
        <f>IF(AA22="","",AA22-AB22)</f>
        <v/>
      </c>
      <c r="AD22">
        <f>IF(AND(A22&lt;=83,A22&lt;&gt;43,A22&lt;&gt;61),"clock-stable","clock-boundary")</f>
        <v/>
      </c>
      <c r="AE22" t="inlineStr">
        <is>
          <t>engine_diff_from_observed</t>
        </is>
      </c>
      <c r="AF22" t="inlineStr">
        <is>
          <t>engine anchor Sc-56 differs from observed most-abundant Sc-45</t>
        </is>
      </c>
    </row>
    <row r="23">
      <c r="A23" t="n">
        <v>22</v>
      </c>
      <c r="B23" t="inlineStr">
        <is>
          <t>Ti</t>
        </is>
      </c>
      <c r="C23" t="inlineStr">
        <is>
          <t>Titanium</t>
        </is>
      </c>
      <c r="D23">
        <f>A23 + INT(A23 * INT((A23-1)/12) / 12)</f>
        <v/>
      </c>
      <c r="E23">
        <f>A23+D23</f>
        <v/>
      </c>
      <c r="F23">
        <f>VLOOKUP(A23, Observed_Lookup!A:G, 4, FALSE)</f>
        <v/>
      </c>
      <c r="G23">
        <f>VLOOKUP(A23, Observed_Lookup!A:G, 5, FALSE)</f>
        <v/>
      </c>
      <c r="H23">
        <f>VLOOKUP(A23, Observed_Lookup!A:G, 6, FALSE)</f>
        <v/>
      </c>
      <c r="I23">
        <f>IF(F23="","",D23-G23)</f>
        <v/>
      </c>
      <c r="J23">
        <f>IF(F23="","",E23-H23)</f>
        <v/>
      </c>
      <c r="K23">
        <f>GCD(A23,D23)</f>
        <v/>
      </c>
      <c r="L23">
        <f>A23/K23</f>
        <v/>
      </c>
      <c r="M23">
        <f>D23/K23</f>
        <v/>
      </c>
      <c r="N23">
        <f>"("&amp;L23&amp;","&amp;M23&amp;")"</f>
        <v/>
      </c>
      <c r="O23">
        <f>(D23-A23)/E23</f>
        <v/>
      </c>
      <c r="P23">
        <f>V23/W23</f>
        <v/>
      </c>
      <c r="Q23">
        <f>A23</f>
        <v/>
      </c>
      <c r="R23">
        <f>D23</f>
        <v/>
      </c>
      <c r="S23">
        <f>A23</f>
        <v/>
      </c>
      <c r="T23">
        <f>2*A23+D23</f>
        <v/>
      </c>
      <c r="U23">
        <f>A23+2*D23</f>
        <v/>
      </c>
      <c r="V23">
        <f>8*(A23*(7117/768)+(D23-A23)*(1/64))</f>
        <v/>
      </c>
      <c r="W23">
        <f>4*E23*(7117/768)</f>
        <v/>
      </c>
      <c r="X23">
        <f>W23-V23</f>
        <v/>
      </c>
      <c r="Y23">
        <f>IF(P23&lt;1,"substrate-light / mass-heavy",IF(P23&gt;1,"substrate-heavy / mass-light","balanced"))</f>
        <v/>
      </c>
      <c r="Z23">
        <f>IF(F23="","",H23-IFERROR(VLOOKUP(A23, Observed_Lookup!A:G, 7, FALSE),""))</f>
        <v/>
      </c>
      <c r="AA23">
        <f>IF(Z23="","",Z23*931.49410242)</f>
        <v/>
      </c>
      <c r="AB23">
        <f>8*(A23+IF(F23="",D23,G23))-17*(A23+IF(F23="",D23,G23))^(2/3)-(3/4)*A23*(A23-1)/(A23+IF(F23="",D23,G23))^(1/3)-22*(IF(F23="",D23,G23)-A23)^2/(A23+IF(F23="",D23,G23))+7*IF(AND(MOD(A23,2)=0,MOD(IF(F23="",D23,G23),2)=0),1,IF(AND(MOD(A23,2)=1,MOD(IF(F23="",D23,G23),2)=1),-1,0))/SQRT((A23+IF(F23="",D23,G23)))-(25/4)*IF(AND((A23/GCD(A23,IF(F23="",D23,G23)))=1,(IF(F23="",D23,G23)/GCD(A23,IF(F23="",D23,G23)))=1),0,1)</f>
        <v/>
      </c>
      <c r="AC23">
        <f>IF(AA23="","",AA23-AB23)</f>
        <v/>
      </c>
      <c r="AD23">
        <f>IF(AND(A23&lt;=83,A23&lt;&gt;43,A23&lt;&gt;61),"clock-stable","clock-boundary")</f>
        <v/>
      </c>
      <c r="AE23" t="inlineStr">
        <is>
          <t>engine_diff_from_observed</t>
        </is>
      </c>
      <c r="AF23" t="inlineStr">
        <is>
          <t>engine anchor Ti-60 differs from observed most-abundant Ti-48</t>
        </is>
      </c>
    </row>
    <row r="24">
      <c r="A24" t="n">
        <v>23</v>
      </c>
      <c r="B24" t="inlineStr">
        <is>
          <t>V</t>
        </is>
      </c>
      <c r="C24" t="inlineStr">
        <is>
          <t>Vanadium</t>
        </is>
      </c>
      <c r="D24">
        <f>A24 + INT(A24 * INT((A24-1)/12) / 12)</f>
        <v/>
      </c>
      <c r="E24">
        <f>A24+D24</f>
        <v/>
      </c>
      <c r="F24">
        <f>VLOOKUP(A24, Observed_Lookup!A:G, 4, FALSE)</f>
        <v/>
      </c>
      <c r="G24">
        <f>VLOOKUP(A24, Observed_Lookup!A:G, 5, FALSE)</f>
        <v/>
      </c>
      <c r="H24">
        <f>VLOOKUP(A24, Observed_Lookup!A:G, 6, FALSE)</f>
        <v/>
      </c>
      <c r="I24">
        <f>IF(F24="","",D24-G24)</f>
        <v/>
      </c>
      <c r="J24">
        <f>IF(F24="","",E24-H24)</f>
        <v/>
      </c>
      <c r="K24">
        <f>GCD(A24,D24)</f>
        <v/>
      </c>
      <c r="L24">
        <f>A24/K24</f>
        <v/>
      </c>
      <c r="M24">
        <f>D24/K24</f>
        <v/>
      </c>
      <c r="N24">
        <f>"("&amp;L24&amp;","&amp;M24&amp;")"</f>
        <v/>
      </c>
      <c r="O24">
        <f>(D24-A24)/E24</f>
        <v/>
      </c>
      <c r="P24">
        <f>V24/W24</f>
        <v/>
      </c>
      <c r="Q24">
        <f>A24</f>
        <v/>
      </c>
      <c r="R24">
        <f>D24</f>
        <v/>
      </c>
      <c r="S24">
        <f>A24</f>
        <v/>
      </c>
      <c r="T24">
        <f>2*A24+D24</f>
        <v/>
      </c>
      <c r="U24">
        <f>A24+2*D24</f>
        <v/>
      </c>
      <c r="V24">
        <f>8*(A24*(7117/768)+(D24-A24)*(1/64))</f>
        <v/>
      </c>
      <c r="W24">
        <f>4*E24*(7117/768)</f>
        <v/>
      </c>
      <c r="X24">
        <f>W24-V24</f>
        <v/>
      </c>
      <c r="Y24">
        <f>IF(P24&lt;1,"substrate-light / mass-heavy",IF(P24&gt;1,"substrate-heavy / mass-light","balanced"))</f>
        <v/>
      </c>
      <c r="Z24">
        <f>IF(F24="","",H24-IFERROR(VLOOKUP(A24, Observed_Lookup!A:G, 7, FALSE),""))</f>
        <v/>
      </c>
      <c r="AA24">
        <f>IF(Z24="","",Z24*931.49410242)</f>
        <v/>
      </c>
      <c r="AB24">
        <f>8*(A24+IF(F24="",D24,G24))-17*(A24+IF(F24="",D24,G24))^(2/3)-(3/4)*A24*(A24-1)/(A24+IF(F24="",D24,G24))^(1/3)-22*(IF(F24="",D24,G24)-A24)^2/(A24+IF(F24="",D24,G24))+7*IF(AND(MOD(A24,2)=0,MOD(IF(F24="",D24,G24),2)=0),1,IF(AND(MOD(A24,2)=1,MOD(IF(F24="",D24,G24),2)=1),-1,0))/SQRT((A24+IF(F24="",D24,G24)))-(25/4)*IF(AND((A24/GCD(A24,IF(F24="",D24,G24)))=1,(IF(F24="",D24,G24)/GCD(A24,IF(F24="",D24,G24)))=1),0,1)</f>
        <v/>
      </c>
      <c r="AC24">
        <f>IF(AA24="","",AA24-AB24)</f>
        <v/>
      </c>
      <c r="AD24">
        <f>IF(AND(A24&lt;=83,A24&lt;&gt;43,A24&lt;&gt;61),"clock-stable","clock-boundary")</f>
        <v/>
      </c>
      <c r="AE24" t="inlineStr">
        <is>
          <t>engine_diff_from_observed</t>
        </is>
      </c>
      <c r="AF24" t="inlineStr">
        <is>
          <t>engine anchor V-65 differs from observed most-abundant V-51</t>
        </is>
      </c>
    </row>
    <row r="25">
      <c r="A25" t="n">
        <v>24</v>
      </c>
      <c r="B25" t="inlineStr">
        <is>
          <t>Cr</t>
        </is>
      </c>
      <c r="C25" t="inlineStr">
        <is>
          <t>Chromium</t>
        </is>
      </c>
      <c r="D25">
        <f>A25 + INT(A25 * INT((A25-1)/12) / 12)</f>
        <v/>
      </c>
      <c r="E25">
        <f>A25+D25</f>
        <v/>
      </c>
      <c r="F25">
        <f>VLOOKUP(A25, Observed_Lookup!A:G, 4, FALSE)</f>
        <v/>
      </c>
      <c r="G25">
        <f>VLOOKUP(A25, Observed_Lookup!A:G, 5, FALSE)</f>
        <v/>
      </c>
      <c r="H25">
        <f>VLOOKUP(A25, Observed_Lookup!A:G, 6, FALSE)</f>
        <v/>
      </c>
      <c r="I25">
        <f>IF(F25="","",D25-G25)</f>
        <v/>
      </c>
      <c r="J25">
        <f>IF(F25="","",E25-H25)</f>
        <v/>
      </c>
      <c r="K25">
        <f>GCD(A25,D25)</f>
        <v/>
      </c>
      <c r="L25">
        <f>A25/K25</f>
        <v/>
      </c>
      <c r="M25">
        <f>D25/K25</f>
        <v/>
      </c>
      <c r="N25">
        <f>"("&amp;L25&amp;","&amp;M25&amp;")"</f>
        <v/>
      </c>
      <c r="O25">
        <f>(D25-A25)/E25</f>
        <v/>
      </c>
      <c r="P25">
        <f>V25/W25</f>
        <v/>
      </c>
      <c r="Q25">
        <f>A25</f>
        <v/>
      </c>
      <c r="R25">
        <f>D25</f>
        <v/>
      </c>
      <c r="S25">
        <f>A25</f>
        <v/>
      </c>
      <c r="T25">
        <f>2*A25+D25</f>
        <v/>
      </c>
      <c r="U25">
        <f>A25+2*D25</f>
        <v/>
      </c>
      <c r="V25">
        <f>8*(A25*(7117/768)+(D25-A25)*(1/64))</f>
        <v/>
      </c>
      <c r="W25">
        <f>4*E25*(7117/768)</f>
        <v/>
      </c>
      <c r="X25">
        <f>W25-V25</f>
        <v/>
      </c>
      <c r="Y25">
        <f>IF(P25&lt;1,"substrate-light / mass-heavy",IF(P25&gt;1,"substrate-heavy / mass-light","balanced"))</f>
        <v/>
      </c>
      <c r="Z25">
        <f>IF(F25="","",H25-IFERROR(VLOOKUP(A25, Observed_Lookup!A:G, 7, FALSE),""))</f>
        <v/>
      </c>
      <c r="AA25">
        <f>IF(Z25="","",Z25*931.49410242)</f>
        <v/>
      </c>
      <c r="AB25">
        <f>8*(A25+IF(F25="",D25,G25))-17*(A25+IF(F25="",D25,G25))^(2/3)-(3/4)*A25*(A25-1)/(A25+IF(F25="",D25,G25))^(1/3)-22*(IF(F25="",D25,G25)-A25)^2/(A25+IF(F25="",D25,G25))+7*IF(AND(MOD(A25,2)=0,MOD(IF(F25="",D25,G25),2)=0),1,IF(AND(MOD(A25,2)=1,MOD(IF(F25="",D25,G25),2)=1),-1,0))/SQRT((A25+IF(F25="",D25,G25)))-(25/4)*IF(AND((A25/GCD(A25,IF(F25="",D25,G25)))=1,(IF(F25="",D25,G25)/GCD(A25,IF(F25="",D25,G25)))=1),0,1)</f>
        <v/>
      </c>
      <c r="AC25">
        <f>IF(AA25="","",AA25-AB25)</f>
        <v/>
      </c>
      <c r="AD25">
        <f>IF(AND(A25&lt;=83,A25&lt;&gt;43,A25&lt;&gt;61),"clock-stable","clock-boundary")</f>
        <v/>
      </c>
      <c r="AE25" t="inlineStr">
        <is>
          <t>engine_diff_from_observed</t>
        </is>
      </c>
      <c r="AF25" t="inlineStr">
        <is>
          <t>engine anchor Cr-70 differs from observed most-abundant Cr-52</t>
        </is>
      </c>
    </row>
    <row r="26">
      <c r="A26" t="n">
        <v>25</v>
      </c>
      <c r="B26" t="inlineStr">
        <is>
          <t>Mn</t>
        </is>
      </c>
      <c r="C26" t="inlineStr">
        <is>
          <t>Manganese</t>
        </is>
      </c>
      <c r="D26">
        <f>A26 + INT(A26 * INT((A26-1)/12) / 12)</f>
        <v/>
      </c>
      <c r="E26">
        <f>A26+D26</f>
        <v/>
      </c>
      <c r="F26">
        <f>VLOOKUP(A26, Observed_Lookup!A:G, 4, FALSE)</f>
        <v/>
      </c>
      <c r="G26">
        <f>VLOOKUP(A26, Observed_Lookup!A:G, 5, FALSE)</f>
        <v/>
      </c>
      <c r="H26">
        <f>VLOOKUP(A26, Observed_Lookup!A:G, 6, FALSE)</f>
        <v/>
      </c>
      <c r="I26">
        <f>IF(F26="","",D26-G26)</f>
        <v/>
      </c>
      <c r="J26">
        <f>IF(F26="","",E26-H26)</f>
        <v/>
      </c>
      <c r="K26">
        <f>GCD(A26,D26)</f>
        <v/>
      </c>
      <c r="L26">
        <f>A26/K26</f>
        <v/>
      </c>
      <c r="M26">
        <f>D26/K26</f>
        <v/>
      </c>
      <c r="N26">
        <f>"("&amp;L26&amp;","&amp;M26&amp;")"</f>
        <v/>
      </c>
      <c r="O26">
        <f>(D26-A26)/E26</f>
        <v/>
      </c>
      <c r="P26">
        <f>V26/W26</f>
        <v/>
      </c>
      <c r="Q26">
        <f>A26</f>
        <v/>
      </c>
      <c r="R26">
        <f>D26</f>
        <v/>
      </c>
      <c r="S26">
        <f>A26</f>
        <v/>
      </c>
      <c r="T26">
        <f>2*A26+D26</f>
        <v/>
      </c>
      <c r="U26">
        <f>A26+2*D26</f>
        <v/>
      </c>
      <c r="V26">
        <f>8*(A26*(7117/768)+(D26-A26)*(1/64))</f>
        <v/>
      </c>
      <c r="W26">
        <f>4*E26*(7117/768)</f>
        <v/>
      </c>
      <c r="X26">
        <f>W26-V26</f>
        <v/>
      </c>
      <c r="Y26">
        <f>IF(P26&lt;1,"substrate-light / mass-heavy",IF(P26&gt;1,"substrate-heavy / mass-light","balanced"))</f>
        <v/>
      </c>
      <c r="Z26">
        <f>IF(F26="","",H26-IFERROR(VLOOKUP(A26, Observed_Lookup!A:G, 7, FALSE),""))</f>
        <v/>
      </c>
      <c r="AA26">
        <f>IF(Z26="","",Z26*931.49410242)</f>
        <v/>
      </c>
      <c r="AB26">
        <f>8*(A26+IF(F26="",D26,G26))-17*(A26+IF(F26="",D26,G26))^(2/3)-(3/4)*A26*(A26-1)/(A26+IF(F26="",D26,G26))^(1/3)-22*(IF(F26="",D26,G26)-A26)^2/(A26+IF(F26="",D26,G26))+7*IF(AND(MOD(A26,2)=0,MOD(IF(F26="",D26,G26),2)=0),1,IF(AND(MOD(A26,2)=1,MOD(IF(F26="",D26,G26),2)=1),-1,0))/SQRT((A26+IF(F26="",D26,G26)))-(25/4)*IF(AND((A26/GCD(A26,IF(F26="",D26,G26)))=1,(IF(F26="",D26,G26)/GCD(A26,IF(F26="",D26,G26)))=1),0,1)</f>
        <v/>
      </c>
      <c r="AC26">
        <f>IF(AA26="","",AA26-AB26)</f>
        <v/>
      </c>
      <c r="AD26">
        <f>IF(AND(A26&lt;=83,A26&lt;&gt;43,A26&lt;&gt;61),"clock-stable","clock-boundary")</f>
        <v/>
      </c>
      <c r="AE26" t="inlineStr">
        <is>
          <t>engine_diff_from_observed</t>
        </is>
      </c>
      <c r="AF26" t="inlineStr">
        <is>
          <t>engine anchor Mn-50 differs from observed most-abundant Mn-55</t>
        </is>
      </c>
    </row>
    <row r="27">
      <c r="A27" t="n">
        <v>26</v>
      </c>
      <c r="B27" t="inlineStr">
        <is>
          <t>Fe</t>
        </is>
      </c>
      <c r="C27" t="inlineStr">
        <is>
          <t>Iron</t>
        </is>
      </c>
      <c r="D27">
        <f>A27 + INT(A27 * INT((A27-1)/12) / 12)</f>
        <v/>
      </c>
      <c r="E27">
        <f>A27+D27</f>
        <v/>
      </c>
      <c r="F27">
        <f>VLOOKUP(A27, Observed_Lookup!A:G, 4, FALSE)</f>
        <v/>
      </c>
      <c r="G27">
        <f>VLOOKUP(A27, Observed_Lookup!A:G, 5, FALSE)</f>
        <v/>
      </c>
      <c r="H27">
        <f>VLOOKUP(A27, Observed_Lookup!A:G, 6, FALSE)</f>
        <v/>
      </c>
      <c r="I27">
        <f>IF(F27="","",D27-G27)</f>
        <v/>
      </c>
      <c r="J27">
        <f>IF(F27="","",E27-H27)</f>
        <v/>
      </c>
      <c r="K27">
        <f>GCD(A27,D27)</f>
        <v/>
      </c>
      <c r="L27">
        <f>A27/K27</f>
        <v/>
      </c>
      <c r="M27">
        <f>D27/K27</f>
        <v/>
      </c>
      <c r="N27">
        <f>"("&amp;L27&amp;","&amp;M27&amp;")"</f>
        <v/>
      </c>
      <c r="O27">
        <f>(D27-A27)/E27</f>
        <v/>
      </c>
      <c r="P27">
        <f>V27/W27</f>
        <v/>
      </c>
      <c r="Q27">
        <f>A27</f>
        <v/>
      </c>
      <c r="R27">
        <f>D27</f>
        <v/>
      </c>
      <c r="S27">
        <f>A27</f>
        <v/>
      </c>
      <c r="T27">
        <f>2*A27+D27</f>
        <v/>
      </c>
      <c r="U27">
        <f>A27+2*D27</f>
        <v/>
      </c>
      <c r="V27">
        <f>8*(A27*(7117/768)+(D27-A27)*(1/64))</f>
        <v/>
      </c>
      <c r="W27">
        <f>4*E27*(7117/768)</f>
        <v/>
      </c>
      <c r="X27">
        <f>W27-V27</f>
        <v/>
      </c>
      <c r="Y27">
        <f>IF(P27&lt;1,"substrate-light / mass-heavy",IF(P27&gt;1,"substrate-heavy / mass-light","balanced"))</f>
        <v/>
      </c>
      <c r="Z27">
        <f>IF(F27="","",H27-IFERROR(VLOOKUP(A27, Observed_Lookup!A:G, 7, FALSE),""))</f>
        <v/>
      </c>
      <c r="AA27">
        <f>IF(Z27="","",Z27*931.49410242)</f>
        <v/>
      </c>
      <c r="AB27">
        <f>8*(A27+IF(F27="",D27,G27))-17*(A27+IF(F27="",D27,G27))^(2/3)-(3/4)*A27*(A27-1)/(A27+IF(F27="",D27,G27))^(1/3)-22*(IF(F27="",D27,G27)-A27)^2/(A27+IF(F27="",D27,G27))+7*IF(AND(MOD(A27,2)=0,MOD(IF(F27="",D27,G27),2)=0),1,IF(AND(MOD(A27,2)=1,MOD(IF(F27="",D27,G27),2)=1),-1,0))/SQRT((A27+IF(F27="",D27,G27)))-(25/4)*IF(AND((A27/GCD(A27,IF(F27="",D27,G27)))=1,(IF(F27="",D27,G27)/GCD(A27,IF(F27="",D27,G27)))=1),0,1)</f>
        <v/>
      </c>
      <c r="AC27">
        <f>IF(AA27="","",AA27-AB27)</f>
        <v/>
      </c>
      <c r="AD27">
        <f>IF(AND(A27&lt;=83,A27&lt;&gt;43,A27&lt;&gt;61),"clock-stable","clock-boundary")</f>
        <v/>
      </c>
      <c r="AE27" t="inlineStr">
        <is>
          <t>engine_diff_from_observed</t>
        </is>
      </c>
      <c r="AF27" t="inlineStr">
        <is>
          <t>engine anchor Fe-54 differs from observed most-abundant Fe-56</t>
        </is>
      </c>
    </row>
    <row r="28">
      <c r="A28" t="n">
        <v>27</v>
      </c>
      <c r="B28" t="inlineStr">
        <is>
          <t>Co</t>
        </is>
      </c>
      <c r="C28" t="inlineStr">
        <is>
          <t>Cobalt</t>
        </is>
      </c>
      <c r="D28">
        <f>A28 + INT(A28 * INT((A28-1)/12) / 12)</f>
        <v/>
      </c>
      <c r="E28">
        <f>A28+D28</f>
        <v/>
      </c>
      <c r="F28">
        <f>VLOOKUP(A28, Observed_Lookup!A:G, 4, FALSE)</f>
        <v/>
      </c>
      <c r="G28">
        <f>VLOOKUP(A28, Observed_Lookup!A:G, 5, FALSE)</f>
        <v/>
      </c>
      <c r="H28">
        <f>VLOOKUP(A28, Observed_Lookup!A:G, 6, FALSE)</f>
        <v/>
      </c>
      <c r="I28">
        <f>IF(F28="","",D28-G28)</f>
        <v/>
      </c>
      <c r="J28">
        <f>IF(F28="","",E28-H28)</f>
        <v/>
      </c>
      <c r="K28">
        <f>GCD(A28,D28)</f>
        <v/>
      </c>
      <c r="L28">
        <f>A28/K28</f>
        <v/>
      </c>
      <c r="M28">
        <f>D28/K28</f>
        <v/>
      </c>
      <c r="N28">
        <f>"("&amp;L28&amp;","&amp;M28&amp;")"</f>
        <v/>
      </c>
      <c r="O28">
        <f>(D28-A28)/E28</f>
        <v/>
      </c>
      <c r="P28">
        <f>V28/W28</f>
        <v/>
      </c>
      <c r="Q28">
        <f>A28</f>
        <v/>
      </c>
      <c r="R28">
        <f>D28</f>
        <v/>
      </c>
      <c r="S28">
        <f>A28</f>
        <v/>
      </c>
      <c r="T28">
        <f>2*A28+D28</f>
        <v/>
      </c>
      <c r="U28">
        <f>A28+2*D28</f>
        <v/>
      </c>
      <c r="V28">
        <f>8*(A28*(7117/768)+(D28-A28)*(1/64))</f>
        <v/>
      </c>
      <c r="W28">
        <f>4*E28*(7117/768)</f>
        <v/>
      </c>
      <c r="X28">
        <f>W28-V28</f>
        <v/>
      </c>
      <c r="Y28">
        <f>IF(P28&lt;1,"substrate-light / mass-heavy",IF(P28&gt;1,"substrate-heavy / mass-light","balanced"))</f>
        <v/>
      </c>
      <c r="Z28">
        <f>IF(F28="","",H28-IFERROR(VLOOKUP(A28, Observed_Lookup!A:G, 7, FALSE),""))</f>
        <v/>
      </c>
      <c r="AA28">
        <f>IF(Z28="","",Z28*931.49410242)</f>
        <v/>
      </c>
      <c r="AB28">
        <f>8*(A28+IF(F28="",D28,G28))-17*(A28+IF(F28="",D28,G28))^(2/3)-(3/4)*A28*(A28-1)/(A28+IF(F28="",D28,G28))^(1/3)-22*(IF(F28="",D28,G28)-A28)^2/(A28+IF(F28="",D28,G28))+7*IF(AND(MOD(A28,2)=0,MOD(IF(F28="",D28,G28),2)=0),1,IF(AND(MOD(A28,2)=1,MOD(IF(F28="",D28,G28),2)=1),-1,0))/SQRT((A28+IF(F28="",D28,G28)))-(25/4)*IF(AND((A28/GCD(A28,IF(F28="",D28,G28)))=1,(IF(F28="",D28,G28)/GCD(A28,IF(F28="",D28,G28)))=1),0,1)</f>
        <v/>
      </c>
      <c r="AC28">
        <f>IF(AA28="","",AA28-AB28)</f>
        <v/>
      </c>
      <c r="AD28">
        <f>IF(AND(A28&lt;=83,A28&lt;&gt;43,A28&lt;&gt;61),"clock-stable","clock-boundary")</f>
        <v/>
      </c>
      <c r="AE28" t="inlineStr">
        <is>
          <t>engine_diff_from_observed</t>
        </is>
      </c>
      <c r="AF28" t="inlineStr">
        <is>
          <t>engine anchor Co-58 differs from observed most-abundant Co-59</t>
        </is>
      </c>
    </row>
    <row r="29">
      <c r="A29" t="n">
        <v>28</v>
      </c>
      <c r="B29" t="inlineStr">
        <is>
          <t>Ni</t>
        </is>
      </c>
      <c r="C29" t="inlineStr">
        <is>
          <t>Nickel</t>
        </is>
      </c>
      <c r="D29">
        <f>A29 + INT(A29 * INT((A29-1)/12) / 12)</f>
        <v/>
      </c>
      <c r="E29">
        <f>A29+D29</f>
        <v/>
      </c>
      <c r="F29">
        <f>VLOOKUP(A29, Observed_Lookup!A:G, 4, FALSE)</f>
        <v/>
      </c>
      <c r="G29">
        <f>VLOOKUP(A29, Observed_Lookup!A:G, 5, FALSE)</f>
        <v/>
      </c>
      <c r="H29">
        <f>VLOOKUP(A29, Observed_Lookup!A:G, 6, FALSE)</f>
        <v/>
      </c>
      <c r="I29">
        <f>IF(F29="","",D29-G29)</f>
        <v/>
      </c>
      <c r="J29">
        <f>IF(F29="","",E29-H29)</f>
        <v/>
      </c>
      <c r="K29">
        <f>GCD(A29,D29)</f>
        <v/>
      </c>
      <c r="L29">
        <f>A29/K29</f>
        <v/>
      </c>
      <c r="M29">
        <f>D29/K29</f>
        <v/>
      </c>
      <c r="N29">
        <f>"("&amp;L29&amp;","&amp;M29&amp;")"</f>
        <v/>
      </c>
      <c r="O29">
        <f>(D29-A29)/E29</f>
        <v/>
      </c>
      <c r="P29">
        <f>V29/W29</f>
        <v/>
      </c>
      <c r="Q29">
        <f>A29</f>
        <v/>
      </c>
      <c r="R29">
        <f>D29</f>
        <v/>
      </c>
      <c r="S29">
        <f>A29</f>
        <v/>
      </c>
      <c r="T29">
        <f>2*A29+D29</f>
        <v/>
      </c>
      <c r="U29">
        <f>A29+2*D29</f>
        <v/>
      </c>
      <c r="V29">
        <f>8*(A29*(7117/768)+(D29-A29)*(1/64))</f>
        <v/>
      </c>
      <c r="W29">
        <f>4*E29*(7117/768)</f>
        <v/>
      </c>
      <c r="X29">
        <f>W29-V29</f>
        <v/>
      </c>
      <c r="Y29">
        <f>IF(P29&lt;1,"substrate-light / mass-heavy",IF(P29&gt;1,"substrate-heavy / mass-light","balanced"))</f>
        <v/>
      </c>
      <c r="Z29">
        <f>IF(F29="","",H29-IFERROR(VLOOKUP(A29, Observed_Lookup!A:G, 7, FALSE),""))</f>
        <v/>
      </c>
      <c r="AA29">
        <f>IF(Z29="","",Z29*931.49410242)</f>
        <v/>
      </c>
      <c r="AB29">
        <f>8*(A29+IF(F29="",D29,G29))-17*(A29+IF(F29="",D29,G29))^(2/3)-(3/4)*A29*(A29-1)/(A29+IF(F29="",D29,G29))^(1/3)-22*(IF(F29="",D29,G29)-A29)^2/(A29+IF(F29="",D29,G29))+7*IF(AND(MOD(A29,2)=0,MOD(IF(F29="",D29,G29),2)=0),1,IF(AND(MOD(A29,2)=1,MOD(IF(F29="",D29,G29),2)=1),-1,0))/SQRT((A29+IF(F29="",D29,G29)))-(25/4)*IF(AND((A29/GCD(A29,IF(F29="",D29,G29)))=1,(IF(F29="",D29,G29)/GCD(A29,IF(F29="",D29,G29)))=1),0,1)</f>
        <v/>
      </c>
      <c r="AC29">
        <f>IF(AA29="","",AA29-AB29)</f>
        <v/>
      </c>
      <c r="AD29">
        <f>IF(AND(A29&lt;=83,A29&lt;&gt;43,A29&lt;&gt;61),"clock-stable","clock-boundary")</f>
        <v/>
      </c>
      <c r="AE29" t="inlineStr">
        <is>
          <t>engine_diff_from_observed</t>
        </is>
      </c>
      <c r="AF29" t="inlineStr">
        <is>
          <t>engine anchor Ni-63 differs from observed most-abundant Ni-58</t>
        </is>
      </c>
    </row>
    <row r="30">
      <c r="A30" t="n">
        <v>29</v>
      </c>
      <c r="B30" t="inlineStr">
        <is>
          <t>Cu</t>
        </is>
      </c>
      <c r="C30" t="inlineStr">
        <is>
          <t>Copper</t>
        </is>
      </c>
      <c r="D30">
        <f>A30 + INT(A30 * INT((A30-1)/12) / 12)</f>
        <v/>
      </c>
      <c r="E30">
        <f>A30+D30</f>
        <v/>
      </c>
      <c r="F30">
        <f>VLOOKUP(A30, Observed_Lookup!A:G, 4, FALSE)</f>
        <v/>
      </c>
      <c r="G30">
        <f>VLOOKUP(A30, Observed_Lookup!A:G, 5, FALSE)</f>
        <v/>
      </c>
      <c r="H30">
        <f>VLOOKUP(A30, Observed_Lookup!A:G, 6, FALSE)</f>
        <v/>
      </c>
      <c r="I30">
        <f>IF(F30="","",D30-G30)</f>
        <v/>
      </c>
      <c r="J30">
        <f>IF(F30="","",E30-H30)</f>
        <v/>
      </c>
      <c r="K30">
        <f>GCD(A30,D30)</f>
        <v/>
      </c>
      <c r="L30">
        <f>A30/K30</f>
        <v/>
      </c>
      <c r="M30">
        <f>D30/K30</f>
        <v/>
      </c>
      <c r="N30">
        <f>"("&amp;L30&amp;","&amp;M30&amp;")"</f>
        <v/>
      </c>
      <c r="O30">
        <f>(D30-A30)/E30</f>
        <v/>
      </c>
      <c r="P30">
        <f>V30/W30</f>
        <v/>
      </c>
      <c r="Q30">
        <f>A30</f>
        <v/>
      </c>
      <c r="R30">
        <f>D30</f>
        <v/>
      </c>
      <c r="S30">
        <f>A30</f>
        <v/>
      </c>
      <c r="T30">
        <f>2*A30+D30</f>
        <v/>
      </c>
      <c r="U30">
        <f>A30+2*D30</f>
        <v/>
      </c>
      <c r="V30">
        <f>8*(A30*(7117/768)+(D30-A30)*(1/64))</f>
        <v/>
      </c>
      <c r="W30">
        <f>4*E30*(7117/768)</f>
        <v/>
      </c>
      <c r="X30">
        <f>W30-V30</f>
        <v/>
      </c>
      <c r="Y30">
        <f>IF(P30&lt;1,"substrate-light / mass-heavy",IF(P30&gt;1,"substrate-heavy / mass-light","balanced"))</f>
        <v/>
      </c>
      <c r="Z30">
        <f>IF(F30="","",H30-IFERROR(VLOOKUP(A30, Observed_Lookup!A:G, 7, FALSE),""))</f>
        <v/>
      </c>
      <c r="AA30">
        <f>IF(Z30="","",Z30*931.49410242)</f>
        <v/>
      </c>
      <c r="AB30">
        <f>8*(A30+IF(F30="",D30,G30))-17*(A30+IF(F30="",D30,G30))^(2/3)-(3/4)*A30*(A30-1)/(A30+IF(F30="",D30,G30))^(1/3)-22*(IF(F30="",D30,G30)-A30)^2/(A30+IF(F30="",D30,G30))+7*IF(AND(MOD(A30,2)=0,MOD(IF(F30="",D30,G30),2)=0),1,IF(AND(MOD(A30,2)=1,MOD(IF(F30="",D30,G30),2)=1),-1,0))/SQRT((A30+IF(F30="",D30,G30)))-(25/4)*IF(AND((A30/GCD(A30,IF(F30="",D30,G30)))=1,(IF(F30="",D30,G30)/GCD(A30,IF(F30="",D30,G30)))=1),0,1)</f>
        <v/>
      </c>
      <c r="AC30">
        <f>IF(AA30="","",AA30-AB30)</f>
        <v/>
      </c>
      <c r="AD30">
        <f>IF(AND(A30&lt;=83,A30&lt;&gt;43,A30&lt;&gt;61),"clock-stable","clock-boundary")</f>
        <v/>
      </c>
      <c r="AE30" t="inlineStr">
        <is>
          <t>engine_diff_from_observed</t>
        </is>
      </c>
      <c r="AF30" t="inlineStr">
        <is>
          <t>engine anchor Cu-67 differs from observed most-abundant Cu-63</t>
        </is>
      </c>
    </row>
    <row r="31">
      <c r="A31" t="n">
        <v>30</v>
      </c>
      <c r="B31" t="inlineStr">
        <is>
          <t>Zn</t>
        </is>
      </c>
      <c r="C31" t="inlineStr">
        <is>
          <t>Zinc</t>
        </is>
      </c>
      <c r="D31">
        <f>A31 + INT(A31 * INT((A31-1)/12) / 12)</f>
        <v/>
      </c>
      <c r="E31">
        <f>A31+D31</f>
        <v/>
      </c>
      <c r="F31">
        <f>VLOOKUP(A31, Observed_Lookup!A:G, 4, FALSE)</f>
        <v/>
      </c>
      <c r="G31">
        <f>VLOOKUP(A31, Observed_Lookup!A:G, 5, FALSE)</f>
        <v/>
      </c>
      <c r="H31">
        <f>VLOOKUP(A31, Observed_Lookup!A:G, 6, FALSE)</f>
        <v/>
      </c>
      <c r="I31">
        <f>IF(F31="","",D31-G31)</f>
        <v/>
      </c>
      <c r="J31">
        <f>IF(F31="","",E31-H31)</f>
        <v/>
      </c>
      <c r="K31">
        <f>GCD(A31,D31)</f>
        <v/>
      </c>
      <c r="L31">
        <f>A31/K31</f>
        <v/>
      </c>
      <c r="M31">
        <f>D31/K31</f>
        <v/>
      </c>
      <c r="N31">
        <f>"("&amp;L31&amp;","&amp;M31&amp;")"</f>
        <v/>
      </c>
      <c r="O31">
        <f>(D31-A31)/E31</f>
        <v/>
      </c>
      <c r="P31">
        <f>V31/W31</f>
        <v/>
      </c>
      <c r="Q31">
        <f>A31</f>
        <v/>
      </c>
      <c r="R31">
        <f>D31</f>
        <v/>
      </c>
      <c r="S31">
        <f>A31</f>
        <v/>
      </c>
      <c r="T31">
        <f>2*A31+D31</f>
        <v/>
      </c>
      <c r="U31">
        <f>A31+2*D31</f>
        <v/>
      </c>
      <c r="V31">
        <f>8*(A31*(7117/768)+(D31-A31)*(1/64))</f>
        <v/>
      </c>
      <c r="W31">
        <f>4*E31*(7117/768)</f>
        <v/>
      </c>
      <c r="X31">
        <f>W31-V31</f>
        <v/>
      </c>
      <c r="Y31">
        <f>IF(P31&lt;1,"substrate-light / mass-heavy",IF(P31&gt;1,"substrate-heavy / mass-light","balanced"))</f>
        <v/>
      </c>
      <c r="Z31">
        <f>IF(F31="","",H31-IFERROR(VLOOKUP(A31, Observed_Lookup!A:G, 7, FALSE),""))</f>
        <v/>
      </c>
      <c r="AA31">
        <f>IF(Z31="","",Z31*931.49410242)</f>
        <v/>
      </c>
      <c r="AB31">
        <f>8*(A31+IF(F31="",D31,G31))-17*(A31+IF(F31="",D31,G31))^(2/3)-(3/4)*A31*(A31-1)/(A31+IF(F31="",D31,G31))^(1/3)-22*(IF(F31="",D31,G31)-A31)^2/(A31+IF(F31="",D31,G31))+7*IF(AND(MOD(A31,2)=0,MOD(IF(F31="",D31,G31),2)=0),1,IF(AND(MOD(A31,2)=1,MOD(IF(F31="",D31,G31),2)=1),-1,0))/SQRT((A31+IF(F31="",D31,G31)))-(25/4)*IF(AND((A31/GCD(A31,IF(F31="",D31,G31)))=1,(IF(F31="",D31,G31)/GCD(A31,IF(F31="",D31,G31)))=1),0,1)</f>
        <v/>
      </c>
      <c r="AC31">
        <f>IF(AA31="","",AA31-AB31)</f>
        <v/>
      </c>
      <c r="AD31">
        <f>IF(AND(A31&lt;=83,A31&lt;&gt;43,A31&lt;&gt;61),"clock-stable","clock-boundary")</f>
        <v/>
      </c>
      <c r="AE31" t="inlineStr">
        <is>
          <t>engine_diff_from_observed</t>
        </is>
      </c>
      <c r="AF31" t="inlineStr">
        <is>
          <t>engine anchor Zn-72 differs from observed most-abundant Zn-64</t>
        </is>
      </c>
    </row>
    <row r="32">
      <c r="A32" t="n">
        <v>31</v>
      </c>
      <c r="B32" t="inlineStr">
        <is>
          <t>Ga</t>
        </is>
      </c>
      <c r="C32" t="inlineStr">
        <is>
          <t>Gallium</t>
        </is>
      </c>
      <c r="D32">
        <f>A32 + INT(A32 * INT((A32-1)/12) / 12)</f>
        <v/>
      </c>
      <c r="E32">
        <f>A32+D32</f>
        <v/>
      </c>
      <c r="F32">
        <f>VLOOKUP(A32, Observed_Lookup!A:G, 4, FALSE)</f>
        <v/>
      </c>
      <c r="G32">
        <f>VLOOKUP(A32, Observed_Lookup!A:G, 5, FALSE)</f>
        <v/>
      </c>
      <c r="H32">
        <f>VLOOKUP(A32, Observed_Lookup!A:G, 6, FALSE)</f>
        <v/>
      </c>
      <c r="I32">
        <f>IF(F32="","",D32-G32)</f>
        <v/>
      </c>
      <c r="J32">
        <f>IF(F32="","",E32-H32)</f>
        <v/>
      </c>
      <c r="K32">
        <f>GCD(A32,D32)</f>
        <v/>
      </c>
      <c r="L32">
        <f>A32/K32</f>
        <v/>
      </c>
      <c r="M32">
        <f>D32/K32</f>
        <v/>
      </c>
      <c r="N32">
        <f>"("&amp;L32&amp;","&amp;M32&amp;")"</f>
        <v/>
      </c>
      <c r="O32">
        <f>(D32-A32)/E32</f>
        <v/>
      </c>
      <c r="P32">
        <f>V32/W32</f>
        <v/>
      </c>
      <c r="Q32">
        <f>A32</f>
        <v/>
      </c>
      <c r="R32">
        <f>D32</f>
        <v/>
      </c>
      <c r="S32">
        <f>A32</f>
        <v/>
      </c>
      <c r="T32">
        <f>2*A32+D32</f>
        <v/>
      </c>
      <c r="U32">
        <f>A32+2*D32</f>
        <v/>
      </c>
      <c r="V32">
        <f>8*(A32*(7117/768)+(D32-A32)*(1/64))</f>
        <v/>
      </c>
      <c r="W32">
        <f>4*E32*(7117/768)</f>
        <v/>
      </c>
      <c r="X32">
        <f>W32-V32</f>
        <v/>
      </c>
      <c r="Y32">
        <f>IF(P32&lt;1,"substrate-light / mass-heavy",IF(P32&gt;1,"substrate-heavy / mass-light","balanced"))</f>
        <v/>
      </c>
      <c r="Z32">
        <f>IF(F32="","",H32-IFERROR(VLOOKUP(A32, Observed_Lookup!A:G, 7, FALSE),""))</f>
        <v/>
      </c>
      <c r="AA32">
        <f>IF(Z32="","",Z32*931.49410242)</f>
        <v/>
      </c>
      <c r="AB32">
        <f>8*(A32+IF(F32="",D32,G32))-17*(A32+IF(F32="",D32,G32))^(2/3)-(3/4)*A32*(A32-1)/(A32+IF(F32="",D32,G32))^(1/3)-22*(IF(F32="",D32,G32)-A32)^2/(A32+IF(F32="",D32,G32))+7*IF(AND(MOD(A32,2)=0,MOD(IF(F32="",D32,G32),2)=0),1,IF(AND(MOD(A32,2)=1,MOD(IF(F32="",D32,G32),2)=1),-1,0))/SQRT((A32+IF(F32="",D32,G32)))-(25/4)*IF(AND((A32/GCD(A32,IF(F32="",D32,G32)))=1,(IF(F32="",D32,G32)/GCD(A32,IF(F32="",D32,G32)))=1),0,1)</f>
        <v/>
      </c>
      <c r="AC32">
        <f>IF(AA32="","",AA32-AB32)</f>
        <v/>
      </c>
      <c r="AD32">
        <f>IF(AND(A32&lt;=83,A32&lt;&gt;43,A32&lt;&gt;61),"clock-stable","clock-boundary")</f>
        <v/>
      </c>
      <c r="AE32" t="inlineStr">
        <is>
          <t>engine_diff_from_observed</t>
        </is>
      </c>
      <c r="AF32" t="inlineStr">
        <is>
          <t>engine anchor Ga-77 differs from observed most-abundant Ga-69</t>
        </is>
      </c>
    </row>
    <row r="33">
      <c r="A33" t="n">
        <v>32</v>
      </c>
      <c r="B33" t="inlineStr">
        <is>
          <t>Ge</t>
        </is>
      </c>
      <c r="C33" t="inlineStr">
        <is>
          <t>Germanium</t>
        </is>
      </c>
      <c r="D33">
        <f>A33 + INT(A33 * INT((A33-1)/12) / 12)</f>
        <v/>
      </c>
      <c r="E33">
        <f>A33+D33</f>
        <v/>
      </c>
      <c r="F33">
        <f>VLOOKUP(A33, Observed_Lookup!A:G, 4, FALSE)</f>
        <v/>
      </c>
      <c r="G33">
        <f>VLOOKUP(A33, Observed_Lookup!A:G, 5, FALSE)</f>
        <v/>
      </c>
      <c r="H33">
        <f>VLOOKUP(A33, Observed_Lookup!A:G, 6, FALSE)</f>
        <v/>
      </c>
      <c r="I33">
        <f>IF(F33="","",D33-G33)</f>
        <v/>
      </c>
      <c r="J33">
        <f>IF(F33="","",E33-H33)</f>
        <v/>
      </c>
      <c r="K33">
        <f>GCD(A33,D33)</f>
        <v/>
      </c>
      <c r="L33">
        <f>A33/K33</f>
        <v/>
      </c>
      <c r="M33">
        <f>D33/K33</f>
        <v/>
      </c>
      <c r="N33">
        <f>"("&amp;L33&amp;","&amp;M33&amp;")"</f>
        <v/>
      </c>
      <c r="O33">
        <f>(D33-A33)/E33</f>
        <v/>
      </c>
      <c r="P33">
        <f>V33/W33</f>
        <v/>
      </c>
      <c r="Q33">
        <f>A33</f>
        <v/>
      </c>
      <c r="R33">
        <f>D33</f>
        <v/>
      </c>
      <c r="S33">
        <f>A33</f>
        <v/>
      </c>
      <c r="T33">
        <f>2*A33+D33</f>
        <v/>
      </c>
      <c r="U33">
        <f>A33+2*D33</f>
        <v/>
      </c>
      <c r="V33">
        <f>8*(A33*(7117/768)+(D33-A33)*(1/64))</f>
        <v/>
      </c>
      <c r="W33">
        <f>4*E33*(7117/768)</f>
        <v/>
      </c>
      <c r="X33">
        <f>W33-V33</f>
        <v/>
      </c>
      <c r="Y33">
        <f>IF(P33&lt;1,"substrate-light / mass-heavy",IF(P33&gt;1,"substrate-heavy / mass-light","balanced"))</f>
        <v/>
      </c>
      <c r="Z33">
        <f>IF(F33="","",H33-IFERROR(VLOOKUP(A33, Observed_Lookup!A:G, 7, FALSE),""))</f>
        <v/>
      </c>
      <c r="AA33">
        <f>IF(Z33="","",Z33*931.49410242)</f>
        <v/>
      </c>
      <c r="AB33">
        <f>8*(A33+IF(F33="",D33,G33))-17*(A33+IF(F33="",D33,G33))^(2/3)-(3/4)*A33*(A33-1)/(A33+IF(F33="",D33,G33))^(1/3)-22*(IF(F33="",D33,G33)-A33)^2/(A33+IF(F33="",D33,G33))+7*IF(AND(MOD(A33,2)=0,MOD(IF(F33="",D33,G33),2)=0),1,IF(AND(MOD(A33,2)=1,MOD(IF(F33="",D33,G33),2)=1),-1,0))/SQRT((A33+IF(F33="",D33,G33)))-(25/4)*IF(AND((A33/GCD(A33,IF(F33="",D33,G33)))=1,(IF(F33="",D33,G33)/GCD(A33,IF(F33="",D33,G33)))=1),0,1)</f>
        <v/>
      </c>
      <c r="AC33">
        <f>IF(AA33="","",AA33-AB33)</f>
        <v/>
      </c>
      <c r="AD33">
        <f>IF(AND(A33&lt;=83,A33&lt;&gt;43,A33&lt;&gt;61),"clock-stable","clock-boundary")</f>
        <v/>
      </c>
      <c r="AE33" t="inlineStr">
        <is>
          <t>engine_diff_from_observed</t>
        </is>
      </c>
      <c r="AF33" t="inlineStr">
        <is>
          <t>engine anchor Ge-82 differs from observed most-abundant Ge-74</t>
        </is>
      </c>
    </row>
    <row r="34">
      <c r="A34" t="n">
        <v>33</v>
      </c>
      <c r="B34" t="inlineStr">
        <is>
          <t>As</t>
        </is>
      </c>
      <c r="C34" t="inlineStr">
        <is>
          <t>Arsenic</t>
        </is>
      </c>
      <c r="D34">
        <f>A34 + INT(A34 * INT((A34-1)/12) / 12)</f>
        <v/>
      </c>
      <c r="E34">
        <f>A34+D34</f>
        <v/>
      </c>
      <c r="F34">
        <f>VLOOKUP(A34, Observed_Lookup!A:G, 4, FALSE)</f>
        <v/>
      </c>
      <c r="G34">
        <f>VLOOKUP(A34, Observed_Lookup!A:G, 5, FALSE)</f>
        <v/>
      </c>
      <c r="H34">
        <f>VLOOKUP(A34, Observed_Lookup!A:G, 6, FALSE)</f>
        <v/>
      </c>
      <c r="I34">
        <f>IF(F34="","",D34-G34)</f>
        <v/>
      </c>
      <c r="J34">
        <f>IF(F34="","",E34-H34)</f>
        <v/>
      </c>
      <c r="K34">
        <f>GCD(A34,D34)</f>
        <v/>
      </c>
      <c r="L34">
        <f>A34/K34</f>
        <v/>
      </c>
      <c r="M34">
        <f>D34/K34</f>
        <v/>
      </c>
      <c r="N34">
        <f>"("&amp;L34&amp;","&amp;M34&amp;")"</f>
        <v/>
      </c>
      <c r="O34">
        <f>(D34-A34)/E34</f>
        <v/>
      </c>
      <c r="P34">
        <f>V34/W34</f>
        <v/>
      </c>
      <c r="Q34">
        <f>A34</f>
        <v/>
      </c>
      <c r="R34">
        <f>D34</f>
        <v/>
      </c>
      <c r="S34">
        <f>A34</f>
        <v/>
      </c>
      <c r="T34">
        <f>2*A34+D34</f>
        <v/>
      </c>
      <c r="U34">
        <f>A34+2*D34</f>
        <v/>
      </c>
      <c r="V34">
        <f>8*(A34*(7117/768)+(D34-A34)*(1/64))</f>
        <v/>
      </c>
      <c r="W34">
        <f>4*E34*(7117/768)</f>
        <v/>
      </c>
      <c r="X34">
        <f>W34-V34</f>
        <v/>
      </c>
      <c r="Y34">
        <f>IF(P34&lt;1,"substrate-light / mass-heavy",IF(P34&gt;1,"substrate-heavy / mass-light","balanced"))</f>
        <v/>
      </c>
      <c r="Z34">
        <f>IF(F34="","",H34-IFERROR(VLOOKUP(A34, Observed_Lookup!A:G, 7, FALSE),""))</f>
        <v/>
      </c>
      <c r="AA34">
        <f>IF(Z34="","",Z34*931.49410242)</f>
        <v/>
      </c>
      <c r="AB34">
        <f>8*(A34+IF(F34="",D34,G34))-17*(A34+IF(F34="",D34,G34))^(2/3)-(3/4)*A34*(A34-1)/(A34+IF(F34="",D34,G34))^(1/3)-22*(IF(F34="",D34,G34)-A34)^2/(A34+IF(F34="",D34,G34))+7*IF(AND(MOD(A34,2)=0,MOD(IF(F34="",D34,G34),2)=0),1,IF(AND(MOD(A34,2)=1,MOD(IF(F34="",D34,G34),2)=1),-1,0))/SQRT((A34+IF(F34="",D34,G34)))-(25/4)*IF(AND((A34/GCD(A34,IF(F34="",D34,G34)))=1,(IF(F34="",D34,G34)/GCD(A34,IF(F34="",D34,G34)))=1),0,1)</f>
        <v/>
      </c>
      <c r="AC34">
        <f>IF(AA34="","",AA34-AB34)</f>
        <v/>
      </c>
      <c r="AD34">
        <f>IF(AND(A34&lt;=83,A34&lt;&gt;43,A34&lt;&gt;61),"clock-stable","clock-boundary")</f>
        <v/>
      </c>
      <c r="AE34" t="inlineStr">
        <is>
          <t>engine_diff_from_observed</t>
        </is>
      </c>
      <c r="AF34" t="inlineStr">
        <is>
          <t>engine anchor As-88 differs from observed most-abundant As-75</t>
        </is>
      </c>
    </row>
    <row r="35">
      <c r="A35" t="n">
        <v>34</v>
      </c>
      <c r="B35" t="inlineStr">
        <is>
          <t>Se</t>
        </is>
      </c>
      <c r="C35" t="inlineStr">
        <is>
          <t>Selenium</t>
        </is>
      </c>
      <c r="D35">
        <f>A35 + INT(A35 * INT((A35-1)/12) / 12)</f>
        <v/>
      </c>
      <c r="E35">
        <f>A35+D35</f>
        <v/>
      </c>
      <c r="F35">
        <f>VLOOKUP(A35, Observed_Lookup!A:G, 4, FALSE)</f>
        <v/>
      </c>
      <c r="G35">
        <f>VLOOKUP(A35, Observed_Lookup!A:G, 5, FALSE)</f>
        <v/>
      </c>
      <c r="H35">
        <f>VLOOKUP(A35, Observed_Lookup!A:G, 6, FALSE)</f>
        <v/>
      </c>
      <c r="I35">
        <f>IF(F35="","",D35-G35)</f>
        <v/>
      </c>
      <c r="J35">
        <f>IF(F35="","",E35-H35)</f>
        <v/>
      </c>
      <c r="K35">
        <f>GCD(A35,D35)</f>
        <v/>
      </c>
      <c r="L35">
        <f>A35/K35</f>
        <v/>
      </c>
      <c r="M35">
        <f>D35/K35</f>
        <v/>
      </c>
      <c r="N35">
        <f>"("&amp;L35&amp;","&amp;M35&amp;")"</f>
        <v/>
      </c>
      <c r="O35">
        <f>(D35-A35)/E35</f>
        <v/>
      </c>
      <c r="P35">
        <f>V35/W35</f>
        <v/>
      </c>
      <c r="Q35">
        <f>A35</f>
        <v/>
      </c>
      <c r="R35">
        <f>D35</f>
        <v/>
      </c>
      <c r="S35">
        <f>A35</f>
        <v/>
      </c>
      <c r="T35">
        <f>2*A35+D35</f>
        <v/>
      </c>
      <c r="U35">
        <f>A35+2*D35</f>
        <v/>
      </c>
      <c r="V35">
        <f>8*(A35*(7117/768)+(D35-A35)*(1/64))</f>
        <v/>
      </c>
      <c r="W35">
        <f>4*E35*(7117/768)</f>
        <v/>
      </c>
      <c r="X35">
        <f>W35-V35</f>
        <v/>
      </c>
      <c r="Y35">
        <f>IF(P35&lt;1,"substrate-light / mass-heavy",IF(P35&gt;1,"substrate-heavy / mass-light","balanced"))</f>
        <v/>
      </c>
      <c r="Z35">
        <f>IF(F35="","",H35-IFERROR(VLOOKUP(A35, Observed_Lookup!A:G, 7, FALSE),""))</f>
        <v/>
      </c>
      <c r="AA35">
        <f>IF(Z35="","",Z35*931.49410242)</f>
        <v/>
      </c>
      <c r="AB35">
        <f>8*(A35+IF(F35="",D35,G35))-17*(A35+IF(F35="",D35,G35))^(2/3)-(3/4)*A35*(A35-1)/(A35+IF(F35="",D35,G35))^(1/3)-22*(IF(F35="",D35,G35)-A35)^2/(A35+IF(F35="",D35,G35))+7*IF(AND(MOD(A35,2)=0,MOD(IF(F35="",D35,G35),2)=0),1,IF(AND(MOD(A35,2)=1,MOD(IF(F35="",D35,G35),2)=1),-1,0))/SQRT((A35+IF(F35="",D35,G35)))-(25/4)*IF(AND((A35/GCD(A35,IF(F35="",D35,G35)))=1,(IF(F35="",D35,G35)/GCD(A35,IF(F35="",D35,G35)))=1),0,1)</f>
        <v/>
      </c>
      <c r="AC35">
        <f>IF(AA35="","",AA35-AB35)</f>
        <v/>
      </c>
      <c r="AD35">
        <f>IF(AND(A35&lt;=83,A35&lt;&gt;43,A35&lt;&gt;61),"clock-stable","clock-boundary")</f>
        <v/>
      </c>
      <c r="AE35" t="inlineStr">
        <is>
          <t>engine_diff_from_observed</t>
        </is>
      </c>
      <c r="AF35" t="inlineStr">
        <is>
          <t>engine anchor Se-93 differs from observed most-abundant Se-80</t>
        </is>
      </c>
    </row>
    <row r="36">
      <c r="A36" t="n">
        <v>35</v>
      </c>
      <c r="B36" t="inlineStr">
        <is>
          <t>Br</t>
        </is>
      </c>
      <c r="C36" t="inlineStr">
        <is>
          <t>Bromine</t>
        </is>
      </c>
      <c r="D36">
        <f>A36 + INT(A36 * INT((A36-1)/12) / 12)</f>
        <v/>
      </c>
      <c r="E36">
        <f>A36+D36</f>
        <v/>
      </c>
      <c r="F36">
        <f>VLOOKUP(A36, Observed_Lookup!A:G, 4, FALSE)</f>
        <v/>
      </c>
      <c r="G36">
        <f>VLOOKUP(A36, Observed_Lookup!A:G, 5, FALSE)</f>
        <v/>
      </c>
      <c r="H36">
        <f>VLOOKUP(A36, Observed_Lookup!A:G, 6, FALSE)</f>
        <v/>
      </c>
      <c r="I36">
        <f>IF(F36="","",D36-G36)</f>
        <v/>
      </c>
      <c r="J36">
        <f>IF(F36="","",E36-H36)</f>
        <v/>
      </c>
      <c r="K36">
        <f>GCD(A36,D36)</f>
        <v/>
      </c>
      <c r="L36">
        <f>A36/K36</f>
        <v/>
      </c>
      <c r="M36">
        <f>D36/K36</f>
        <v/>
      </c>
      <c r="N36">
        <f>"("&amp;L36&amp;","&amp;M36&amp;")"</f>
        <v/>
      </c>
      <c r="O36">
        <f>(D36-A36)/E36</f>
        <v/>
      </c>
      <c r="P36">
        <f>V36/W36</f>
        <v/>
      </c>
      <c r="Q36">
        <f>A36</f>
        <v/>
      </c>
      <c r="R36">
        <f>D36</f>
        <v/>
      </c>
      <c r="S36">
        <f>A36</f>
        <v/>
      </c>
      <c r="T36">
        <f>2*A36+D36</f>
        <v/>
      </c>
      <c r="U36">
        <f>A36+2*D36</f>
        <v/>
      </c>
      <c r="V36">
        <f>8*(A36*(7117/768)+(D36-A36)*(1/64))</f>
        <v/>
      </c>
      <c r="W36">
        <f>4*E36*(7117/768)</f>
        <v/>
      </c>
      <c r="X36">
        <f>W36-V36</f>
        <v/>
      </c>
      <c r="Y36">
        <f>IF(P36&lt;1,"substrate-light / mass-heavy",IF(P36&gt;1,"substrate-heavy / mass-light","balanced"))</f>
        <v/>
      </c>
      <c r="Z36">
        <f>IF(F36="","",H36-IFERROR(VLOOKUP(A36, Observed_Lookup!A:G, 7, FALSE),""))</f>
        <v/>
      </c>
      <c r="AA36">
        <f>IF(Z36="","",Z36*931.49410242)</f>
        <v/>
      </c>
      <c r="AB36">
        <f>8*(A36+IF(F36="",D36,G36))-17*(A36+IF(F36="",D36,G36))^(2/3)-(3/4)*A36*(A36-1)/(A36+IF(F36="",D36,G36))^(1/3)-22*(IF(F36="",D36,G36)-A36)^2/(A36+IF(F36="",D36,G36))+7*IF(AND(MOD(A36,2)=0,MOD(IF(F36="",D36,G36),2)=0),1,IF(AND(MOD(A36,2)=1,MOD(IF(F36="",D36,G36),2)=1),-1,0))/SQRT((A36+IF(F36="",D36,G36)))-(25/4)*IF(AND((A36/GCD(A36,IF(F36="",D36,G36)))=1,(IF(F36="",D36,G36)/GCD(A36,IF(F36="",D36,G36)))=1),0,1)</f>
        <v/>
      </c>
      <c r="AC36">
        <f>IF(AA36="","",AA36-AB36)</f>
        <v/>
      </c>
      <c r="AD36">
        <f>IF(AND(A36&lt;=83,A36&lt;&gt;43,A36&lt;&gt;61),"clock-stable","clock-boundary")</f>
        <v/>
      </c>
      <c r="AE36" t="inlineStr">
        <is>
          <t>engine_diff_from_observed</t>
        </is>
      </c>
      <c r="AF36" t="inlineStr">
        <is>
          <t>engine anchor Br-99 differs from observed most-abundant Br-79</t>
        </is>
      </c>
    </row>
    <row r="37">
      <c r="A37" t="n">
        <v>36</v>
      </c>
      <c r="B37" t="inlineStr">
        <is>
          <t>Kr</t>
        </is>
      </c>
      <c r="C37" t="inlineStr">
        <is>
          <t>Krypton</t>
        </is>
      </c>
      <c r="D37">
        <f>A37 + INT(A37 * INT((A37-1)/12) / 12)</f>
        <v/>
      </c>
      <c r="E37">
        <f>A37+D37</f>
        <v/>
      </c>
      <c r="F37">
        <f>VLOOKUP(A37, Observed_Lookup!A:G, 4, FALSE)</f>
        <v/>
      </c>
      <c r="G37">
        <f>VLOOKUP(A37, Observed_Lookup!A:G, 5, FALSE)</f>
        <v/>
      </c>
      <c r="H37">
        <f>VLOOKUP(A37, Observed_Lookup!A:G, 6, FALSE)</f>
        <v/>
      </c>
      <c r="I37">
        <f>IF(F37="","",D37-G37)</f>
        <v/>
      </c>
      <c r="J37">
        <f>IF(F37="","",E37-H37)</f>
        <v/>
      </c>
      <c r="K37">
        <f>GCD(A37,D37)</f>
        <v/>
      </c>
      <c r="L37">
        <f>A37/K37</f>
        <v/>
      </c>
      <c r="M37">
        <f>D37/K37</f>
        <v/>
      </c>
      <c r="N37">
        <f>"("&amp;L37&amp;","&amp;M37&amp;")"</f>
        <v/>
      </c>
      <c r="O37">
        <f>(D37-A37)/E37</f>
        <v/>
      </c>
      <c r="P37">
        <f>V37/W37</f>
        <v/>
      </c>
      <c r="Q37">
        <f>A37</f>
        <v/>
      </c>
      <c r="R37">
        <f>D37</f>
        <v/>
      </c>
      <c r="S37">
        <f>A37</f>
        <v/>
      </c>
      <c r="T37">
        <f>2*A37+D37</f>
        <v/>
      </c>
      <c r="U37">
        <f>A37+2*D37</f>
        <v/>
      </c>
      <c r="V37">
        <f>8*(A37*(7117/768)+(D37-A37)*(1/64))</f>
        <v/>
      </c>
      <c r="W37">
        <f>4*E37*(7117/768)</f>
        <v/>
      </c>
      <c r="X37">
        <f>W37-V37</f>
        <v/>
      </c>
      <c r="Y37">
        <f>IF(P37&lt;1,"substrate-light / mass-heavy",IF(P37&gt;1,"substrate-heavy / mass-light","balanced"))</f>
        <v/>
      </c>
      <c r="Z37">
        <f>IF(F37="","",H37-IFERROR(VLOOKUP(A37, Observed_Lookup!A:G, 7, FALSE),""))</f>
        <v/>
      </c>
      <c r="AA37">
        <f>IF(Z37="","",Z37*931.49410242)</f>
        <v/>
      </c>
      <c r="AB37">
        <f>8*(A37+IF(F37="",D37,G37))-17*(A37+IF(F37="",D37,G37))^(2/3)-(3/4)*A37*(A37-1)/(A37+IF(F37="",D37,G37))^(1/3)-22*(IF(F37="",D37,G37)-A37)^2/(A37+IF(F37="",D37,G37))+7*IF(AND(MOD(A37,2)=0,MOD(IF(F37="",D37,G37),2)=0),1,IF(AND(MOD(A37,2)=1,MOD(IF(F37="",D37,G37),2)=1),-1,0))/SQRT((A37+IF(F37="",D37,G37)))-(25/4)*IF(AND((A37/GCD(A37,IF(F37="",D37,G37)))=1,(IF(F37="",D37,G37)/GCD(A37,IF(F37="",D37,G37)))=1),0,1)</f>
        <v/>
      </c>
      <c r="AC37">
        <f>IF(AA37="","",AA37-AB37)</f>
        <v/>
      </c>
      <c r="AD37">
        <f>IF(AND(A37&lt;=83,A37&lt;&gt;43,A37&lt;&gt;61),"clock-stable","clock-boundary")</f>
        <v/>
      </c>
      <c r="AE37" t="inlineStr">
        <is>
          <t>engine_diff_from_observed</t>
        </is>
      </c>
      <c r="AF37" t="inlineStr">
        <is>
          <t>engine anchor Kr-105 differs from observed most-abundant Kr-84</t>
        </is>
      </c>
    </row>
    <row r="38">
      <c r="A38" t="n">
        <v>37</v>
      </c>
      <c r="B38" t="inlineStr">
        <is>
          <t>Rb</t>
        </is>
      </c>
      <c r="C38" t="inlineStr">
        <is>
          <t>Rubidium</t>
        </is>
      </c>
      <c r="D38">
        <f>A38 + INT(A38 * INT((A38-1)/12) / 12)</f>
        <v/>
      </c>
      <c r="E38">
        <f>A38+D38</f>
        <v/>
      </c>
      <c r="F38">
        <f>VLOOKUP(A38, Observed_Lookup!A:G, 4, FALSE)</f>
        <v/>
      </c>
      <c r="G38">
        <f>VLOOKUP(A38, Observed_Lookup!A:G, 5, FALSE)</f>
        <v/>
      </c>
      <c r="H38">
        <f>VLOOKUP(A38, Observed_Lookup!A:G, 6, FALSE)</f>
        <v/>
      </c>
      <c r="I38">
        <f>IF(F38="","",D38-G38)</f>
        <v/>
      </c>
      <c r="J38">
        <f>IF(F38="","",E38-H38)</f>
        <v/>
      </c>
      <c r="K38">
        <f>GCD(A38,D38)</f>
        <v/>
      </c>
      <c r="L38">
        <f>A38/K38</f>
        <v/>
      </c>
      <c r="M38">
        <f>D38/K38</f>
        <v/>
      </c>
      <c r="N38">
        <f>"("&amp;L38&amp;","&amp;M38&amp;")"</f>
        <v/>
      </c>
      <c r="O38">
        <f>(D38-A38)/E38</f>
        <v/>
      </c>
      <c r="P38">
        <f>V38/W38</f>
        <v/>
      </c>
      <c r="Q38">
        <f>A38</f>
        <v/>
      </c>
      <c r="R38">
        <f>D38</f>
        <v/>
      </c>
      <c r="S38">
        <f>A38</f>
        <v/>
      </c>
      <c r="T38">
        <f>2*A38+D38</f>
        <v/>
      </c>
      <c r="U38">
        <f>A38+2*D38</f>
        <v/>
      </c>
      <c r="V38">
        <f>8*(A38*(7117/768)+(D38-A38)*(1/64))</f>
        <v/>
      </c>
      <c r="W38">
        <f>4*E38*(7117/768)</f>
        <v/>
      </c>
      <c r="X38">
        <f>W38-V38</f>
        <v/>
      </c>
      <c r="Y38">
        <f>IF(P38&lt;1,"substrate-light / mass-heavy",IF(P38&gt;1,"substrate-heavy / mass-light","balanced"))</f>
        <v/>
      </c>
      <c r="Z38">
        <f>IF(F38="","",H38-IFERROR(VLOOKUP(A38, Observed_Lookup!A:G, 7, FALSE),""))</f>
        <v/>
      </c>
      <c r="AA38">
        <f>IF(Z38="","",Z38*931.49410242)</f>
        <v/>
      </c>
      <c r="AB38">
        <f>8*(A38+IF(F38="",D38,G38))-17*(A38+IF(F38="",D38,G38))^(2/3)-(3/4)*A38*(A38-1)/(A38+IF(F38="",D38,G38))^(1/3)-22*(IF(F38="",D38,G38)-A38)^2/(A38+IF(F38="",D38,G38))+7*IF(AND(MOD(A38,2)=0,MOD(IF(F38="",D38,G38),2)=0),1,IF(AND(MOD(A38,2)=1,MOD(IF(F38="",D38,G38),2)=1),-1,0))/SQRT((A38+IF(F38="",D38,G38)))-(25/4)*IF(AND((A38/GCD(A38,IF(F38="",D38,G38)))=1,(IF(F38="",D38,G38)/GCD(A38,IF(F38="",D38,G38)))=1),0,1)</f>
        <v/>
      </c>
      <c r="AC38">
        <f>IF(AA38="","",AA38-AB38)</f>
        <v/>
      </c>
      <c r="AD38">
        <f>IF(AND(A38&lt;=83,A38&lt;&gt;43,A38&lt;&gt;61),"clock-stable","clock-boundary")</f>
        <v/>
      </c>
      <c r="AE38" t="inlineStr">
        <is>
          <t>engine_diff_from_observed</t>
        </is>
      </c>
      <c r="AF38" t="inlineStr">
        <is>
          <t>engine anchor Rb-74 differs from observed most-abundant Rb-85</t>
        </is>
      </c>
    </row>
    <row r="39">
      <c r="A39" t="n">
        <v>38</v>
      </c>
      <c r="B39" t="inlineStr">
        <is>
          <t>Sr</t>
        </is>
      </c>
      <c r="C39" t="inlineStr">
        <is>
          <t>Strontium</t>
        </is>
      </c>
      <c r="D39">
        <f>A39 + INT(A39 * INT((A39-1)/12) / 12)</f>
        <v/>
      </c>
      <c r="E39">
        <f>A39+D39</f>
        <v/>
      </c>
      <c r="F39">
        <f>VLOOKUP(A39, Observed_Lookup!A:G, 4, FALSE)</f>
        <v/>
      </c>
      <c r="G39">
        <f>VLOOKUP(A39, Observed_Lookup!A:G, 5, FALSE)</f>
        <v/>
      </c>
      <c r="H39">
        <f>VLOOKUP(A39, Observed_Lookup!A:G, 6, FALSE)</f>
        <v/>
      </c>
      <c r="I39">
        <f>IF(F39="","",D39-G39)</f>
        <v/>
      </c>
      <c r="J39">
        <f>IF(F39="","",E39-H39)</f>
        <v/>
      </c>
      <c r="K39">
        <f>GCD(A39,D39)</f>
        <v/>
      </c>
      <c r="L39">
        <f>A39/K39</f>
        <v/>
      </c>
      <c r="M39">
        <f>D39/K39</f>
        <v/>
      </c>
      <c r="N39">
        <f>"("&amp;L39&amp;","&amp;M39&amp;")"</f>
        <v/>
      </c>
      <c r="O39">
        <f>(D39-A39)/E39</f>
        <v/>
      </c>
      <c r="P39">
        <f>V39/W39</f>
        <v/>
      </c>
      <c r="Q39">
        <f>A39</f>
        <v/>
      </c>
      <c r="R39">
        <f>D39</f>
        <v/>
      </c>
      <c r="S39">
        <f>A39</f>
        <v/>
      </c>
      <c r="T39">
        <f>2*A39+D39</f>
        <v/>
      </c>
      <c r="U39">
        <f>A39+2*D39</f>
        <v/>
      </c>
      <c r="V39">
        <f>8*(A39*(7117/768)+(D39-A39)*(1/64))</f>
        <v/>
      </c>
      <c r="W39">
        <f>4*E39*(7117/768)</f>
        <v/>
      </c>
      <c r="X39">
        <f>W39-V39</f>
        <v/>
      </c>
      <c r="Y39">
        <f>IF(P39&lt;1,"substrate-light / mass-heavy",IF(P39&gt;1,"substrate-heavy / mass-light","balanced"))</f>
        <v/>
      </c>
      <c r="Z39">
        <f>IF(F39="","",H39-IFERROR(VLOOKUP(A39, Observed_Lookup!A:G, 7, FALSE),""))</f>
        <v/>
      </c>
      <c r="AA39">
        <f>IF(Z39="","",Z39*931.49410242)</f>
        <v/>
      </c>
      <c r="AB39">
        <f>8*(A39+IF(F39="",D39,G39))-17*(A39+IF(F39="",D39,G39))^(2/3)-(3/4)*A39*(A39-1)/(A39+IF(F39="",D39,G39))^(1/3)-22*(IF(F39="",D39,G39)-A39)^2/(A39+IF(F39="",D39,G39))+7*IF(AND(MOD(A39,2)=0,MOD(IF(F39="",D39,G39),2)=0),1,IF(AND(MOD(A39,2)=1,MOD(IF(F39="",D39,G39),2)=1),-1,0))/SQRT((A39+IF(F39="",D39,G39)))-(25/4)*IF(AND((A39/GCD(A39,IF(F39="",D39,G39)))=1,(IF(F39="",D39,G39)/GCD(A39,IF(F39="",D39,G39)))=1),0,1)</f>
        <v/>
      </c>
      <c r="AC39">
        <f>IF(AA39="","",AA39-AB39)</f>
        <v/>
      </c>
      <c r="AD39">
        <f>IF(AND(A39&lt;=83,A39&lt;&gt;43,A39&lt;&gt;61),"clock-stable","clock-boundary")</f>
        <v/>
      </c>
      <c r="AE39" t="inlineStr">
        <is>
          <t>engine_diff_from_observed</t>
        </is>
      </c>
      <c r="AF39" t="inlineStr">
        <is>
          <t>engine anchor Sr-79 differs from observed most-abundant Sr-88</t>
        </is>
      </c>
    </row>
    <row r="40">
      <c r="A40" t="n">
        <v>39</v>
      </c>
      <c r="B40" t="inlineStr">
        <is>
          <t>Y</t>
        </is>
      </c>
      <c r="C40" t="inlineStr">
        <is>
          <t>Yttrium</t>
        </is>
      </c>
      <c r="D40">
        <f>A40 + INT(A40 * INT((A40-1)/12) / 12)</f>
        <v/>
      </c>
      <c r="E40">
        <f>A40+D40</f>
        <v/>
      </c>
      <c r="F40">
        <f>VLOOKUP(A40, Observed_Lookup!A:G, 4, FALSE)</f>
        <v/>
      </c>
      <c r="G40">
        <f>VLOOKUP(A40, Observed_Lookup!A:G, 5, FALSE)</f>
        <v/>
      </c>
      <c r="H40">
        <f>VLOOKUP(A40, Observed_Lookup!A:G, 6, FALSE)</f>
        <v/>
      </c>
      <c r="I40">
        <f>IF(F40="","",D40-G40)</f>
        <v/>
      </c>
      <c r="J40">
        <f>IF(F40="","",E40-H40)</f>
        <v/>
      </c>
      <c r="K40">
        <f>GCD(A40,D40)</f>
        <v/>
      </c>
      <c r="L40">
        <f>A40/K40</f>
        <v/>
      </c>
      <c r="M40">
        <f>D40/K40</f>
        <v/>
      </c>
      <c r="N40">
        <f>"("&amp;L40&amp;","&amp;M40&amp;")"</f>
        <v/>
      </c>
      <c r="O40">
        <f>(D40-A40)/E40</f>
        <v/>
      </c>
      <c r="P40">
        <f>V40/W40</f>
        <v/>
      </c>
      <c r="Q40">
        <f>A40</f>
        <v/>
      </c>
      <c r="R40">
        <f>D40</f>
        <v/>
      </c>
      <c r="S40">
        <f>A40</f>
        <v/>
      </c>
      <c r="T40">
        <f>2*A40+D40</f>
        <v/>
      </c>
      <c r="U40">
        <f>A40+2*D40</f>
        <v/>
      </c>
      <c r="V40">
        <f>8*(A40*(7117/768)+(D40-A40)*(1/64))</f>
        <v/>
      </c>
      <c r="W40">
        <f>4*E40*(7117/768)</f>
        <v/>
      </c>
      <c r="X40">
        <f>W40-V40</f>
        <v/>
      </c>
      <c r="Y40">
        <f>IF(P40&lt;1,"substrate-light / mass-heavy",IF(P40&gt;1,"substrate-heavy / mass-light","balanced"))</f>
        <v/>
      </c>
      <c r="Z40">
        <f>IF(F40="","",H40-IFERROR(VLOOKUP(A40, Observed_Lookup!A:G, 7, FALSE),""))</f>
        <v/>
      </c>
      <c r="AA40">
        <f>IF(Z40="","",Z40*931.49410242)</f>
        <v/>
      </c>
      <c r="AB40">
        <f>8*(A40+IF(F40="",D40,G40))-17*(A40+IF(F40="",D40,G40))^(2/3)-(3/4)*A40*(A40-1)/(A40+IF(F40="",D40,G40))^(1/3)-22*(IF(F40="",D40,G40)-A40)^2/(A40+IF(F40="",D40,G40))+7*IF(AND(MOD(A40,2)=0,MOD(IF(F40="",D40,G40),2)=0),1,IF(AND(MOD(A40,2)=1,MOD(IF(F40="",D40,G40),2)=1),-1,0))/SQRT((A40+IF(F40="",D40,G40)))-(25/4)*IF(AND((A40/GCD(A40,IF(F40="",D40,G40)))=1,(IF(F40="",D40,G40)/GCD(A40,IF(F40="",D40,G40)))=1),0,1)</f>
        <v/>
      </c>
      <c r="AC40">
        <f>IF(AA40="","",AA40-AB40)</f>
        <v/>
      </c>
      <c r="AD40">
        <f>IF(AND(A40&lt;=83,A40&lt;&gt;43,A40&lt;&gt;61),"clock-stable","clock-boundary")</f>
        <v/>
      </c>
      <c r="AE40" t="inlineStr">
        <is>
          <t>engine_diff_from_observed</t>
        </is>
      </c>
      <c r="AF40" t="inlineStr">
        <is>
          <t>engine anchor Y-84 differs from observed most-abundant Y-89</t>
        </is>
      </c>
    </row>
    <row r="41">
      <c r="A41" t="n">
        <v>40</v>
      </c>
      <c r="B41" t="inlineStr">
        <is>
          <t>Zr</t>
        </is>
      </c>
      <c r="C41" t="inlineStr">
        <is>
          <t>Zirconium</t>
        </is>
      </c>
      <c r="D41">
        <f>A41 + INT(A41 * INT((A41-1)/12) / 12)</f>
        <v/>
      </c>
      <c r="E41">
        <f>A41+D41</f>
        <v/>
      </c>
      <c r="F41">
        <f>VLOOKUP(A41, Observed_Lookup!A:G, 4, FALSE)</f>
        <v/>
      </c>
      <c r="G41">
        <f>VLOOKUP(A41, Observed_Lookup!A:G, 5, FALSE)</f>
        <v/>
      </c>
      <c r="H41">
        <f>VLOOKUP(A41, Observed_Lookup!A:G, 6, FALSE)</f>
        <v/>
      </c>
      <c r="I41">
        <f>IF(F41="","",D41-G41)</f>
        <v/>
      </c>
      <c r="J41">
        <f>IF(F41="","",E41-H41)</f>
        <v/>
      </c>
      <c r="K41">
        <f>GCD(A41,D41)</f>
        <v/>
      </c>
      <c r="L41">
        <f>A41/K41</f>
        <v/>
      </c>
      <c r="M41">
        <f>D41/K41</f>
        <v/>
      </c>
      <c r="N41">
        <f>"("&amp;L41&amp;","&amp;M41&amp;")"</f>
        <v/>
      </c>
      <c r="O41">
        <f>(D41-A41)/E41</f>
        <v/>
      </c>
      <c r="P41">
        <f>V41/W41</f>
        <v/>
      </c>
      <c r="Q41">
        <f>A41</f>
        <v/>
      </c>
      <c r="R41">
        <f>D41</f>
        <v/>
      </c>
      <c r="S41">
        <f>A41</f>
        <v/>
      </c>
      <c r="T41">
        <f>2*A41+D41</f>
        <v/>
      </c>
      <c r="U41">
        <f>A41+2*D41</f>
        <v/>
      </c>
      <c r="V41">
        <f>8*(A41*(7117/768)+(D41-A41)*(1/64))</f>
        <v/>
      </c>
      <c r="W41">
        <f>4*E41*(7117/768)</f>
        <v/>
      </c>
      <c r="X41">
        <f>W41-V41</f>
        <v/>
      </c>
      <c r="Y41">
        <f>IF(P41&lt;1,"substrate-light / mass-heavy",IF(P41&gt;1,"substrate-heavy / mass-light","balanced"))</f>
        <v/>
      </c>
      <c r="Z41">
        <f>IF(F41="","",H41-IFERROR(VLOOKUP(A41, Observed_Lookup!A:G, 7, FALSE),""))</f>
        <v/>
      </c>
      <c r="AA41">
        <f>IF(Z41="","",Z41*931.49410242)</f>
        <v/>
      </c>
      <c r="AB41">
        <f>8*(A41+IF(F41="",D41,G41))-17*(A41+IF(F41="",D41,G41))^(2/3)-(3/4)*A41*(A41-1)/(A41+IF(F41="",D41,G41))^(1/3)-22*(IF(F41="",D41,G41)-A41)^2/(A41+IF(F41="",D41,G41))+7*IF(AND(MOD(A41,2)=0,MOD(IF(F41="",D41,G41),2)=0),1,IF(AND(MOD(A41,2)=1,MOD(IF(F41="",D41,G41),2)=1),-1,0))/SQRT((A41+IF(F41="",D41,G41)))-(25/4)*IF(AND((A41/GCD(A41,IF(F41="",D41,G41)))=1,(IF(F41="",D41,G41)/GCD(A41,IF(F41="",D41,G41)))=1),0,1)</f>
        <v/>
      </c>
      <c r="AC41">
        <f>IF(AA41="","",AA41-AB41)</f>
        <v/>
      </c>
      <c r="AD41">
        <f>IF(AND(A41&lt;=83,A41&lt;&gt;43,A41&lt;&gt;61),"clock-stable","clock-boundary")</f>
        <v/>
      </c>
      <c r="AE41" t="inlineStr">
        <is>
          <t>engine_matches_observed</t>
        </is>
      </c>
      <c r="AF41" t="inlineStr"/>
    </row>
    <row r="42">
      <c r="A42" t="n">
        <v>41</v>
      </c>
      <c r="B42" t="inlineStr">
        <is>
          <t>Nb</t>
        </is>
      </c>
      <c r="C42" t="inlineStr">
        <is>
          <t>Niobium</t>
        </is>
      </c>
      <c r="D42">
        <f>A42 + INT(A42 * INT((A42-1)/12) / 12)</f>
        <v/>
      </c>
      <c r="E42">
        <f>A42+D42</f>
        <v/>
      </c>
      <c r="F42">
        <f>VLOOKUP(A42, Observed_Lookup!A:G, 4, FALSE)</f>
        <v/>
      </c>
      <c r="G42">
        <f>VLOOKUP(A42, Observed_Lookup!A:G, 5, FALSE)</f>
        <v/>
      </c>
      <c r="H42">
        <f>VLOOKUP(A42, Observed_Lookup!A:G, 6, FALSE)</f>
        <v/>
      </c>
      <c r="I42">
        <f>IF(F42="","",D42-G42)</f>
        <v/>
      </c>
      <c r="J42">
        <f>IF(F42="","",E42-H42)</f>
        <v/>
      </c>
      <c r="K42">
        <f>GCD(A42,D42)</f>
        <v/>
      </c>
      <c r="L42">
        <f>A42/K42</f>
        <v/>
      </c>
      <c r="M42">
        <f>D42/K42</f>
        <v/>
      </c>
      <c r="N42">
        <f>"("&amp;L42&amp;","&amp;M42&amp;")"</f>
        <v/>
      </c>
      <c r="O42">
        <f>(D42-A42)/E42</f>
        <v/>
      </c>
      <c r="P42">
        <f>V42/W42</f>
        <v/>
      </c>
      <c r="Q42">
        <f>A42</f>
        <v/>
      </c>
      <c r="R42">
        <f>D42</f>
        <v/>
      </c>
      <c r="S42">
        <f>A42</f>
        <v/>
      </c>
      <c r="T42">
        <f>2*A42+D42</f>
        <v/>
      </c>
      <c r="U42">
        <f>A42+2*D42</f>
        <v/>
      </c>
      <c r="V42">
        <f>8*(A42*(7117/768)+(D42-A42)*(1/64))</f>
        <v/>
      </c>
      <c r="W42">
        <f>4*E42*(7117/768)</f>
        <v/>
      </c>
      <c r="X42">
        <f>W42-V42</f>
        <v/>
      </c>
      <c r="Y42">
        <f>IF(P42&lt;1,"substrate-light / mass-heavy",IF(P42&gt;1,"substrate-heavy / mass-light","balanced"))</f>
        <v/>
      </c>
      <c r="Z42">
        <f>IF(F42="","",H42-IFERROR(VLOOKUP(A42, Observed_Lookup!A:G, 7, FALSE),""))</f>
        <v/>
      </c>
      <c r="AA42">
        <f>IF(Z42="","",Z42*931.49410242)</f>
        <v/>
      </c>
      <c r="AB42">
        <f>8*(A42+IF(F42="",D42,G42))-17*(A42+IF(F42="",D42,G42))^(2/3)-(3/4)*A42*(A42-1)/(A42+IF(F42="",D42,G42))^(1/3)-22*(IF(F42="",D42,G42)-A42)^2/(A42+IF(F42="",D42,G42))+7*IF(AND(MOD(A42,2)=0,MOD(IF(F42="",D42,G42),2)=0),1,IF(AND(MOD(A42,2)=1,MOD(IF(F42="",D42,G42),2)=1),-1,0))/SQRT((A42+IF(F42="",D42,G42)))-(25/4)*IF(AND((A42/GCD(A42,IF(F42="",D42,G42)))=1,(IF(F42="",D42,G42)/GCD(A42,IF(F42="",D42,G42)))=1),0,1)</f>
        <v/>
      </c>
      <c r="AC42">
        <f>IF(AA42="","",AA42-AB42)</f>
        <v/>
      </c>
      <c r="AD42">
        <f>IF(AND(A42&lt;=83,A42&lt;&gt;43,A42&lt;&gt;61),"clock-stable","clock-boundary")</f>
        <v/>
      </c>
      <c r="AE42" t="inlineStr">
        <is>
          <t>engine_diff_from_observed</t>
        </is>
      </c>
      <c r="AF42" t="inlineStr">
        <is>
          <t>engine anchor Nb-95 differs from observed most-abundant Nb-93</t>
        </is>
      </c>
    </row>
    <row r="43">
      <c r="A43" t="n">
        <v>42</v>
      </c>
      <c r="B43" t="inlineStr">
        <is>
          <t>Mo</t>
        </is>
      </c>
      <c r="C43" t="inlineStr">
        <is>
          <t>Molybdenum</t>
        </is>
      </c>
      <c r="D43">
        <f>A43 + INT(A43 * INT((A43-1)/12) / 12)</f>
        <v/>
      </c>
      <c r="E43">
        <f>A43+D43</f>
        <v/>
      </c>
      <c r="F43">
        <f>VLOOKUP(A43, Observed_Lookup!A:G, 4, FALSE)</f>
        <v/>
      </c>
      <c r="G43">
        <f>VLOOKUP(A43, Observed_Lookup!A:G, 5, FALSE)</f>
        <v/>
      </c>
      <c r="H43">
        <f>VLOOKUP(A43, Observed_Lookup!A:G, 6, FALSE)</f>
        <v/>
      </c>
      <c r="I43">
        <f>IF(F43="","",D43-G43)</f>
        <v/>
      </c>
      <c r="J43">
        <f>IF(F43="","",E43-H43)</f>
        <v/>
      </c>
      <c r="K43">
        <f>GCD(A43,D43)</f>
        <v/>
      </c>
      <c r="L43">
        <f>A43/K43</f>
        <v/>
      </c>
      <c r="M43">
        <f>D43/K43</f>
        <v/>
      </c>
      <c r="N43">
        <f>"("&amp;L43&amp;","&amp;M43&amp;")"</f>
        <v/>
      </c>
      <c r="O43">
        <f>(D43-A43)/E43</f>
        <v/>
      </c>
      <c r="P43">
        <f>V43/W43</f>
        <v/>
      </c>
      <c r="Q43">
        <f>A43</f>
        <v/>
      </c>
      <c r="R43">
        <f>D43</f>
        <v/>
      </c>
      <c r="S43">
        <f>A43</f>
        <v/>
      </c>
      <c r="T43">
        <f>2*A43+D43</f>
        <v/>
      </c>
      <c r="U43">
        <f>A43+2*D43</f>
        <v/>
      </c>
      <c r="V43">
        <f>8*(A43*(7117/768)+(D43-A43)*(1/64))</f>
        <v/>
      </c>
      <c r="W43">
        <f>4*E43*(7117/768)</f>
        <v/>
      </c>
      <c r="X43">
        <f>W43-V43</f>
        <v/>
      </c>
      <c r="Y43">
        <f>IF(P43&lt;1,"substrate-light / mass-heavy",IF(P43&gt;1,"substrate-heavy / mass-light","balanced"))</f>
        <v/>
      </c>
      <c r="Z43">
        <f>IF(F43="","",H43-IFERROR(VLOOKUP(A43, Observed_Lookup!A:G, 7, FALSE),""))</f>
        <v/>
      </c>
      <c r="AA43">
        <f>IF(Z43="","",Z43*931.49410242)</f>
        <v/>
      </c>
      <c r="AB43">
        <f>8*(A43+IF(F43="",D43,G43))-17*(A43+IF(F43="",D43,G43))^(2/3)-(3/4)*A43*(A43-1)/(A43+IF(F43="",D43,G43))^(1/3)-22*(IF(F43="",D43,G43)-A43)^2/(A43+IF(F43="",D43,G43))+7*IF(AND(MOD(A43,2)=0,MOD(IF(F43="",D43,G43),2)=0),1,IF(AND(MOD(A43,2)=1,MOD(IF(F43="",D43,G43),2)=1),-1,0))/SQRT((A43+IF(F43="",D43,G43)))-(25/4)*IF(AND((A43/GCD(A43,IF(F43="",D43,G43)))=1,(IF(F43="",D43,G43)/GCD(A43,IF(F43="",D43,G43)))=1),0,1)</f>
        <v/>
      </c>
      <c r="AC43">
        <f>IF(AA43="","",AA43-AB43)</f>
        <v/>
      </c>
      <c r="AD43">
        <f>IF(AND(A43&lt;=83,A43&lt;&gt;43,A43&lt;&gt;61),"clock-stable","clock-boundary")</f>
        <v/>
      </c>
      <c r="AE43" t="inlineStr">
        <is>
          <t>engine_diff_from_observed</t>
        </is>
      </c>
      <c r="AF43" t="inlineStr">
        <is>
          <t>engine anchor Mo-101 differs from observed most-abundant Mo-98</t>
        </is>
      </c>
    </row>
    <row r="44">
      <c r="A44" t="n">
        <v>43</v>
      </c>
      <c r="B44" t="inlineStr">
        <is>
          <t>Tc</t>
        </is>
      </c>
      <c r="C44" t="inlineStr">
        <is>
          <t>Technetium</t>
        </is>
      </c>
      <c r="D44">
        <f>A44 + INT(A44 * INT((A44-1)/12) / 12)</f>
        <v/>
      </c>
      <c r="E44">
        <f>A44+D44</f>
        <v/>
      </c>
      <c r="F44">
        <f>VLOOKUP(A44, Observed_Lookup!A:G, 4, FALSE)</f>
        <v/>
      </c>
      <c r="G44">
        <f>VLOOKUP(A44, Observed_Lookup!A:G, 5, FALSE)</f>
        <v/>
      </c>
      <c r="H44">
        <f>VLOOKUP(A44, Observed_Lookup!A:G, 6, FALSE)</f>
        <v/>
      </c>
      <c r="I44">
        <f>IF(F44="","",D44-G44)</f>
        <v/>
      </c>
      <c r="J44">
        <f>IF(F44="","",E44-H44)</f>
        <v/>
      </c>
      <c r="K44">
        <f>GCD(A44,D44)</f>
        <v/>
      </c>
      <c r="L44">
        <f>A44/K44</f>
        <v/>
      </c>
      <c r="M44">
        <f>D44/K44</f>
        <v/>
      </c>
      <c r="N44">
        <f>"("&amp;L44&amp;","&amp;M44&amp;")"</f>
        <v/>
      </c>
      <c r="O44">
        <f>(D44-A44)/E44</f>
        <v/>
      </c>
      <c r="P44">
        <f>V44/W44</f>
        <v/>
      </c>
      <c r="Q44">
        <f>A44</f>
        <v/>
      </c>
      <c r="R44">
        <f>D44</f>
        <v/>
      </c>
      <c r="S44">
        <f>A44</f>
        <v/>
      </c>
      <c r="T44">
        <f>2*A44+D44</f>
        <v/>
      </c>
      <c r="U44">
        <f>A44+2*D44</f>
        <v/>
      </c>
      <c r="V44">
        <f>8*(A44*(7117/768)+(D44-A44)*(1/64))</f>
        <v/>
      </c>
      <c r="W44">
        <f>4*E44*(7117/768)</f>
        <v/>
      </c>
      <c r="X44">
        <f>W44-V44</f>
        <v/>
      </c>
      <c r="Y44">
        <f>IF(P44&lt;1,"substrate-light / mass-heavy",IF(P44&gt;1,"substrate-heavy / mass-light","balanced"))</f>
        <v/>
      </c>
      <c r="Z44">
        <f>IF(F44="","",H44-IFERROR(VLOOKUP(A44, Observed_Lookup!A:G, 7, FALSE),""))</f>
        <v/>
      </c>
      <c r="AA44">
        <f>IF(Z44="","",Z44*931.49410242)</f>
        <v/>
      </c>
      <c r="AB44">
        <f>8*(A44+IF(F44="",D44,G44))-17*(A44+IF(F44="",D44,G44))^(2/3)-(3/4)*A44*(A44-1)/(A44+IF(F44="",D44,G44))^(1/3)-22*(IF(F44="",D44,G44)-A44)^2/(A44+IF(F44="",D44,G44))+7*IF(AND(MOD(A44,2)=0,MOD(IF(F44="",D44,G44),2)=0),1,IF(AND(MOD(A44,2)=1,MOD(IF(F44="",D44,G44),2)=1),-1,0))/SQRT((A44+IF(F44="",D44,G44)))-(25/4)*IF(AND((A44/GCD(A44,IF(F44="",D44,G44)))=1,(IF(F44="",D44,G44)/GCD(A44,IF(F44="",D44,G44)))=1),0,1)</f>
        <v/>
      </c>
      <c r="AC44">
        <f>IF(AA44="","",AA44-AB44)</f>
        <v/>
      </c>
      <c r="AD44">
        <f>IF(AND(A44&lt;=83,A44&lt;&gt;43,A44&lt;&gt;61),"clock-stable","clock-boundary")</f>
        <v/>
      </c>
      <c r="AE44" t="inlineStr">
        <is>
          <t>engine_diff_from_observed</t>
        </is>
      </c>
      <c r="AF44" t="inlineStr">
        <is>
          <t>engine anchor Tc-107 differs from observed most-abundant Tc-98</t>
        </is>
      </c>
    </row>
    <row r="45">
      <c r="A45" t="n">
        <v>44</v>
      </c>
      <c r="B45" t="inlineStr">
        <is>
          <t>Ru</t>
        </is>
      </c>
      <c r="C45" t="inlineStr">
        <is>
          <t>Ruthenium</t>
        </is>
      </c>
      <c r="D45">
        <f>A45 + INT(A45 * INT((A45-1)/12) / 12)</f>
        <v/>
      </c>
      <c r="E45">
        <f>A45+D45</f>
        <v/>
      </c>
      <c r="F45">
        <f>VLOOKUP(A45, Observed_Lookup!A:G, 4, FALSE)</f>
        <v/>
      </c>
      <c r="G45">
        <f>VLOOKUP(A45, Observed_Lookup!A:G, 5, FALSE)</f>
        <v/>
      </c>
      <c r="H45">
        <f>VLOOKUP(A45, Observed_Lookup!A:G, 6, FALSE)</f>
        <v/>
      </c>
      <c r="I45">
        <f>IF(F45="","",D45-G45)</f>
        <v/>
      </c>
      <c r="J45">
        <f>IF(F45="","",E45-H45)</f>
        <v/>
      </c>
      <c r="K45">
        <f>GCD(A45,D45)</f>
        <v/>
      </c>
      <c r="L45">
        <f>A45/K45</f>
        <v/>
      </c>
      <c r="M45">
        <f>D45/K45</f>
        <v/>
      </c>
      <c r="N45">
        <f>"("&amp;L45&amp;","&amp;M45&amp;")"</f>
        <v/>
      </c>
      <c r="O45">
        <f>(D45-A45)/E45</f>
        <v/>
      </c>
      <c r="P45">
        <f>V45/W45</f>
        <v/>
      </c>
      <c r="Q45">
        <f>A45</f>
        <v/>
      </c>
      <c r="R45">
        <f>D45</f>
        <v/>
      </c>
      <c r="S45">
        <f>A45</f>
        <v/>
      </c>
      <c r="T45">
        <f>2*A45+D45</f>
        <v/>
      </c>
      <c r="U45">
        <f>A45+2*D45</f>
        <v/>
      </c>
      <c r="V45">
        <f>8*(A45*(7117/768)+(D45-A45)*(1/64))</f>
        <v/>
      </c>
      <c r="W45">
        <f>4*E45*(7117/768)</f>
        <v/>
      </c>
      <c r="X45">
        <f>W45-V45</f>
        <v/>
      </c>
      <c r="Y45">
        <f>IF(P45&lt;1,"substrate-light / mass-heavy",IF(P45&gt;1,"substrate-heavy / mass-light","balanced"))</f>
        <v/>
      </c>
      <c r="Z45">
        <f>IF(F45="","",H45-IFERROR(VLOOKUP(A45, Observed_Lookup!A:G, 7, FALSE),""))</f>
        <v/>
      </c>
      <c r="AA45">
        <f>IF(Z45="","",Z45*931.49410242)</f>
        <v/>
      </c>
      <c r="AB45">
        <f>8*(A45+IF(F45="",D45,G45))-17*(A45+IF(F45="",D45,G45))^(2/3)-(3/4)*A45*(A45-1)/(A45+IF(F45="",D45,G45))^(1/3)-22*(IF(F45="",D45,G45)-A45)^2/(A45+IF(F45="",D45,G45))+7*IF(AND(MOD(A45,2)=0,MOD(IF(F45="",D45,G45),2)=0),1,IF(AND(MOD(A45,2)=1,MOD(IF(F45="",D45,G45),2)=1),-1,0))/SQRT((A45+IF(F45="",D45,G45)))-(25/4)*IF(AND((A45/GCD(A45,IF(F45="",D45,G45)))=1,(IF(F45="",D45,G45)/GCD(A45,IF(F45="",D45,G45)))=1),0,1)</f>
        <v/>
      </c>
      <c r="AC45">
        <f>IF(AA45="","",AA45-AB45)</f>
        <v/>
      </c>
      <c r="AD45">
        <f>IF(AND(A45&lt;=83,A45&lt;&gt;43,A45&lt;&gt;61),"clock-stable","clock-boundary")</f>
        <v/>
      </c>
      <c r="AE45" t="inlineStr">
        <is>
          <t>engine_diff_from_observed</t>
        </is>
      </c>
      <c r="AF45" t="inlineStr">
        <is>
          <t>engine anchor Ru-113 differs from observed most-abundant Ru-102</t>
        </is>
      </c>
    </row>
    <row r="46">
      <c r="A46" t="n">
        <v>45</v>
      </c>
      <c r="B46" t="inlineStr">
        <is>
          <t>Rh</t>
        </is>
      </c>
      <c r="C46" t="inlineStr">
        <is>
          <t>Rhodium</t>
        </is>
      </c>
      <c r="D46">
        <f>A46 + INT(A46 * INT((A46-1)/12) / 12)</f>
        <v/>
      </c>
      <c r="E46">
        <f>A46+D46</f>
        <v/>
      </c>
      <c r="F46">
        <f>VLOOKUP(A46, Observed_Lookup!A:G, 4, FALSE)</f>
        <v/>
      </c>
      <c r="G46">
        <f>VLOOKUP(A46, Observed_Lookup!A:G, 5, FALSE)</f>
        <v/>
      </c>
      <c r="H46">
        <f>VLOOKUP(A46, Observed_Lookup!A:G, 6, FALSE)</f>
        <v/>
      </c>
      <c r="I46">
        <f>IF(F46="","",D46-G46)</f>
        <v/>
      </c>
      <c r="J46">
        <f>IF(F46="","",E46-H46)</f>
        <v/>
      </c>
      <c r="K46">
        <f>GCD(A46,D46)</f>
        <v/>
      </c>
      <c r="L46">
        <f>A46/K46</f>
        <v/>
      </c>
      <c r="M46">
        <f>D46/K46</f>
        <v/>
      </c>
      <c r="N46">
        <f>"("&amp;L46&amp;","&amp;M46&amp;")"</f>
        <v/>
      </c>
      <c r="O46">
        <f>(D46-A46)/E46</f>
        <v/>
      </c>
      <c r="P46">
        <f>V46/W46</f>
        <v/>
      </c>
      <c r="Q46">
        <f>A46</f>
        <v/>
      </c>
      <c r="R46">
        <f>D46</f>
        <v/>
      </c>
      <c r="S46">
        <f>A46</f>
        <v/>
      </c>
      <c r="T46">
        <f>2*A46+D46</f>
        <v/>
      </c>
      <c r="U46">
        <f>A46+2*D46</f>
        <v/>
      </c>
      <c r="V46">
        <f>8*(A46*(7117/768)+(D46-A46)*(1/64))</f>
        <v/>
      </c>
      <c r="W46">
        <f>4*E46*(7117/768)</f>
        <v/>
      </c>
      <c r="X46">
        <f>W46-V46</f>
        <v/>
      </c>
      <c r="Y46">
        <f>IF(P46&lt;1,"substrate-light / mass-heavy",IF(P46&gt;1,"substrate-heavy / mass-light","balanced"))</f>
        <v/>
      </c>
      <c r="Z46">
        <f>IF(F46="","",H46-IFERROR(VLOOKUP(A46, Observed_Lookup!A:G, 7, FALSE),""))</f>
        <v/>
      </c>
      <c r="AA46">
        <f>IF(Z46="","",Z46*931.49410242)</f>
        <v/>
      </c>
      <c r="AB46">
        <f>8*(A46+IF(F46="",D46,G46))-17*(A46+IF(F46="",D46,G46))^(2/3)-(3/4)*A46*(A46-1)/(A46+IF(F46="",D46,G46))^(1/3)-22*(IF(F46="",D46,G46)-A46)^2/(A46+IF(F46="",D46,G46))+7*IF(AND(MOD(A46,2)=0,MOD(IF(F46="",D46,G46),2)=0),1,IF(AND(MOD(A46,2)=1,MOD(IF(F46="",D46,G46),2)=1),-1,0))/SQRT((A46+IF(F46="",D46,G46)))-(25/4)*IF(AND((A46/GCD(A46,IF(F46="",D46,G46)))=1,(IF(F46="",D46,G46)/GCD(A46,IF(F46="",D46,G46)))=1),0,1)</f>
        <v/>
      </c>
      <c r="AC46">
        <f>IF(AA46="","",AA46-AB46)</f>
        <v/>
      </c>
      <c r="AD46">
        <f>IF(AND(A46&lt;=83,A46&lt;&gt;43,A46&lt;&gt;61),"clock-stable","clock-boundary")</f>
        <v/>
      </c>
      <c r="AE46" t="inlineStr">
        <is>
          <t>engine_diff_from_observed</t>
        </is>
      </c>
      <c r="AF46" t="inlineStr">
        <is>
          <t>engine anchor Rh-120 differs from observed most-abundant Rh-103</t>
        </is>
      </c>
    </row>
    <row r="47">
      <c r="A47" t="n">
        <v>46</v>
      </c>
      <c r="B47" t="inlineStr">
        <is>
          <t>Pd</t>
        </is>
      </c>
      <c r="C47" t="inlineStr">
        <is>
          <t>Palladium</t>
        </is>
      </c>
      <c r="D47">
        <f>A47 + INT(A47 * INT((A47-1)/12) / 12)</f>
        <v/>
      </c>
      <c r="E47">
        <f>A47+D47</f>
        <v/>
      </c>
      <c r="F47">
        <f>VLOOKUP(A47, Observed_Lookup!A:G, 4, FALSE)</f>
        <v/>
      </c>
      <c r="G47">
        <f>VLOOKUP(A47, Observed_Lookup!A:G, 5, FALSE)</f>
        <v/>
      </c>
      <c r="H47">
        <f>VLOOKUP(A47, Observed_Lookup!A:G, 6, FALSE)</f>
        <v/>
      </c>
      <c r="I47">
        <f>IF(F47="","",D47-G47)</f>
        <v/>
      </c>
      <c r="J47">
        <f>IF(F47="","",E47-H47)</f>
        <v/>
      </c>
      <c r="K47">
        <f>GCD(A47,D47)</f>
        <v/>
      </c>
      <c r="L47">
        <f>A47/K47</f>
        <v/>
      </c>
      <c r="M47">
        <f>D47/K47</f>
        <v/>
      </c>
      <c r="N47">
        <f>"("&amp;L47&amp;","&amp;M47&amp;")"</f>
        <v/>
      </c>
      <c r="O47">
        <f>(D47-A47)/E47</f>
        <v/>
      </c>
      <c r="P47">
        <f>V47/W47</f>
        <v/>
      </c>
      <c r="Q47">
        <f>A47</f>
        <v/>
      </c>
      <c r="R47">
        <f>D47</f>
        <v/>
      </c>
      <c r="S47">
        <f>A47</f>
        <v/>
      </c>
      <c r="T47">
        <f>2*A47+D47</f>
        <v/>
      </c>
      <c r="U47">
        <f>A47+2*D47</f>
        <v/>
      </c>
      <c r="V47">
        <f>8*(A47*(7117/768)+(D47-A47)*(1/64))</f>
        <v/>
      </c>
      <c r="W47">
        <f>4*E47*(7117/768)</f>
        <v/>
      </c>
      <c r="X47">
        <f>W47-V47</f>
        <v/>
      </c>
      <c r="Y47">
        <f>IF(P47&lt;1,"substrate-light / mass-heavy",IF(P47&gt;1,"substrate-heavy / mass-light","balanced"))</f>
        <v/>
      </c>
      <c r="Z47">
        <f>IF(F47="","",H47-IFERROR(VLOOKUP(A47, Observed_Lookup!A:G, 7, FALSE),""))</f>
        <v/>
      </c>
      <c r="AA47">
        <f>IF(Z47="","",Z47*931.49410242)</f>
        <v/>
      </c>
      <c r="AB47">
        <f>8*(A47+IF(F47="",D47,G47))-17*(A47+IF(F47="",D47,G47))^(2/3)-(3/4)*A47*(A47-1)/(A47+IF(F47="",D47,G47))^(1/3)-22*(IF(F47="",D47,G47)-A47)^2/(A47+IF(F47="",D47,G47))+7*IF(AND(MOD(A47,2)=0,MOD(IF(F47="",D47,G47),2)=0),1,IF(AND(MOD(A47,2)=1,MOD(IF(F47="",D47,G47),2)=1),-1,0))/SQRT((A47+IF(F47="",D47,G47)))-(25/4)*IF(AND((A47/GCD(A47,IF(F47="",D47,G47)))=1,(IF(F47="",D47,G47)/GCD(A47,IF(F47="",D47,G47)))=1),0,1)</f>
        <v/>
      </c>
      <c r="AC47">
        <f>IF(AA47="","",AA47-AB47)</f>
        <v/>
      </c>
      <c r="AD47">
        <f>IF(AND(A47&lt;=83,A47&lt;&gt;43,A47&lt;&gt;61),"clock-stable","clock-boundary")</f>
        <v/>
      </c>
      <c r="AE47" t="inlineStr">
        <is>
          <t>engine_diff_from_observed</t>
        </is>
      </c>
      <c r="AF47" t="inlineStr">
        <is>
          <t>engine anchor Pd-126 differs from observed most-abundant Pd-106</t>
        </is>
      </c>
    </row>
    <row r="48">
      <c r="A48" t="n">
        <v>47</v>
      </c>
      <c r="B48" t="inlineStr">
        <is>
          <t>Ag</t>
        </is>
      </c>
      <c r="C48" t="inlineStr">
        <is>
          <t>Silver</t>
        </is>
      </c>
      <c r="D48">
        <f>A48 + INT(A48 * INT((A48-1)/12) / 12)</f>
        <v/>
      </c>
      <c r="E48">
        <f>A48+D48</f>
        <v/>
      </c>
      <c r="F48">
        <f>VLOOKUP(A48, Observed_Lookup!A:G, 4, FALSE)</f>
        <v/>
      </c>
      <c r="G48">
        <f>VLOOKUP(A48, Observed_Lookup!A:G, 5, FALSE)</f>
        <v/>
      </c>
      <c r="H48">
        <f>VLOOKUP(A48, Observed_Lookup!A:G, 6, FALSE)</f>
        <v/>
      </c>
      <c r="I48">
        <f>IF(F48="","",D48-G48)</f>
        <v/>
      </c>
      <c r="J48">
        <f>IF(F48="","",E48-H48)</f>
        <v/>
      </c>
      <c r="K48">
        <f>GCD(A48,D48)</f>
        <v/>
      </c>
      <c r="L48">
        <f>A48/K48</f>
        <v/>
      </c>
      <c r="M48">
        <f>D48/K48</f>
        <v/>
      </c>
      <c r="N48">
        <f>"("&amp;L48&amp;","&amp;M48&amp;")"</f>
        <v/>
      </c>
      <c r="O48">
        <f>(D48-A48)/E48</f>
        <v/>
      </c>
      <c r="P48">
        <f>V48/W48</f>
        <v/>
      </c>
      <c r="Q48">
        <f>A48</f>
        <v/>
      </c>
      <c r="R48">
        <f>D48</f>
        <v/>
      </c>
      <c r="S48">
        <f>A48</f>
        <v/>
      </c>
      <c r="T48">
        <f>2*A48+D48</f>
        <v/>
      </c>
      <c r="U48">
        <f>A48+2*D48</f>
        <v/>
      </c>
      <c r="V48">
        <f>8*(A48*(7117/768)+(D48-A48)*(1/64))</f>
        <v/>
      </c>
      <c r="W48">
        <f>4*E48*(7117/768)</f>
        <v/>
      </c>
      <c r="X48">
        <f>W48-V48</f>
        <v/>
      </c>
      <c r="Y48">
        <f>IF(P48&lt;1,"substrate-light / mass-heavy",IF(P48&gt;1,"substrate-heavy / mass-light","balanced"))</f>
        <v/>
      </c>
      <c r="Z48">
        <f>IF(F48="","",H48-IFERROR(VLOOKUP(A48, Observed_Lookup!A:G, 7, FALSE),""))</f>
        <v/>
      </c>
      <c r="AA48">
        <f>IF(Z48="","",Z48*931.49410242)</f>
        <v/>
      </c>
      <c r="AB48">
        <f>8*(A48+IF(F48="",D48,G48))-17*(A48+IF(F48="",D48,G48))^(2/3)-(3/4)*A48*(A48-1)/(A48+IF(F48="",D48,G48))^(1/3)-22*(IF(F48="",D48,G48)-A48)^2/(A48+IF(F48="",D48,G48))+7*IF(AND(MOD(A48,2)=0,MOD(IF(F48="",D48,G48),2)=0),1,IF(AND(MOD(A48,2)=1,MOD(IF(F48="",D48,G48),2)=1),-1,0))/SQRT((A48+IF(F48="",D48,G48)))-(25/4)*IF(AND((A48/GCD(A48,IF(F48="",D48,G48)))=1,(IF(F48="",D48,G48)/GCD(A48,IF(F48="",D48,G48)))=1),0,1)</f>
        <v/>
      </c>
      <c r="AC48">
        <f>IF(AA48="","",AA48-AB48)</f>
        <v/>
      </c>
      <c r="AD48">
        <f>IF(AND(A48&lt;=83,A48&lt;&gt;43,A48&lt;&gt;61),"clock-stable","clock-boundary")</f>
        <v/>
      </c>
      <c r="AE48" t="inlineStr">
        <is>
          <t>engine_diff_from_observed</t>
        </is>
      </c>
      <c r="AF48" t="inlineStr">
        <is>
          <t>engine anchor Ag-133 differs from observed most-abundant Ag-107</t>
        </is>
      </c>
    </row>
    <row r="49">
      <c r="A49" t="n">
        <v>48</v>
      </c>
      <c r="B49" t="inlineStr">
        <is>
          <t>Cd</t>
        </is>
      </c>
      <c r="C49" t="inlineStr">
        <is>
          <t>Cadmium</t>
        </is>
      </c>
      <c r="D49">
        <f>A49 + INT(A49 * INT((A49-1)/12) / 12)</f>
        <v/>
      </c>
      <c r="E49">
        <f>A49+D49</f>
        <v/>
      </c>
      <c r="F49">
        <f>VLOOKUP(A49, Observed_Lookup!A:G, 4, FALSE)</f>
        <v/>
      </c>
      <c r="G49">
        <f>VLOOKUP(A49, Observed_Lookup!A:G, 5, FALSE)</f>
        <v/>
      </c>
      <c r="H49">
        <f>VLOOKUP(A49, Observed_Lookup!A:G, 6, FALSE)</f>
        <v/>
      </c>
      <c r="I49">
        <f>IF(F49="","",D49-G49)</f>
        <v/>
      </c>
      <c r="J49">
        <f>IF(F49="","",E49-H49)</f>
        <v/>
      </c>
      <c r="K49">
        <f>GCD(A49,D49)</f>
        <v/>
      </c>
      <c r="L49">
        <f>A49/K49</f>
        <v/>
      </c>
      <c r="M49">
        <f>D49/K49</f>
        <v/>
      </c>
      <c r="N49">
        <f>"("&amp;L49&amp;","&amp;M49&amp;")"</f>
        <v/>
      </c>
      <c r="O49">
        <f>(D49-A49)/E49</f>
        <v/>
      </c>
      <c r="P49">
        <f>V49/W49</f>
        <v/>
      </c>
      <c r="Q49">
        <f>A49</f>
        <v/>
      </c>
      <c r="R49">
        <f>D49</f>
        <v/>
      </c>
      <c r="S49">
        <f>A49</f>
        <v/>
      </c>
      <c r="T49">
        <f>2*A49+D49</f>
        <v/>
      </c>
      <c r="U49">
        <f>A49+2*D49</f>
        <v/>
      </c>
      <c r="V49">
        <f>8*(A49*(7117/768)+(D49-A49)*(1/64))</f>
        <v/>
      </c>
      <c r="W49">
        <f>4*E49*(7117/768)</f>
        <v/>
      </c>
      <c r="X49">
        <f>W49-V49</f>
        <v/>
      </c>
      <c r="Y49">
        <f>IF(P49&lt;1,"substrate-light / mass-heavy",IF(P49&gt;1,"substrate-heavy / mass-light","balanced"))</f>
        <v/>
      </c>
      <c r="Z49">
        <f>IF(F49="","",H49-IFERROR(VLOOKUP(A49, Observed_Lookup!A:G, 7, FALSE),""))</f>
        <v/>
      </c>
      <c r="AA49">
        <f>IF(Z49="","",Z49*931.49410242)</f>
        <v/>
      </c>
      <c r="AB49">
        <f>8*(A49+IF(F49="",D49,G49))-17*(A49+IF(F49="",D49,G49))^(2/3)-(3/4)*A49*(A49-1)/(A49+IF(F49="",D49,G49))^(1/3)-22*(IF(F49="",D49,G49)-A49)^2/(A49+IF(F49="",D49,G49))+7*IF(AND(MOD(A49,2)=0,MOD(IF(F49="",D49,G49),2)=0),1,IF(AND(MOD(A49,2)=1,MOD(IF(F49="",D49,G49),2)=1),-1,0))/SQRT((A49+IF(F49="",D49,G49)))-(25/4)*IF(AND((A49/GCD(A49,IF(F49="",D49,G49)))=1,(IF(F49="",D49,G49)/GCD(A49,IF(F49="",D49,G49)))=1),0,1)</f>
        <v/>
      </c>
      <c r="AC49">
        <f>IF(AA49="","",AA49-AB49)</f>
        <v/>
      </c>
      <c r="AD49">
        <f>IF(AND(A49&lt;=83,A49&lt;&gt;43,A49&lt;&gt;61),"clock-stable","clock-boundary")</f>
        <v/>
      </c>
      <c r="AE49" t="inlineStr">
        <is>
          <t>engine_diff_from_observed</t>
        </is>
      </c>
      <c r="AF49" t="inlineStr">
        <is>
          <t>engine anchor Cd-140 differs from observed most-abundant Cd-114</t>
        </is>
      </c>
    </row>
    <row r="50">
      <c r="A50" t="n">
        <v>49</v>
      </c>
      <c r="B50" t="inlineStr">
        <is>
          <t>In</t>
        </is>
      </c>
      <c r="C50" t="inlineStr">
        <is>
          <t>Indium</t>
        </is>
      </c>
      <c r="D50">
        <f>A50 + INT(A50 * INT((A50-1)/12) / 12)</f>
        <v/>
      </c>
      <c r="E50">
        <f>A50+D50</f>
        <v/>
      </c>
      <c r="F50">
        <f>VLOOKUP(A50, Observed_Lookup!A:G, 4, FALSE)</f>
        <v/>
      </c>
      <c r="G50">
        <f>VLOOKUP(A50, Observed_Lookup!A:G, 5, FALSE)</f>
        <v/>
      </c>
      <c r="H50">
        <f>VLOOKUP(A50, Observed_Lookup!A:G, 6, FALSE)</f>
        <v/>
      </c>
      <c r="I50">
        <f>IF(F50="","",D50-G50)</f>
        <v/>
      </c>
      <c r="J50">
        <f>IF(F50="","",E50-H50)</f>
        <v/>
      </c>
      <c r="K50">
        <f>GCD(A50,D50)</f>
        <v/>
      </c>
      <c r="L50">
        <f>A50/K50</f>
        <v/>
      </c>
      <c r="M50">
        <f>D50/K50</f>
        <v/>
      </c>
      <c r="N50">
        <f>"("&amp;L50&amp;","&amp;M50&amp;")"</f>
        <v/>
      </c>
      <c r="O50">
        <f>(D50-A50)/E50</f>
        <v/>
      </c>
      <c r="P50">
        <f>V50/W50</f>
        <v/>
      </c>
      <c r="Q50">
        <f>A50</f>
        <v/>
      </c>
      <c r="R50">
        <f>D50</f>
        <v/>
      </c>
      <c r="S50">
        <f>A50</f>
        <v/>
      </c>
      <c r="T50">
        <f>2*A50+D50</f>
        <v/>
      </c>
      <c r="U50">
        <f>A50+2*D50</f>
        <v/>
      </c>
      <c r="V50">
        <f>8*(A50*(7117/768)+(D50-A50)*(1/64))</f>
        <v/>
      </c>
      <c r="W50">
        <f>4*E50*(7117/768)</f>
        <v/>
      </c>
      <c r="X50">
        <f>W50-V50</f>
        <v/>
      </c>
      <c r="Y50">
        <f>IF(P50&lt;1,"substrate-light / mass-heavy",IF(P50&gt;1,"substrate-heavy / mass-light","balanced"))</f>
        <v/>
      </c>
      <c r="Z50">
        <f>IF(F50="","",H50-IFERROR(VLOOKUP(A50, Observed_Lookup!A:G, 7, FALSE),""))</f>
        <v/>
      </c>
      <c r="AA50">
        <f>IF(Z50="","",Z50*931.49410242)</f>
        <v/>
      </c>
      <c r="AB50">
        <f>8*(A50+IF(F50="",D50,G50))-17*(A50+IF(F50="",D50,G50))^(2/3)-(3/4)*A50*(A50-1)/(A50+IF(F50="",D50,G50))^(1/3)-22*(IF(F50="",D50,G50)-A50)^2/(A50+IF(F50="",D50,G50))+7*IF(AND(MOD(A50,2)=0,MOD(IF(F50="",D50,G50),2)=0),1,IF(AND(MOD(A50,2)=1,MOD(IF(F50="",D50,G50),2)=1),-1,0))/SQRT((A50+IF(F50="",D50,G50)))-(25/4)*IF(AND((A50/GCD(A50,IF(F50="",D50,G50)))=1,(IF(F50="",D50,G50)/GCD(A50,IF(F50="",D50,G50)))=1),0,1)</f>
        <v/>
      </c>
      <c r="AC50">
        <f>IF(AA50="","",AA50-AB50)</f>
        <v/>
      </c>
      <c r="AD50">
        <f>IF(AND(A50&lt;=83,A50&lt;&gt;43,A50&lt;&gt;61),"clock-stable","clock-boundary")</f>
        <v/>
      </c>
      <c r="AE50" t="inlineStr">
        <is>
          <t>engine_diff_from_observed</t>
        </is>
      </c>
      <c r="AF50" t="inlineStr">
        <is>
          <t>engine anchor In-98 differs from observed most-abundant In-115</t>
        </is>
      </c>
    </row>
    <row r="51">
      <c r="A51" t="n">
        <v>50</v>
      </c>
      <c r="B51" t="inlineStr">
        <is>
          <t>Sn</t>
        </is>
      </c>
      <c r="C51" t="inlineStr">
        <is>
          <t>Tin</t>
        </is>
      </c>
      <c r="D51">
        <f>A51 + INT(A51 * INT((A51-1)/12) / 12)</f>
        <v/>
      </c>
      <c r="E51">
        <f>A51+D51</f>
        <v/>
      </c>
      <c r="F51">
        <f>VLOOKUP(A51, Observed_Lookup!A:G, 4, FALSE)</f>
        <v/>
      </c>
      <c r="G51">
        <f>VLOOKUP(A51, Observed_Lookup!A:G, 5, FALSE)</f>
        <v/>
      </c>
      <c r="H51">
        <f>VLOOKUP(A51, Observed_Lookup!A:G, 6, FALSE)</f>
        <v/>
      </c>
      <c r="I51">
        <f>IF(F51="","",D51-G51)</f>
        <v/>
      </c>
      <c r="J51">
        <f>IF(F51="","",E51-H51)</f>
        <v/>
      </c>
      <c r="K51">
        <f>GCD(A51,D51)</f>
        <v/>
      </c>
      <c r="L51">
        <f>A51/K51</f>
        <v/>
      </c>
      <c r="M51">
        <f>D51/K51</f>
        <v/>
      </c>
      <c r="N51">
        <f>"("&amp;L51&amp;","&amp;M51&amp;")"</f>
        <v/>
      </c>
      <c r="O51">
        <f>(D51-A51)/E51</f>
        <v/>
      </c>
      <c r="P51">
        <f>V51/W51</f>
        <v/>
      </c>
      <c r="Q51">
        <f>A51</f>
        <v/>
      </c>
      <c r="R51">
        <f>D51</f>
        <v/>
      </c>
      <c r="S51">
        <f>A51</f>
        <v/>
      </c>
      <c r="T51">
        <f>2*A51+D51</f>
        <v/>
      </c>
      <c r="U51">
        <f>A51+2*D51</f>
        <v/>
      </c>
      <c r="V51">
        <f>8*(A51*(7117/768)+(D51-A51)*(1/64))</f>
        <v/>
      </c>
      <c r="W51">
        <f>4*E51*(7117/768)</f>
        <v/>
      </c>
      <c r="X51">
        <f>W51-V51</f>
        <v/>
      </c>
      <c r="Y51">
        <f>IF(P51&lt;1,"substrate-light / mass-heavy",IF(P51&gt;1,"substrate-heavy / mass-light","balanced"))</f>
        <v/>
      </c>
      <c r="Z51">
        <f>IF(F51="","",H51-IFERROR(VLOOKUP(A51, Observed_Lookup!A:G, 7, FALSE),""))</f>
        <v/>
      </c>
      <c r="AA51">
        <f>IF(Z51="","",Z51*931.49410242)</f>
        <v/>
      </c>
      <c r="AB51">
        <f>8*(A51+IF(F51="",D51,G51))-17*(A51+IF(F51="",D51,G51))^(2/3)-(3/4)*A51*(A51-1)/(A51+IF(F51="",D51,G51))^(1/3)-22*(IF(F51="",D51,G51)-A51)^2/(A51+IF(F51="",D51,G51))+7*IF(AND(MOD(A51,2)=0,MOD(IF(F51="",D51,G51),2)=0),1,IF(AND(MOD(A51,2)=1,MOD(IF(F51="",D51,G51),2)=1),-1,0))/SQRT((A51+IF(F51="",D51,G51)))-(25/4)*IF(AND((A51/GCD(A51,IF(F51="",D51,G51)))=1,(IF(F51="",D51,G51)/GCD(A51,IF(F51="",D51,G51)))=1),0,1)</f>
        <v/>
      </c>
      <c r="AC51">
        <f>IF(AA51="","",AA51-AB51)</f>
        <v/>
      </c>
      <c r="AD51">
        <f>IF(AND(A51&lt;=83,A51&lt;&gt;43,A51&lt;&gt;61),"clock-stable","clock-boundary")</f>
        <v/>
      </c>
      <c r="AE51" t="inlineStr">
        <is>
          <t>engine_diff_from_observed</t>
        </is>
      </c>
      <c r="AF51" t="inlineStr">
        <is>
          <t>engine anchor Sn-104 differs from observed most-abundant Sn-120</t>
        </is>
      </c>
    </row>
    <row r="52">
      <c r="A52" t="n">
        <v>51</v>
      </c>
      <c r="B52" t="inlineStr">
        <is>
          <t>Sb</t>
        </is>
      </c>
      <c r="C52" t="inlineStr">
        <is>
          <t>Antimony</t>
        </is>
      </c>
      <c r="D52">
        <f>A52 + INT(A52 * INT((A52-1)/12) / 12)</f>
        <v/>
      </c>
      <c r="E52">
        <f>A52+D52</f>
        <v/>
      </c>
      <c r="F52">
        <f>VLOOKUP(A52, Observed_Lookup!A:G, 4, FALSE)</f>
        <v/>
      </c>
      <c r="G52">
        <f>VLOOKUP(A52, Observed_Lookup!A:G, 5, FALSE)</f>
        <v/>
      </c>
      <c r="H52">
        <f>VLOOKUP(A52, Observed_Lookup!A:G, 6, FALSE)</f>
        <v/>
      </c>
      <c r="I52">
        <f>IF(F52="","",D52-G52)</f>
        <v/>
      </c>
      <c r="J52">
        <f>IF(F52="","",E52-H52)</f>
        <v/>
      </c>
      <c r="K52">
        <f>GCD(A52,D52)</f>
        <v/>
      </c>
      <c r="L52">
        <f>A52/K52</f>
        <v/>
      </c>
      <c r="M52">
        <f>D52/K52</f>
        <v/>
      </c>
      <c r="N52">
        <f>"("&amp;L52&amp;","&amp;M52&amp;")"</f>
        <v/>
      </c>
      <c r="O52">
        <f>(D52-A52)/E52</f>
        <v/>
      </c>
      <c r="P52">
        <f>V52/W52</f>
        <v/>
      </c>
      <c r="Q52">
        <f>A52</f>
        <v/>
      </c>
      <c r="R52">
        <f>D52</f>
        <v/>
      </c>
      <c r="S52">
        <f>A52</f>
        <v/>
      </c>
      <c r="T52">
        <f>2*A52+D52</f>
        <v/>
      </c>
      <c r="U52">
        <f>A52+2*D52</f>
        <v/>
      </c>
      <c r="V52">
        <f>8*(A52*(7117/768)+(D52-A52)*(1/64))</f>
        <v/>
      </c>
      <c r="W52">
        <f>4*E52*(7117/768)</f>
        <v/>
      </c>
      <c r="X52">
        <f>W52-V52</f>
        <v/>
      </c>
      <c r="Y52">
        <f>IF(P52&lt;1,"substrate-light / mass-heavy",IF(P52&gt;1,"substrate-heavy / mass-light","balanced"))</f>
        <v/>
      </c>
      <c r="Z52">
        <f>IF(F52="","",H52-IFERROR(VLOOKUP(A52, Observed_Lookup!A:G, 7, FALSE),""))</f>
        <v/>
      </c>
      <c r="AA52">
        <f>IF(Z52="","",Z52*931.49410242)</f>
        <v/>
      </c>
      <c r="AB52">
        <f>8*(A52+IF(F52="",D52,G52))-17*(A52+IF(F52="",D52,G52))^(2/3)-(3/4)*A52*(A52-1)/(A52+IF(F52="",D52,G52))^(1/3)-22*(IF(F52="",D52,G52)-A52)^2/(A52+IF(F52="",D52,G52))+7*IF(AND(MOD(A52,2)=0,MOD(IF(F52="",D52,G52),2)=0),1,IF(AND(MOD(A52,2)=1,MOD(IF(F52="",D52,G52),2)=1),-1,0))/SQRT((A52+IF(F52="",D52,G52)))-(25/4)*IF(AND((A52/GCD(A52,IF(F52="",D52,G52)))=1,(IF(F52="",D52,G52)/GCD(A52,IF(F52="",D52,G52)))=1),0,1)</f>
        <v/>
      </c>
      <c r="AC52">
        <f>IF(AA52="","",AA52-AB52)</f>
        <v/>
      </c>
      <c r="AD52">
        <f>IF(AND(A52&lt;=83,A52&lt;&gt;43,A52&lt;&gt;61),"clock-stable","clock-boundary")</f>
        <v/>
      </c>
      <c r="AE52" t="inlineStr">
        <is>
          <t>engine_diff_from_observed</t>
        </is>
      </c>
      <c r="AF52" t="inlineStr">
        <is>
          <t>engine anchor Sb-110 differs from observed most-abundant Sb-121</t>
        </is>
      </c>
    </row>
    <row r="53">
      <c r="A53" t="n">
        <v>52</v>
      </c>
      <c r="B53" t="inlineStr">
        <is>
          <t>Te</t>
        </is>
      </c>
      <c r="C53" t="inlineStr">
        <is>
          <t>Tellurium</t>
        </is>
      </c>
      <c r="D53">
        <f>A53 + INT(A53 * INT((A53-1)/12) / 12)</f>
        <v/>
      </c>
      <c r="E53">
        <f>A53+D53</f>
        <v/>
      </c>
      <c r="F53">
        <f>VLOOKUP(A53, Observed_Lookup!A:G, 4, FALSE)</f>
        <v/>
      </c>
      <c r="G53">
        <f>VLOOKUP(A53, Observed_Lookup!A:G, 5, FALSE)</f>
        <v/>
      </c>
      <c r="H53">
        <f>VLOOKUP(A53, Observed_Lookup!A:G, 6, FALSE)</f>
        <v/>
      </c>
      <c r="I53">
        <f>IF(F53="","",D53-G53)</f>
        <v/>
      </c>
      <c r="J53">
        <f>IF(F53="","",E53-H53)</f>
        <v/>
      </c>
      <c r="K53">
        <f>GCD(A53,D53)</f>
        <v/>
      </c>
      <c r="L53">
        <f>A53/K53</f>
        <v/>
      </c>
      <c r="M53">
        <f>D53/K53</f>
        <v/>
      </c>
      <c r="N53">
        <f>"("&amp;L53&amp;","&amp;M53&amp;")"</f>
        <v/>
      </c>
      <c r="O53">
        <f>(D53-A53)/E53</f>
        <v/>
      </c>
      <c r="P53">
        <f>V53/W53</f>
        <v/>
      </c>
      <c r="Q53">
        <f>A53</f>
        <v/>
      </c>
      <c r="R53">
        <f>D53</f>
        <v/>
      </c>
      <c r="S53">
        <f>A53</f>
        <v/>
      </c>
      <c r="T53">
        <f>2*A53+D53</f>
        <v/>
      </c>
      <c r="U53">
        <f>A53+2*D53</f>
        <v/>
      </c>
      <c r="V53">
        <f>8*(A53*(7117/768)+(D53-A53)*(1/64))</f>
        <v/>
      </c>
      <c r="W53">
        <f>4*E53*(7117/768)</f>
        <v/>
      </c>
      <c r="X53">
        <f>W53-V53</f>
        <v/>
      </c>
      <c r="Y53">
        <f>IF(P53&lt;1,"substrate-light / mass-heavy",IF(P53&gt;1,"substrate-heavy / mass-light","balanced"))</f>
        <v/>
      </c>
      <c r="Z53">
        <f>IF(F53="","",H53-IFERROR(VLOOKUP(A53, Observed_Lookup!A:G, 7, FALSE),""))</f>
        <v/>
      </c>
      <c r="AA53">
        <f>IF(Z53="","",Z53*931.49410242)</f>
        <v/>
      </c>
      <c r="AB53">
        <f>8*(A53+IF(F53="",D53,G53))-17*(A53+IF(F53="",D53,G53))^(2/3)-(3/4)*A53*(A53-1)/(A53+IF(F53="",D53,G53))^(1/3)-22*(IF(F53="",D53,G53)-A53)^2/(A53+IF(F53="",D53,G53))+7*IF(AND(MOD(A53,2)=0,MOD(IF(F53="",D53,G53),2)=0),1,IF(AND(MOD(A53,2)=1,MOD(IF(F53="",D53,G53),2)=1),-1,0))/SQRT((A53+IF(F53="",D53,G53)))-(25/4)*IF(AND((A53/GCD(A53,IF(F53="",D53,G53)))=1,(IF(F53="",D53,G53)/GCD(A53,IF(F53="",D53,G53)))=1),0,1)</f>
        <v/>
      </c>
      <c r="AC53">
        <f>IF(AA53="","",AA53-AB53)</f>
        <v/>
      </c>
      <c r="AD53">
        <f>IF(AND(A53&lt;=83,A53&lt;&gt;43,A53&lt;&gt;61),"clock-stable","clock-boundary")</f>
        <v/>
      </c>
      <c r="AE53" t="inlineStr">
        <is>
          <t>engine_diff_from_observed</t>
        </is>
      </c>
      <c r="AF53" t="inlineStr">
        <is>
          <t>engine anchor Te-117 differs from observed most-abundant Te-130</t>
        </is>
      </c>
    </row>
    <row r="54">
      <c r="A54" t="n">
        <v>53</v>
      </c>
      <c r="B54" t="inlineStr">
        <is>
          <t>I</t>
        </is>
      </c>
      <c r="C54" t="inlineStr">
        <is>
          <t>Iodine</t>
        </is>
      </c>
      <c r="D54">
        <f>A54 + INT(A54 * INT((A54-1)/12) / 12)</f>
        <v/>
      </c>
      <c r="E54">
        <f>A54+D54</f>
        <v/>
      </c>
      <c r="F54">
        <f>VLOOKUP(A54, Observed_Lookup!A:G, 4, FALSE)</f>
        <v/>
      </c>
      <c r="G54">
        <f>VLOOKUP(A54, Observed_Lookup!A:G, 5, FALSE)</f>
        <v/>
      </c>
      <c r="H54">
        <f>VLOOKUP(A54, Observed_Lookup!A:G, 6, FALSE)</f>
        <v/>
      </c>
      <c r="I54">
        <f>IF(F54="","",D54-G54)</f>
        <v/>
      </c>
      <c r="J54">
        <f>IF(F54="","",E54-H54)</f>
        <v/>
      </c>
      <c r="K54">
        <f>GCD(A54,D54)</f>
        <v/>
      </c>
      <c r="L54">
        <f>A54/K54</f>
        <v/>
      </c>
      <c r="M54">
        <f>D54/K54</f>
        <v/>
      </c>
      <c r="N54">
        <f>"("&amp;L54&amp;","&amp;M54&amp;")"</f>
        <v/>
      </c>
      <c r="O54">
        <f>(D54-A54)/E54</f>
        <v/>
      </c>
      <c r="P54">
        <f>V54/W54</f>
        <v/>
      </c>
      <c r="Q54">
        <f>A54</f>
        <v/>
      </c>
      <c r="R54">
        <f>D54</f>
        <v/>
      </c>
      <c r="S54">
        <f>A54</f>
        <v/>
      </c>
      <c r="T54">
        <f>2*A54+D54</f>
        <v/>
      </c>
      <c r="U54">
        <f>A54+2*D54</f>
        <v/>
      </c>
      <c r="V54">
        <f>8*(A54*(7117/768)+(D54-A54)*(1/64))</f>
        <v/>
      </c>
      <c r="W54">
        <f>4*E54*(7117/768)</f>
        <v/>
      </c>
      <c r="X54">
        <f>W54-V54</f>
        <v/>
      </c>
      <c r="Y54">
        <f>IF(P54&lt;1,"substrate-light / mass-heavy",IF(P54&gt;1,"substrate-heavy / mass-light","balanced"))</f>
        <v/>
      </c>
      <c r="Z54">
        <f>IF(F54="","",H54-IFERROR(VLOOKUP(A54, Observed_Lookup!A:G, 7, FALSE),""))</f>
        <v/>
      </c>
      <c r="AA54">
        <f>IF(Z54="","",Z54*931.49410242)</f>
        <v/>
      </c>
      <c r="AB54">
        <f>8*(A54+IF(F54="",D54,G54))-17*(A54+IF(F54="",D54,G54))^(2/3)-(3/4)*A54*(A54-1)/(A54+IF(F54="",D54,G54))^(1/3)-22*(IF(F54="",D54,G54)-A54)^2/(A54+IF(F54="",D54,G54))+7*IF(AND(MOD(A54,2)=0,MOD(IF(F54="",D54,G54),2)=0),1,IF(AND(MOD(A54,2)=1,MOD(IF(F54="",D54,G54),2)=1),-1,0))/SQRT((A54+IF(F54="",D54,G54)))-(25/4)*IF(AND((A54/GCD(A54,IF(F54="",D54,G54)))=1,(IF(F54="",D54,G54)/GCD(A54,IF(F54="",D54,G54)))=1),0,1)</f>
        <v/>
      </c>
      <c r="AC54">
        <f>IF(AA54="","",AA54-AB54)</f>
        <v/>
      </c>
      <c r="AD54">
        <f>IF(AND(A54&lt;=83,A54&lt;&gt;43,A54&lt;&gt;61),"clock-stable","clock-boundary")</f>
        <v/>
      </c>
      <c r="AE54" t="inlineStr">
        <is>
          <t>engine_diff_from_observed</t>
        </is>
      </c>
      <c r="AF54" t="inlineStr">
        <is>
          <t>engine anchor I-123 differs from observed most-abundant I-127</t>
        </is>
      </c>
    </row>
    <row r="55">
      <c r="A55" t="n">
        <v>54</v>
      </c>
      <c r="B55" t="inlineStr">
        <is>
          <t>Xe</t>
        </is>
      </c>
      <c r="C55" t="inlineStr">
        <is>
          <t>Xenon</t>
        </is>
      </c>
      <c r="D55">
        <f>A55 + INT(A55 * INT((A55-1)/12) / 12)</f>
        <v/>
      </c>
      <c r="E55">
        <f>A55+D55</f>
        <v/>
      </c>
      <c r="F55">
        <f>VLOOKUP(A55, Observed_Lookup!A:G, 4, FALSE)</f>
        <v/>
      </c>
      <c r="G55">
        <f>VLOOKUP(A55, Observed_Lookup!A:G, 5, FALSE)</f>
        <v/>
      </c>
      <c r="H55">
        <f>VLOOKUP(A55, Observed_Lookup!A:G, 6, FALSE)</f>
        <v/>
      </c>
      <c r="I55">
        <f>IF(F55="","",D55-G55)</f>
        <v/>
      </c>
      <c r="J55">
        <f>IF(F55="","",E55-H55)</f>
        <v/>
      </c>
      <c r="K55">
        <f>GCD(A55,D55)</f>
        <v/>
      </c>
      <c r="L55">
        <f>A55/K55</f>
        <v/>
      </c>
      <c r="M55">
        <f>D55/K55</f>
        <v/>
      </c>
      <c r="N55">
        <f>"("&amp;L55&amp;","&amp;M55&amp;")"</f>
        <v/>
      </c>
      <c r="O55">
        <f>(D55-A55)/E55</f>
        <v/>
      </c>
      <c r="P55">
        <f>V55/W55</f>
        <v/>
      </c>
      <c r="Q55">
        <f>A55</f>
        <v/>
      </c>
      <c r="R55">
        <f>D55</f>
        <v/>
      </c>
      <c r="S55">
        <f>A55</f>
        <v/>
      </c>
      <c r="T55">
        <f>2*A55+D55</f>
        <v/>
      </c>
      <c r="U55">
        <f>A55+2*D55</f>
        <v/>
      </c>
      <c r="V55">
        <f>8*(A55*(7117/768)+(D55-A55)*(1/64))</f>
        <v/>
      </c>
      <c r="W55">
        <f>4*E55*(7117/768)</f>
        <v/>
      </c>
      <c r="X55">
        <f>W55-V55</f>
        <v/>
      </c>
      <c r="Y55">
        <f>IF(P55&lt;1,"substrate-light / mass-heavy",IF(P55&gt;1,"substrate-heavy / mass-light","balanced"))</f>
        <v/>
      </c>
      <c r="Z55">
        <f>IF(F55="","",H55-IFERROR(VLOOKUP(A55, Observed_Lookup!A:G, 7, FALSE),""))</f>
        <v/>
      </c>
      <c r="AA55">
        <f>IF(Z55="","",Z55*931.49410242)</f>
        <v/>
      </c>
      <c r="AB55">
        <f>8*(A55+IF(F55="",D55,G55))-17*(A55+IF(F55="",D55,G55))^(2/3)-(3/4)*A55*(A55-1)/(A55+IF(F55="",D55,G55))^(1/3)-22*(IF(F55="",D55,G55)-A55)^2/(A55+IF(F55="",D55,G55))+7*IF(AND(MOD(A55,2)=0,MOD(IF(F55="",D55,G55),2)=0),1,IF(AND(MOD(A55,2)=1,MOD(IF(F55="",D55,G55),2)=1),-1,0))/SQRT((A55+IF(F55="",D55,G55)))-(25/4)*IF(AND((A55/GCD(A55,IF(F55="",D55,G55)))=1,(IF(F55="",D55,G55)/GCD(A55,IF(F55="",D55,G55)))=1),0,1)</f>
        <v/>
      </c>
      <c r="AC55">
        <f>IF(AA55="","",AA55-AB55)</f>
        <v/>
      </c>
      <c r="AD55">
        <f>IF(AND(A55&lt;=83,A55&lt;&gt;43,A55&lt;&gt;61),"clock-stable","clock-boundary")</f>
        <v/>
      </c>
      <c r="AE55" t="inlineStr">
        <is>
          <t>engine_diff_from_observed</t>
        </is>
      </c>
      <c r="AF55" t="inlineStr">
        <is>
          <t>engine anchor Xe-130 differs from observed most-abundant Xe-132</t>
        </is>
      </c>
    </row>
    <row r="56">
      <c r="A56" t="n">
        <v>55</v>
      </c>
      <c r="B56" t="inlineStr">
        <is>
          <t>Cs</t>
        </is>
      </c>
      <c r="C56" t="inlineStr">
        <is>
          <t>Cesium</t>
        </is>
      </c>
      <c r="D56">
        <f>A56 + INT(A56 * INT((A56-1)/12) / 12)</f>
        <v/>
      </c>
      <c r="E56">
        <f>A56+D56</f>
        <v/>
      </c>
      <c r="F56">
        <f>VLOOKUP(A56, Observed_Lookup!A:G, 4, FALSE)</f>
        <v/>
      </c>
      <c r="G56">
        <f>VLOOKUP(A56, Observed_Lookup!A:G, 5, FALSE)</f>
        <v/>
      </c>
      <c r="H56">
        <f>VLOOKUP(A56, Observed_Lookup!A:G, 6, FALSE)</f>
        <v/>
      </c>
      <c r="I56">
        <f>IF(F56="","",D56-G56)</f>
        <v/>
      </c>
      <c r="J56">
        <f>IF(F56="","",E56-H56)</f>
        <v/>
      </c>
      <c r="K56">
        <f>GCD(A56,D56)</f>
        <v/>
      </c>
      <c r="L56">
        <f>A56/K56</f>
        <v/>
      </c>
      <c r="M56">
        <f>D56/K56</f>
        <v/>
      </c>
      <c r="N56">
        <f>"("&amp;L56&amp;","&amp;M56&amp;")"</f>
        <v/>
      </c>
      <c r="O56">
        <f>(D56-A56)/E56</f>
        <v/>
      </c>
      <c r="P56">
        <f>V56/W56</f>
        <v/>
      </c>
      <c r="Q56">
        <f>A56</f>
        <v/>
      </c>
      <c r="R56">
        <f>D56</f>
        <v/>
      </c>
      <c r="S56">
        <f>A56</f>
        <v/>
      </c>
      <c r="T56">
        <f>2*A56+D56</f>
        <v/>
      </c>
      <c r="U56">
        <f>A56+2*D56</f>
        <v/>
      </c>
      <c r="V56">
        <f>8*(A56*(7117/768)+(D56-A56)*(1/64))</f>
        <v/>
      </c>
      <c r="W56">
        <f>4*E56*(7117/768)</f>
        <v/>
      </c>
      <c r="X56">
        <f>W56-V56</f>
        <v/>
      </c>
      <c r="Y56">
        <f>IF(P56&lt;1,"substrate-light / mass-heavy",IF(P56&gt;1,"substrate-heavy / mass-light","balanced"))</f>
        <v/>
      </c>
      <c r="Z56">
        <f>IF(F56="","",H56-IFERROR(VLOOKUP(A56, Observed_Lookup!A:G, 7, FALSE),""))</f>
        <v/>
      </c>
      <c r="AA56">
        <f>IF(Z56="","",Z56*931.49410242)</f>
        <v/>
      </c>
      <c r="AB56">
        <f>8*(A56+IF(F56="",D56,G56))-17*(A56+IF(F56="",D56,G56))^(2/3)-(3/4)*A56*(A56-1)/(A56+IF(F56="",D56,G56))^(1/3)-22*(IF(F56="",D56,G56)-A56)^2/(A56+IF(F56="",D56,G56))+7*IF(AND(MOD(A56,2)=0,MOD(IF(F56="",D56,G56),2)=0),1,IF(AND(MOD(A56,2)=1,MOD(IF(F56="",D56,G56),2)=1),-1,0))/SQRT((A56+IF(F56="",D56,G56)))-(25/4)*IF(AND((A56/GCD(A56,IF(F56="",D56,G56)))=1,(IF(F56="",D56,G56)/GCD(A56,IF(F56="",D56,G56)))=1),0,1)</f>
        <v/>
      </c>
      <c r="AC56">
        <f>IF(AA56="","",AA56-AB56)</f>
        <v/>
      </c>
      <c r="AD56">
        <f>IF(AND(A56&lt;=83,A56&lt;&gt;43,A56&lt;&gt;61),"clock-stable","clock-boundary")</f>
        <v/>
      </c>
      <c r="AE56" t="inlineStr">
        <is>
          <t>engine_diff_from_observed</t>
        </is>
      </c>
      <c r="AF56" t="inlineStr">
        <is>
          <t>engine anchor Cs-137 differs from observed most-abundant Cs-133</t>
        </is>
      </c>
    </row>
    <row r="57">
      <c r="A57" t="n">
        <v>56</v>
      </c>
      <c r="B57" t="inlineStr">
        <is>
          <t>Ba</t>
        </is>
      </c>
      <c r="C57" t="inlineStr">
        <is>
          <t>Barium</t>
        </is>
      </c>
      <c r="D57">
        <f>A57 + INT(A57 * INT((A57-1)/12) / 12)</f>
        <v/>
      </c>
      <c r="E57">
        <f>A57+D57</f>
        <v/>
      </c>
      <c r="F57">
        <f>VLOOKUP(A57, Observed_Lookup!A:G, 4, FALSE)</f>
        <v/>
      </c>
      <c r="G57">
        <f>VLOOKUP(A57, Observed_Lookup!A:G, 5, FALSE)</f>
        <v/>
      </c>
      <c r="H57">
        <f>VLOOKUP(A57, Observed_Lookup!A:G, 6, FALSE)</f>
        <v/>
      </c>
      <c r="I57">
        <f>IF(F57="","",D57-G57)</f>
        <v/>
      </c>
      <c r="J57">
        <f>IF(F57="","",E57-H57)</f>
        <v/>
      </c>
      <c r="K57">
        <f>GCD(A57,D57)</f>
        <v/>
      </c>
      <c r="L57">
        <f>A57/K57</f>
        <v/>
      </c>
      <c r="M57">
        <f>D57/K57</f>
        <v/>
      </c>
      <c r="N57">
        <f>"("&amp;L57&amp;","&amp;M57&amp;")"</f>
        <v/>
      </c>
      <c r="O57">
        <f>(D57-A57)/E57</f>
        <v/>
      </c>
      <c r="P57">
        <f>V57/W57</f>
        <v/>
      </c>
      <c r="Q57">
        <f>A57</f>
        <v/>
      </c>
      <c r="R57">
        <f>D57</f>
        <v/>
      </c>
      <c r="S57">
        <f>A57</f>
        <v/>
      </c>
      <c r="T57">
        <f>2*A57+D57</f>
        <v/>
      </c>
      <c r="U57">
        <f>A57+2*D57</f>
        <v/>
      </c>
      <c r="V57">
        <f>8*(A57*(7117/768)+(D57-A57)*(1/64))</f>
        <v/>
      </c>
      <c r="W57">
        <f>4*E57*(7117/768)</f>
        <v/>
      </c>
      <c r="X57">
        <f>W57-V57</f>
        <v/>
      </c>
      <c r="Y57">
        <f>IF(P57&lt;1,"substrate-light / mass-heavy",IF(P57&gt;1,"substrate-heavy / mass-light","balanced"))</f>
        <v/>
      </c>
      <c r="Z57">
        <f>IF(F57="","",H57-IFERROR(VLOOKUP(A57, Observed_Lookup!A:G, 7, FALSE),""))</f>
        <v/>
      </c>
      <c r="AA57">
        <f>IF(Z57="","",Z57*931.49410242)</f>
        <v/>
      </c>
      <c r="AB57">
        <f>8*(A57+IF(F57="",D57,G57))-17*(A57+IF(F57="",D57,G57))^(2/3)-(3/4)*A57*(A57-1)/(A57+IF(F57="",D57,G57))^(1/3)-22*(IF(F57="",D57,G57)-A57)^2/(A57+IF(F57="",D57,G57))+7*IF(AND(MOD(A57,2)=0,MOD(IF(F57="",D57,G57),2)=0),1,IF(AND(MOD(A57,2)=1,MOD(IF(F57="",D57,G57),2)=1),-1,0))/SQRT((A57+IF(F57="",D57,G57)))-(25/4)*IF(AND((A57/GCD(A57,IF(F57="",D57,G57)))=1,(IF(F57="",D57,G57)/GCD(A57,IF(F57="",D57,G57)))=1),0,1)</f>
        <v/>
      </c>
      <c r="AC57">
        <f>IF(AA57="","",AA57-AB57)</f>
        <v/>
      </c>
      <c r="AD57">
        <f>IF(AND(A57&lt;=83,A57&lt;&gt;43,A57&lt;&gt;61),"clock-stable","clock-boundary")</f>
        <v/>
      </c>
      <c r="AE57" t="inlineStr">
        <is>
          <t>engine_diff_from_observed</t>
        </is>
      </c>
      <c r="AF57" t="inlineStr">
        <is>
          <t>engine anchor Ba-144 differs from observed most-abundant Ba-138</t>
        </is>
      </c>
    </row>
    <row r="58">
      <c r="A58" t="n">
        <v>57</v>
      </c>
      <c r="B58" t="inlineStr">
        <is>
          <t>La</t>
        </is>
      </c>
      <c r="C58" t="inlineStr">
        <is>
          <t>Lanthanum</t>
        </is>
      </c>
      <c r="D58">
        <f>A58 + INT(A58 * INT((A58-1)/12) / 12)</f>
        <v/>
      </c>
      <c r="E58">
        <f>A58+D58</f>
        <v/>
      </c>
      <c r="F58">
        <f>VLOOKUP(A58, Observed_Lookup!A:G, 4, FALSE)</f>
        <v/>
      </c>
      <c r="G58">
        <f>VLOOKUP(A58, Observed_Lookup!A:G, 5, FALSE)</f>
        <v/>
      </c>
      <c r="H58">
        <f>VLOOKUP(A58, Observed_Lookup!A:G, 6, FALSE)</f>
        <v/>
      </c>
      <c r="I58">
        <f>IF(F58="","",D58-G58)</f>
        <v/>
      </c>
      <c r="J58">
        <f>IF(F58="","",E58-H58)</f>
        <v/>
      </c>
      <c r="K58">
        <f>GCD(A58,D58)</f>
        <v/>
      </c>
      <c r="L58">
        <f>A58/K58</f>
        <v/>
      </c>
      <c r="M58">
        <f>D58/K58</f>
        <v/>
      </c>
      <c r="N58">
        <f>"("&amp;L58&amp;","&amp;M58&amp;")"</f>
        <v/>
      </c>
      <c r="O58">
        <f>(D58-A58)/E58</f>
        <v/>
      </c>
      <c r="P58">
        <f>V58/W58</f>
        <v/>
      </c>
      <c r="Q58">
        <f>A58</f>
        <v/>
      </c>
      <c r="R58">
        <f>D58</f>
        <v/>
      </c>
      <c r="S58">
        <f>A58</f>
        <v/>
      </c>
      <c r="T58">
        <f>2*A58+D58</f>
        <v/>
      </c>
      <c r="U58">
        <f>A58+2*D58</f>
        <v/>
      </c>
      <c r="V58">
        <f>8*(A58*(7117/768)+(D58-A58)*(1/64))</f>
        <v/>
      </c>
      <c r="W58">
        <f>4*E58*(7117/768)</f>
        <v/>
      </c>
      <c r="X58">
        <f>W58-V58</f>
        <v/>
      </c>
      <c r="Y58">
        <f>IF(P58&lt;1,"substrate-light / mass-heavy",IF(P58&gt;1,"substrate-heavy / mass-light","balanced"))</f>
        <v/>
      </c>
      <c r="Z58">
        <f>IF(F58="","",H58-IFERROR(VLOOKUP(A58, Observed_Lookup!A:G, 7, FALSE),""))</f>
        <v/>
      </c>
      <c r="AA58">
        <f>IF(Z58="","",Z58*931.49410242)</f>
        <v/>
      </c>
      <c r="AB58">
        <f>8*(A58+IF(F58="",D58,G58))-17*(A58+IF(F58="",D58,G58))^(2/3)-(3/4)*A58*(A58-1)/(A58+IF(F58="",D58,G58))^(1/3)-22*(IF(F58="",D58,G58)-A58)^2/(A58+IF(F58="",D58,G58))+7*IF(AND(MOD(A58,2)=0,MOD(IF(F58="",D58,G58),2)=0),1,IF(AND(MOD(A58,2)=1,MOD(IF(F58="",D58,G58),2)=1),-1,0))/SQRT((A58+IF(F58="",D58,G58)))-(25/4)*IF(AND((A58/GCD(A58,IF(F58="",D58,G58)))=1,(IF(F58="",D58,G58)/GCD(A58,IF(F58="",D58,G58)))=1),0,1)</f>
        <v/>
      </c>
      <c r="AC58">
        <f>IF(AA58="","",AA58-AB58)</f>
        <v/>
      </c>
      <c r="AD58">
        <f>IF(AND(A58&lt;=83,A58&lt;&gt;43,A58&lt;&gt;61),"clock-stable","clock-boundary")</f>
        <v/>
      </c>
      <c r="AE58" t="inlineStr">
        <is>
          <t>engine_diff_from_observed</t>
        </is>
      </c>
      <c r="AF58" t="inlineStr">
        <is>
          <t>engine anchor La-152 differs from observed most-abundant La-139</t>
        </is>
      </c>
    </row>
    <row r="59">
      <c r="A59" t="n">
        <v>58</v>
      </c>
      <c r="B59" t="inlineStr">
        <is>
          <t>Ce</t>
        </is>
      </c>
      <c r="C59" t="inlineStr">
        <is>
          <t>Cerium</t>
        </is>
      </c>
      <c r="D59">
        <f>A59 + INT(A59 * INT((A59-1)/12) / 12)</f>
        <v/>
      </c>
      <c r="E59">
        <f>A59+D59</f>
        <v/>
      </c>
      <c r="F59">
        <f>VLOOKUP(A59, Observed_Lookup!A:G, 4, FALSE)</f>
        <v/>
      </c>
      <c r="G59">
        <f>VLOOKUP(A59, Observed_Lookup!A:G, 5, FALSE)</f>
        <v/>
      </c>
      <c r="H59">
        <f>VLOOKUP(A59, Observed_Lookup!A:G, 6, FALSE)</f>
        <v/>
      </c>
      <c r="I59">
        <f>IF(F59="","",D59-G59)</f>
        <v/>
      </c>
      <c r="J59">
        <f>IF(F59="","",E59-H59)</f>
        <v/>
      </c>
      <c r="K59">
        <f>GCD(A59,D59)</f>
        <v/>
      </c>
      <c r="L59">
        <f>A59/K59</f>
        <v/>
      </c>
      <c r="M59">
        <f>D59/K59</f>
        <v/>
      </c>
      <c r="N59">
        <f>"("&amp;L59&amp;","&amp;M59&amp;")"</f>
        <v/>
      </c>
      <c r="O59">
        <f>(D59-A59)/E59</f>
        <v/>
      </c>
      <c r="P59">
        <f>V59/W59</f>
        <v/>
      </c>
      <c r="Q59">
        <f>A59</f>
        <v/>
      </c>
      <c r="R59">
        <f>D59</f>
        <v/>
      </c>
      <c r="S59">
        <f>A59</f>
        <v/>
      </c>
      <c r="T59">
        <f>2*A59+D59</f>
        <v/>
      </c>
      <c r="U59">
        <f>A59+2*D59</f>
        <v/>
      </c>
      <c r="V59">
        <f>8*(A59*(7117/768)+(D59-A59)*(1/64))</f>
        <v/>
      </c>
      <c r="W59">
        <f>4*E59*(7117/768)</f>
        <v/>
      </c>
      <c r="X59">
        <f>W59-V59</f>
        <v/>
      </c>
      <c r="Y59">
        <f>IF(P59&lt;1,"substrate-light / mass-heavy",IF(P59&gt;1,"substrate-heavy / mass-light","balanced"))</f>
        <v/>
      </c>
      <c r="Z59">
        <f>IF(F59="","",H59-IFERROR(VLOOKUP(A59, Observed_Lookup!A:G, 7, FALSE),""))</f>
        <v/>
      </c>
      <c r="AA59">
        <f>IF(Z59="","",Z59*931.49410242)</f>
        <v/>
      </c>
      <c r="AB59">
        <f>8*(A59+IF(F59="",D59,G59))-17*(A59+IF(F59="",D59,G59))^(2/3)-(3/4)*A59*(A59-1)/(A59+IF(F59="",D59,G59))^(1/3)-22*(IF(F59="",D59,G59)-A59)^2/(A59+IF(F59="",D59,G59))+7*IF(AND(MOD(A59,2)=0,MOD(IF(F59="",D59,G59),2)=0),1,IF(AND(MOD(A59,2)=1,MOD(IF(F59="",D59,G59),2)=1),-1,0))/SQRT((A59+IF(F59="",D59,G59)))-(25/4)*IF(AND((A59/GCD(A59,IF(F59="",D59,G59)))=1,(IF(F59="",D59,G59)/GCD(A59,IF(F59="",D59,G59)))=1),0,1)</f>
        <v/>
      </c>
      <c r="AC59">
        <f>IF(AA59="","",AA59-AB59)</f>
        <v/>
      </c>
      <c r="AD59">
        <f>IF(AND(A59&lt;=83,A59&lt;&gt;43,A59&lt;&gt;61),"clock-stable","clock-boundary")</f>
        <v/>
      </c>
      <c r="AE59" t="inlineStr">
        <is>
          <t>engine_diff_from_observed</t>
        </is>
      </c>
      <c r="AF59" t="inlineStr">
        <is>
          <t>engine anchor Ce-159 differs from observed most-abundant Ce-140</t>
        </is>
      </c>
    </row>
    <row r="60">
      <c r="A60" t="n">
        <v>59</v>
      </c>
      <c r="B60" t="inlineStr">
        <is>
          <t>Pr</t>
        </is>
      </c>
      <c r="C60" t="inlineStr">
        <is>
          <t>Praseodymium</t>
        </is>
      </c>
      <c r="D60">
        <f>A60 + INT(A60 * INT((A60-1)/12) / 12)</f>
        <v/>
      </c>
      <c r="E60">
        <f>A60+D60</f>
        <v/>
      </c>
      <c r="F60">
        <f>VLOOKUP(A60, Observed_Lookup!A:G, 4, FALSE)</f>
        <v/>
      </c>
      <c r="G60">
        <f>VLOOKUP(A60, Observed_Lookup!A:G, 5, FALSE)</f>
        <v/>
      </c>
      <c r="H60">
        <f>VLOOKUP(A60, Observed_Lookup!A:G, 6, FALSE)</f>
        <v/>
      </c>
      <c r="I60">
        <f>IF(F60="","",D60-G60)</f>
        <v/>
      </c>
      <c r="J60">
        <f>IF(F60="","",E60-H60)</f>
        <v/>
      </c>
      <c r="K60">
        <f>GCD(A60,D60)</f>
        <v/>
      </c>
      <c r="L60">
        <f>A60/K60</f>
        <v/>
      </c>
      <c r="M60">
        <f>D60/K60</f>
        <v/>
      </c>
      <c r="N60">
        <f>"("&amp;L60&amp;","&amp;M60&amp;")"</f>
        <v/>
      </c>
      <c r="O60">
        <f>(D60-A60)/E60</f>
        <v/>
      </c>
      <c r="P60">
        <f>V60/W60</f>
        <v/>
      </c>
      <c r="Q60">
        <f>A60</f>
        <v/>
      </c>
      <c r="R60">
        <f>D60</f>
        <v/>
      </c>
      <c r="S60">
        <f>A60</f>
        <v/>
      </c>
      <c r="T60">
        <f>2*A60+D60</f>
        <v/>
      </c>
      <c r="U60">
        <f>A60+2*D60</f>
        <v/>
      </c>
      <c r="V60">
        <f>8*(A60*(7117/768)+(D60-A60)*(1/64))</f>
        <v/>
      </c>
      <c r="W60">
        <f>4*E60*(7117/768)</f>
        <v/>
      </c>
      <c r="X60">
        <f>W60-V60</f>
        <v/>
      </c>
      <c r="Y60">
        <f>IF(P60&lt;1,"substrate-light / mass-heavy",IF(P60&gt;1,"substrate-heavy / mass-light","balanced"))</f>
        <v/>
      </c>
      <c r="Z60">
        <f>IF(F60="","",H60-IFERROR(VLOOKUP(A60, Observed_Lookup!A:G, 7, FALSE),""))</f>
        <v/>
      </c>
      <c r="AA60">
        <f>IF(Z60="","",Z60*931.49410242)</f>
        <v/>
      </c>
      <c r="AB60">
        <f>8*(A60+IF(F60="",D60,G60))-17*(A60+IF(F60="",D60,G60))^(2/3)-(3/4)*A60*(A60-1)/(A60+IF(F60="",D60,G60))^(1/3)-22*(IF(F60="",D60,G60)-A60)^2/(A60+IF(F60="",D60,G60))+7*IF(AND(MOD(A60,2)=0,MOD(IF(F60="",D60,G60),2)=0),1,IF(AND(MOD(A60,2)=1,MOD(IF(F60="",D60,G60),2)=1),-1,0))/SQRT((A60+IF(F60="",D60,G60)))-(25/4)*IF(AND((A60/GCD(A60,IF(F60="",D60,G60)))=1,(IF(F60="",D60,G60)/GCD(A60,IF(F60="",D60,G60)))=1),0,1)</f>
        <v/>
      </c>
      <c r="AC60">
        <f>IF(AA60="","",AA60-AB60)</f>
        <v/>
      </c>
      <c r="AD60">
        <f>IF(AND(A60&lt;=83,A60&lt;&gt;43,A60&lt;&gt;61),"clock-stable","clock-boundary")</f>
        <v/>
      </c>
      <c r="AE60" t="inlineStr">
        <is>
          <t>engine_diff_from_observed</t>
        </is>
      </c>
      <c r="AF60" t="inlineStr">
        <is>
          <t>engine anchor Pr-167 differs from observed most-abundant Pr-141</t>
        </is>
      </c>
    </row>
    <row r="61">
      <c r="A61" t="n">
        <v>60</v>
      </c>
      <c r="B61" t="inlineStr">
        <is>
          <t>Nd</t>
        </is>
      </c>
      <c r="C61" t="inlineStr">
        <is>
          <t>Neodymium</t>
        </is>
      </c>
      <c r="D61">
        <f>A61 + INT(A61 * INT((A61-1)/12) / 12)</f>
        <v/>
      </c>
      <c r="E61">
        <f>A61+D61</f>
        <v/>
      </c>
      <c r="F61">
        <f>VLOOKUP(A61, Observed_Lookup!A:G, 4, FALSE)</f>
        <v/>
      </c>
      <c r="G61">
        <f>VLOOKUP(A61, Observed_Lookup!A:G, 5, FALSE)</f>
        <v/>
      </c>
      <c r="H61">
        <f>VLOOKUP(A61, Observed_Lookup!A:G, 6, FALSE)</f>
        <v/>
      </c>
      <c r="I61">
        <f>IF(F61="","",D61-G61)</f>
        <v/>
      </c>
      <c r="J61">
        <f>IF(F61="","",E61-H61)</f>
        <v/>
      </c>
      <c r="K61">
        <f>GCD(A61,D61)</f>
        <v/>
      </c>
      <c r="L61">
        <f>A61/K61</f>
        <v/>
      </c>
      <c r="M61">
        <f>D61/K61</f>
        <v/>
      </c>
      <c r="N61">
        <f>"("&amp;L61&amp;","&amp;M61&amp;")"</f>
        <v/>
      </c>
      <c r="O61">
        <f>(D61-A61)/E61</f>
        <v/>
      </c>
      <c r="P61">
        <f>V61/W61</f>
        <v/>
      </c>
      <c r="Q61">
        <f>A61</f>
        <v/>
      </c>
      <c r="R61">
        <f>D61</f>
        <v/>
      </c>
      <c r="S61">
        <f>A61</f>
        <v/>
      </c>
      <c r="T61">
        <f>2*A61+D61</f>
        <v/>
      </c>
      <c r="U61">
        <f>A61+2*D61</f>
        <v/>
      </c>
      <c r="V61">
        <f>8*(A61*(7117/768)+(D61-A61)*(1/64))</f>
        <v/>
      </c>
      <c r="W61">
        <f>4*E61*(7117/768)</f>
        <v/>
      </c>
      <c r="X61">
        <f>W61-V61</f>
        <v/>
      </c>
      <c r="Y61">
        <f>IF(P61&lt;1,"substrate-light / mass-heavy",IF(P61&gt;1,"substrate-heavy / mass-light","balanced"))</f>
        <v/>
      </c>
      <c r="Z61">
        <f>IF(F61="","",H61-IFERROR(VLOOKUP(A61, Observed_Lookup!A:G, 7, FALSE),""))</f>
        <v/>
      </c>
      <c r="AA61">
        <f>IF(Z61="","",Z61*931.49410242)</f>
        <v/>
      </c>
      <c r="AB61">
        <f>8*(A61+IF(F61="",D61,G61))-17*(A61+IF(F61="",D61,G61))^(2/3)-(3/4)*A61*(A61-1)/(A61+IF(F61="",D61,G61))^(1/3)-22*(IF(F61="",D61,G61)-A61)^2/(A61+IF(F61="",D61,G61))+7*IF(AND(MOD(A61,2)=0,MOD(IF(F61="",D61,G61),2)=0),1,IF(AND(MOD(A61,2)=1,MOD(IF(F61="",D61,G61),2)=1),-1,0))/SQRT((A61+IF(F61="",D61,G61)))-(25/4)*IF(AND((A61/GCD(A61,IF(F61="",D61,G61)))=1,(IF(F61="",D61,G61)/GCD(A61,IF(F61="",D61,G61)))=1),0,1)</f>
        <v/>
      </c>
      <c r="AC61">
        <f>IF(AA61="","",AA61-AB61)</f>
        <v/>
      </c>
      <c r="AD61">
        <f>IF(AND(A61&lt;=83,A61&lt;&gt;43,A61&lt;&gt;61),"clock-stable","clock-boundary")</f>
        <v/>
      </c>
      <c r="AE61" t="inlineStr">
        <is>
          <t>engine_diff_from_observed</t>
        </is>
      </c>
      <c r="AF61" t="inlineStr">
        <is>
          <t>engine anchor Nd-175 differs from observed most-abundant Nd-142</t>
        </is>
      </c>
    </row>
    <row r="62">
      <c r="A62" t="n">
        <v>61</v>
      </c>
      <c r="B62" t="inlineStr">
        <is>
          <t>Pm</t>
        </is>
      </c>
      <c r="C62" t="inlineStr">
        <is>
          <t>Promethium</t>
        </is>
      </c>
      <c r="D62">
        <f>A62 + INT(A62 * INT((A62-1)/12) / 12)</f>
        <v/>
      </c>
      <c r="E62">
        <f>A62+D62</f>
        <v/>
      </c>
      <c r="F62">
        <f>VLOOKUP(A62, Observed_Lookup!A:G, 4, FALSE)</f>
        <v/>
      </c>
      <c r="G62">
        <f>VLOOKUP(A62, Observed_Lookup!A:G, 5, FALSE)</f>
        <v/>
      </c>
      <c r="H62">
        <f>VLOOKUP(A62, Observed_Lookup!A:G, 6, FALSE)</f>
        <v/>
      </c>
      <c r="I62">
        <f>IF(F62="","",D62-G62)</f>
        <v/>
      </c>
      <c r="J62">
        <f>IF(F62="","",E62-H62)</f>
        <v/>
      </c>
      <c r="K62">
        <f>GCD(A62,D62)</f>
        <v/>
      </c>
      <c r="L62">
        <f>A62/K62</f>
        <v/>
      </c>
      <c r="M62">
        <f>D62/K62</f>
        <v/>
      </c>
      <c r="N62">
        <f>"("&amp;L62&amp;","&amp;M62&amp;")"</f>
        <v/>
      </c>
      <c r="O62">
        <f>(D62-A62)/E62</f>
        <v/>
      </c>
      <c r="P62">
        <f>V62/W62</f>
        <v/>
      </c>
      <c r="Q62">
        <f>A62</f>
        <v/>
      </c>
      <c r="R62">
        <f>D62</f>
        <v/>
      </c>
      <c r="S62">
        <f>A62</f>
        <v/>
      </c>
      <c r="T62">
        <f>2*A62+D62</f>
        <v/>
      </c>
      <c r="U62">
        <f>A62+2*D62</f>
        <v/>
      </c>
      <c r="V62">
        <f>8*(A62*(7117/768)+(D62-A62)*(1/64))</f>
        <v/>
      </c>
      <c r="W62">
        <f>4*E62*(7117/768)</f>
        <v/>
      </c>
      <c r="X62">
        <f>W62-V62</f>
        <v/>
      </c>
      <c r="Y62">
        <f>IF(P62&lt;1,"substrate-light / mass-heavy",IF(P62&gt;1,"substrate-heavy / mass-light","balanced"))</f>
        <v/>
      </c>
      <c r="Z62">
        <f>IF(F62="","",H62-IFERROR(VLOOKUP(A62, Observed_Lookup!A:G, 7, FALSE),""))</f>
        <v/>
      </c>
      <c r="AA62">
        <f>IF(Z62="","",Z62*931.49410242)</f>
        <v/>
      </c>
      <c r="AB62">
        <f>8*(A62+IF(F62="",D62,G62))-17*(A62+IF(F62="",D62,G62))^(2/3)-(3/4)*A62*(A62-1)/(A62+IF(F62="",D62,G62))^(1/3)-22*(IF(F62="",D62,G62)-A62)^2/(A62+IF(F62="",D62,G62))+7*IF(AND(MOD(A62,2)=0,MOD(IF(F62="",D62,G62),2)=0),1,IF(AND(MOD(A62,2)=1,MOD(IF(F62="",D62,G62),2)=1),-1,0))/SQRT((A62+IF(F62="",D62,G62)))-(25/4)*IF(AND((A62/GCD(A62,IF(F62="",D62,G62)))=1,(IF(F62="",D62,G62)/GCD(A62,IF(F62="",D62,G62)))=1),0,1)</f>
        <v/>
      </c>
      <c r="AC62">
        <f>IF(AA62="","",AA62-AB62)</f>
        <v/>
      </c>
      <c r="AD62">
        <f>IF(AND(A62&lt;=83,A62&lt;&gt;43,A62&lt;&gt;61),"clock-stable","clock-boundary")</f>
        <v/>
      </c>
      <c r="AE62" t="inlineStr">
        <is>
          <t>engine_diff_from_observed</t>
        </is>
      </c>
      <c r="AF62" t="inlineStr">
        <is>
          <t>engine anchor Pm-122 differs from observed most-abundant Pm-145</t>
        </is>
      </c>
    </row>
    <row r="63">
      <c r="A63" t="n">
        <v>62</v>
      </c>
      <c r="B63" t="inlineStr">
        <is>
          <t>Sm</t>
        </is>
      </c>
      <c r="C63" t="inlineStr">
        <is>
          <t>Samarium</t>
        </is>
      </c>
      <c r="D63">
        <f>A63 + INT(A63 * INT((A63-1)/12) / 12)</f>
        <v/>
      </c>
      <c r="E63">
        <f>A63+D63</f>
        <v/>
      </c>
      <c r="F63">
        <f>VLOOKUP(A63, Observed_Lookup!A:G, 4, FALSE)</f>
        <v/>
      </c>
      <c r="G63">
        <f>VLOOKUP(A63, Observed_Lookup!A:G, 5, FALSE)</f>
        <v/>
      </c>
      <c r="H63">
        <f>VLOOKUP(A63, Observed_Lookup!A:G, 6, FALSE)</f>
        <v/>
      </c>
      <c r="I63">
        <f>IF(F63="","",D63-G63)</f>
        <v/>
      </c>
      <c r="J63">
        <f>IF(F63="","",E63-H63)</f>
        <v/>
      </c>
      <c r="K63">
        <f>GCD(A63,D63)</f>
        <v/>
      </c>
      <c r="L63">
        <f>A63/K63</f>
        <v/>
      </c>
      <c r="M63">
        <f>D63/K63</f>
        <v/>
      </c>
      <c r="N63">
        <f>"("&amp;L63&amp;","&amp;M63&amp;")"</f>
        <v/>
      </c>
      <c r="O63">
        <f>(D63-A63)/E63</f>
        <v/>
      </c>
      <c r="P63">
        <f>V63/W63</f>
        <v/>
      </c>
      <c r="Q63">
        <f>A63</f>
        <v/>
      </c>
      <c r="R63">
        <f>D63</f>
        <v/>
      </c>
      <c r="S63">
        <f>A63</f>
        <v/>
      </c>
      <c r="T63">
        <f>2*A63+D63</f>
        <v/>
      </c>
      <c r="U63">
        <f>A63+2*D63</f>
        <v/>
      </c>
      <c r="V63">
        <f>8*(A63*(7117/768)+(D63-A63)*(1/64))</f>
        <v/>
      </c>
      <c r="W63">
        <f>4*E63*(7117/768)</f>
        <v/>
      </c>
      <c r="X63">
        <f>W63-V63</f>
        <v/>
      </c>
      <c r="Y63">
        <f>IF(P63&lt;1,"substrate-light / mass-heavy",IF(P63&gt;1,"substrate-heavy / mass-light","balanced"))</f>
        <v/>
      </c>
      <c r="Z63">
        <f>IF(F63="","",H63-IFERROR(VLOOKUP(A63, Observed_Lookup!A:G, 7, FALSE),""))</f>
        <v/>
      </c>
      <c r="AA63">
        <f>IF(Z63="","",Z63*931.49410242)</f>
        <v/>
      </c>
      <c r="AB63">
        <f>8*(A63+IF(F63="",D63,G63))-17*(A63+IF(F63="",D63,G63))^(2/3)-(3/4)*A63*(A63-1)/(A63+IF(F63="",D63,G63))^(1/3)-22*(IF(F63="",D63,G63)-A63)^2/(A63+IF(F63="",D63,G63))+7*IF(AND(MOD(A63,2)=0,MOD(IF(F63="",D63,G63),2)=0),1,IF(AND(MOD(A63,2)=1,MOD(IF(F63="",D63,G63),2)=1),-1,0))/SQRT((A63+IF(F63="",D63,G63)))-(25/4)*IF(AND((A63/GCD(A63,IF(F63="",D63,G63)))=1,(IF(F63="",D63,G63)/GCD(A63,IF(F63="",D63,G63)))=1),0,1)</f>
        <v/>
      </c>
      <c r="AC63">
        <f>IF(AA63="","",AA63-AB63)</f>
        <v/>
      </c>
      <c r="AD63">
        <f>IF(AND(A63&lt;=83,A63&lt;&gt;43,A63&lt;&gt;61),"clock-stable","clock-boundary")</f>
        <v/>
      </c>
      <c r="AE63" t="inlineStr">
        <is>
          <t>engine_diff_from_observed</t>
        </is>
      </c>
      <c r="AF63" t="inlineStr">
        <is>
          <t>engine anchor Sm-129 differs from observed most-abundant Sm-152</t>
        </is>
      </c>
    </row>
    <row r="64">
      <c r="A64" t="n">
        <v>63</v>
      </c>
      <c r="B64" t="inlineStr">
        <is>
          <t>Eu</t>
        </is>
      </c>
      <c r="C64" t="inlineStr">
        <is>
          <t>Europium</t>
        </is>
      </c>
      <c r="D64">
        <f>A64 + INT(A64 * INT((A64-1)/12) / 12)</f>
        <v/>
      </c>
      <c r="E64">
        <f>A64+D64</f>
        <v/>
      </c>
      <c r="F64">
        <f>VLOOKUP(A64, Observed_Lookup!A:G, 4, FALSE)</f>
        <v/>
      </c>
      <c r="G64">
        <f>VLOOKUP(A64, Observed_Lookup!A:G, 5, FALSE)</f>
        <v/>
      </c>
      <c r="H64">
        <f>VLOOKUP(A64, Observed_Lookup!A:G, 6, FALSE)</f>
        <v/>
      </c>
      <c r="I64">
        <f>IF(F64="","",D64-G64)</f>
        <v/>
      </c>
      <c r="J64">
        <f>IF(F64="","",E64-H64)</f>
        <v/>
      </c>
      <c r="K64">
        <f>GCD(A64,D64)</f>
        <v/>
      </c>
      <c r="L64">
        <f>A64/K64</f>
        <v/>
      </c>
      <c r="M64">
        <f>D64/K64</f>
        <v/>
      </c>
      <c r="N64">
        <f>"("&amp;L64&amp;","&amp;M64&amp;")"</f>
        <v/>
      </c>
      <c r="O64">
        <f>(D64-A64)/E64</f>
        <v/>
      </c>
      <c r="P64">
        <f>V64/W64</f>
        <v/>
      </c>
      <c r="Q64">
        <f>A64</f>
        <v/>
      </c>
      <c r="R64">
        <f>D64</f>
        <v/>
      </c>
      <c r="S64">
        <f>A64</f>
        <v/>
      </c>
      <c r="T64">
        <f>2*A64+D64</f>
        <v/>
      </c>
      <c r="U64">
        <f>A64+2*D64</f>
        <v/>
      </c>
      <c r="V64">
        <f>8*(A64*(7117/768)+(D64-A64)*(1/64))</f>
        <v/>
      </c>
      <c r="W64">
        <f>4*E64*(7117/768)</f>
        <v/>
      </c>
      <c r="X64">
        <f>W64-V64</f>
        <v/>
      </c>
      <c r="Y64">
        <f>IF(P64&lt;1,"substrate-light / mass-heavy",IF(P64&gt;1,"substrate-heavy / mass-light","balanced"))</f>
        <v/>
      </c>
      <c r="Z64">
        <f>IF(F64="","",H64-IFERROR(VLOOKUP(A64, Observed_Lookup!A:G, 7, FALSE),""))</f>
        <v/>
      </c>
      <c r="AA64">
        <f>IF(Z64="","",Z64*931.49410242)</f>
        <v/>
      </c>
      <c r="AB64">
        <f>8*(A64+IF(F64="",D64,G64))-17*(A64+IF(F64="",D64,G64))^(2/3)-(3/4)*A64*(A64-1)/(A64+IF(F64="",D64,G64))^(1/3)-22*(IF(F64="",D64,G64)-A64)^2/(A64+IF(F64="",D64,G64))+7*IF(AND(MOD(A64,2)=0,MOD(IF(F64="",D64,G64),2)=0),1,IF(AND(MOD(A64,2)=1,MOD(IF(F64="",D64,G64),2)=1),-1,0))/SQRT((A64+IF(F64="",D64,G64)))-(25/4)*IF(AND((A64/GCD(A64,IF(F64="",D64,G64)))=1,(IF(F64="",D64,G64)/GCD(A64,IF(F64="",D64,G64)))=1),0,1)</f>
        <v/>
      </c>
      <c r="AC64">
        <f>IF(AA64="","",AA64-AB64)</f>
        <v/>
      </c>
      <c r="AD64">
        <f>IF(AND(A64&lt;=83,A64&lt;&gt;43,A64&lt;&gt;61),"clock-stable","clock-boundary")</f>
        <v/>
      </c>
      <c r="AE64" t="inlineStr">
        <is>
          <t>engine_diff_from_observed</t>
        </is>
      </c>
      <c r="AF64" t="inlineStr">
        <is>
          <t>engine anchor Eu-136 differs from observed most-abundant Eu-153</t>
        </is>
      </c>
    </row>
    <row r="65">
      <c r="A65" t="n">
        <v>64</v>
      </c>
      <c r="B65" t="inlineStr">
        <is>
          <t>Gd</t>
        </is>
      </c>
      <c r="C65" t="inlineStr">
        <is>
          <t>Gadolinium</t>
        </is>
      </c>
      <c r="D65">
        <f>A65 + INT(A65 * INT((A65-1)/12) / 12)</f>
        <v/>
      </c>
      <c r="E65">
        <f>A65+D65</f>
        <v/>
      </c>
      <c r="F65">
        <f>VLOOKUP(A65, Observed_Lookup!A:G, 4, FALSE)</f>
        <v/>
      </c>
      <c r="G65">
        <f>VLOOKUP(A65, Observed_Lookup!A:G, 5, FALSE)</f>
        <v/>
      </c>
      <c r="H65">
        <f>VLOOKUP(A65, Observed_Lookup!A:G, 6, FALSE)</f>
        <v/>
      </c>
      <c r="I65">
        <f>IF(F65="","",D65-G65)</f>
        <v/>
      </c>
      <c r="J65">
        <f>IF(F65="","",E65-H65)</f>
        <v/>
      </c>
      <c r="K65">
        <f>GCD(A65,D65)</f>
        <v/>
      </c>
      <c r="L65">
        <f>A65/K65</f>
        <v/>
      </c>
      <c r="M65">
        <f>D65/K65</f>
        <v/>
      </c>
      <c r="N65">
        <f>"("&amp;L65&amp;","&amp;M65&amp;")"</f>
        <v/>
      </c>
      <c r="O65">
        <f>(D65-A65)/E65</f>
        <v/>
      </c>
      <c r="P65">
        <f>V65/W65</f>
        <v/>
      </c>
      <c r="Q65">
        <f>A65</f>
        <v/>
      </c>
      <c r="R65">
        <f>D65</f>
        <v/>
      </c>
      <c r="S65">
        <f>A65</f>
        <v/>
      </c>
      <c r="T65">
        <f>2*A65+D65</f>
        <v/>
      </c>
      <c r="U65">
        <f>A65+2*D65</f>
        <v/>
      </c>
      <c r="V65">
        <f>8*(A65*(7117/768)+(D65-A65)*(1/64))</f>
        <v/>
      </c>
      <c r="W65">
        <f>4*E65*(7117/768)</f>
        <v/>
      </c>
      <c r="X65">
        <f>W65-V65</f>
        <v/>
      </c>
      <c r="Y65">
        <f>IF(P65&lt;1,"substrate-light / mass-heavy",IF(P65&gt;1,"substrate-heavy / mass-light","balanced"))</f>
        <v/>
      </c>
      <c r="Z65">
        <f>IF(F65="","",H65-IFERROR(VLOOKUP(A65, Observed_Lookup!A:G, 7, FALSE),""))</f>
        <v/>
      </c>
      <c r="AA65">
        <f>IF(Z65="","",Z65*931.49410242)</f>
        <v/>
      </c>
      <c r="AB65">
        <f>8*(A65+IF(F65="",D65,G65))-17*(A65+IF(F65="",D65,G65))^(2/3)-(3/4)*A65*(A65-1)/(A65+IF(F65="",D65,G65))^(1/3)-22*(IF(F65="",D65,G65)-A65)^2/(A65+IF(F65="",D65,G65))+7*IF(AND(MOD(A65,2)=0,MOD(IF(F65="",D65,G65),2)=0),1,IF(AND(MOD(A65,2)=1,MOD(IF(F65="",D65,G65),2)=1),-1,0))/SQRT((A65+IF(F65="",D65,G65)))-(25/4)*IF(AND((A65/GCD(A65,IF(F65="",D65,G65)))=1,(IF(F65="",D65,G65)/GCD(A65,IF(F65="",D65,G65)))=1),0,1)</f>
        <v/>
      </c>
      <c r="AC65">
        <f>IF(AA65="","",AA65-AB65)</f>
        <v/>
      </c>
      <c r="AD65">
        <f>IF(AND(A65&lt;=83,A65&lt;&gt;43,A65&lt;&gt;61),"clock-stable","clock-boundary")</f>
        <v/>
      </c>
      <c r="AE65" t="inlineStr">
        <is>
          <t>engine_diff_from_observed</t>
        </is>
      </c>
      <c r="AF65" t="inlineStr">
        <is>
          <t>engine anchor Gd-144 differs from observed most-abundant Gd-158</t>
        </is>
      </c>
    </row>
    <row r="66">
      <c r="A66" t="n">
        <v>65</v>
      </c>
      <c r="B66" t="inlineStr">
        <is>
          <t>Tb</t>
        </is>
      </c>
      <c r="C66" t="inlineStr">
        <is>
          <t>Terbium</t>
        </is>
      </c>
      <c r="D66">
        <f>A66 + INT(A66 * INT((A66-1)/12) / 12)</f>
        <v/>
      </c>
      <c r="E66">
        <f>A66+D66</f>
        <v/>
      </c>
      <c r="F66">
        <f>VLOOKUP(A66, Observed_Lookup!A:G, 4, FALSE)</f>
        <v/>
      </c>
      <c r="G66">
        <f>VLOOKUP(A66, Observed_Lookup!A:G, 5, FALSE)</f>
        <v/>
      </c>
      <c r="H66">
        <f>VLOOKUP(A66, Observed_Lookup!A:G, 6, FALSE)</f>
        <v/>
      </c>
      <c r="I66">
        <f>IF(F66="","",D66-G66)</f>
        <v/>
      </c>
      <c r="J66">
        <f>IF(F66="","",E66-H66)</f>
        <v/>
      </c>
      <c r="K66">
        <f>GCD(A66,D66)</f>
        <v/>
      </c>
      <c r="L66">
        <f>A66/K66</f>
        <v/>
      </c>
      <c r="M66">
        <f>D66/K66</f>
        <v/>
      </c>
      <c r="N66">
        <f>"("&amp;L66&amp;","&amp;M66&amp;")"</f>
        <v/>
      </c>
      <c r="O66">
        <f>(D66-A66)/E66</f>
        <v/>
      </c>
      <c r="P66">
        <f>V66/W66</f>
        <v/>
      </c>
      <c r="Q66">
        <f>A66</f>
        <v/>
      </c>
      <c r="R66">
        <f>D66</f>
        <v/>
      </c>
      <c r="S66">
        <f>A66</f>
        <v/>
      </c>
      <c r="T66">
        <f>2*A66+D66</f>
        <v/>
      </c>
      <c r="U66">
        <f>A66+2*D66</f>
        <v/>
      </c>
      <c r="V66">
        <f>8*(A66*(7117/768)+(D66-A66)*(1/64))</f>
        <v/>
      </c>
      <c r="W66">
        <f>4*E66*(7117/768)</f>
        <v/>
      </c>
      <c r="X66">
        <f>W66-V66</f>
        <v/>
      </c>
      <c r="Y66">
        <f>IF(P66&lt;1,"substrate-light / mass-heavy",IF(P66&gt;1,"substrate-heavy / mass-light","balanced"))</f>
        <v/>
      </c>
      <c r="Z66">
        <f>IF(F66="","",H66-IFERROR(VLOOKUP(A66, Observed_Lookup!A:G, 7, FALSE),""))</f>
        <v/>
      </c>
      <c r="AA66">
        <f>IF(Z66="","",Z66*931.49410242)</f>
        <v/>
      </c>
      <c r="AB66">
        <f>8*(A66+IF(F66="",D66,G66))-17*(A66+IF(F66="",D66,G66))^(2/3)-(3/4)*A66*(A66-1)/(A66+IF(F66="",D66,G66))^(1/3)-22*(IF(F66="",D66,G66)-A66)^2/(A66+IF(F66="",D66,G66))+7*IF(AND(MOD(A66,2)=0,MOD(IF(F66="",D66,G66),2)=0),1,IF(AND(MOD(A66,2)=1,MOD(IF(F66="",D66,G66),2)=1),-1,0))/SQRT((A66+IF(F66="",D66,G66)))-(25/4)*IF(AND((A66/GCD(A66,IF(F66="",D66,G66)))=1,(IF(F66="",D66,G66)/GCD(A66,IF(F66="",D66,G66)))=1),0,1)</f>
        <v/>
      </c>
      <c r="AC66">
        <f>IF(AA66="","",AA66-AB66)</f>
        <v/>
      </c>
      <c r="AD66">
        <f>IF(AND(A66&lt;=83,A66&lt;&gt;43,A66&lt;&gt;61),"clock-stable","clock-boundary")</f>
        <v/>
      </c>
      <c r="AE66" t="inlineStr">
        <is>
          <t>engine_diff_from_observed</t>
        </is>
      </c>
      <c r="AF66" t="inlineStr">
        <is>
          <t>engine anchor Tb-151 differs from observed most-abundant Tb-159</t>
        </is>
      </c>
    </row>
    <row r="67">
      <c r="A67" t="n">
        <v>66</v>
      </c>
      <c r="B67" t="inlineStr">
        <is>
          <t>Dy</t>
        </is>
      </c>
      <c r="C67" t="inlineStr">
        <is>
          <t>Dysprosium</t>
        </is>
      </c>
      <c r="D67">
        <f>A67 + INT(A67 * INT((A67-1)/12) / 12)</f>
        <v/>
      </c>
      <c r="E67">
        <f>A67+D67</f>
        <v/>
      </c>
      <c r="F67">
        <f>VLOOKUP(A67, Observed_Lookup!A:G, 4, FALSE)</f>
        <v/>
      </c>
      <c r="G67">
        <f>VLOOKUP(A67, Observed_Lookup!A:G, 5, FALSE)</f>
        <v/>
      </c>
      <c r="H67">
        <f>VLOOKUP(A67, Observed_Lookup!A:G, 6, FALSE)</f>
        <v/>
      </c>
      <c r="I67">
        <f>IF(F67="","",D67-G67)</f>
        <v/>
      </c>
      <c r="J67">
        <f>IF(F67="","",E67-H67)</f>
        <v/>
      </c>
      <c r="K67">
        <f>GCD(A67,D67)</f>
        <v/>
      </c>
      <c r="L67">
        <f>A67/K67</f>
        <v/>
      </c>
      <c r="M67">
        <f>D67/K67</f>
        <v/>
      </c>
      <c r="N67">
        <f>"("&amp;L67&amp;","&amp;M67&amp;")"</f>
        <v/>
      </c>
      <c r="O67">
        <f>(D67-A67)/E67</f>
        <v/>
      </c>
      <c r="P67">
        <f>V67/W67</f>
        <v/>
      </c>
      <c r="Q67">
        <f>A67</f>
        <v/>
      </c>
      <c r="R67">
        <f>D67</f>
        <v/>
      </c>
      <c r="S67">
        <f>A67</f>
        <v/>
      </c>
      <c r="T67">
        <f>2*A67+D67</f>
        <v/>
      </c>
      <c r="U67">
        <f>A67+2*D67</f>
        <v/>
      </c>
      <c r="V67">
        <f>8*(A67*(7117/768)+(D67-A67)*(1/64))</f>
        <v/>
      </c>
      <c r="W67">
        <f>4*E67*(7117/768)</f>
        <v/>
      </c>
      <c r="X67">
        <f>W67-V67</f>
        <v/>
      </c>
      <c r="Y67">
        <f>IF(P67&lt;1,"substrate-light / mass-heavy",IF(P67&gt;1,"substrate-heavy / mass-light","balanced"))</f>
        <v/>
      </c>
      <c r="Z67">
        <f>IF(F67="","",H67-IFERROR(VLOOKUP(A67, Observed_Lookup!A:G, 7, FALSE),""))</f>
        <v/>
      </c>
      <c r="AA67">
        <f>IF(Z67="","",Z67*931.49410242)</f>
        <v/>
      </c>
      <c r="AB67">
        <f>8*(A67+IF(F67="",D67,G67))-17*(A67+IF(F67="",D67,G67))^(2/3)-(3/4)*A67*(A67-1)/(A67+IF(F67="",D67,G67))^(1/3)-22*(IF(F67="",D67,G67)-A67)^2/(A67+IF(F67="",D67,G67))+7*IF(AND(MOD(A67,2)=0,MOD(IF(F67="",D67,G67),2)=0),1,IF(AND(MOD(A67,2)=1,MOD(IF(F67="",D67,G67),2)=1),-1,0))/SQRT((A67+IF(F67="",D67,G67)))-(25/4)*IF(AND((A67/GCD(A67,IF(F67="",D67,G67)))=1,(IF(F67="",D67,G67)/GCD(A67,IF(F67="",D67,G67)))=1),0,1)</f>
        <v/>
      </c>
      <c r="AC67">
        <f>IF(AA67="","",AA67-AB67)</f>
        <v/>
      </c>
      <c r="AD67">
        <f>IF(AND(A67&lt;=83,A67&lt;&gt;43,A67&lt;&gt;61),"clock-stable","clock-boundary")</f>
        <v/>
      </c>
      <c r="AE67" t="inlineStr">
        <is>
          <t>engine_diff_from_observed</t>
        </is>
      </c>
      <c r="AF67" t="inlineStr">
        <is>
          <t>engine anchor Dy-159 differs from observed most-abundant Dy-164</t>
        </is>
      </c>
    </row>
    <row r="68">
      <c r="A68" t="n">
        <v>67</v>
      </c>
      <c r="B68" t="inlineStr">
        <is>
          <t>Ho</t>
        </is>
      </c>
      <c r="C68" t="inlineStr">
        <is>
          <t>Holmium</t>
        </is>
      </c>
      <c r="D68">
        <f>A68 + INT(A68 * INT((A68-1)/12) / 12)</f>
        <v/>
      </c>
      <c r="E68">
        <f>A68+D68</f>
        <v/>
      </c>
      <c r="F68">
        <f>VLOOKUP(A68, Observed_Lookup!A:G, 4, FALSE)</f>
        <v/>
      </c>
      <c r="G68">
        <f>VLOOKUP(A68, Observed_Lookup!A:G, 5, FALSE)</f>
        <v/>
      </c>
      <c r="H68">
        <f>VLOOKUP(A68, Observed_Lookup!A:G, 6, FALSE)</f>
        <v/>
      </c>
      <c r="I68">
        <f>IF(F68="","",D68-G68)</f>
        <v/>
      </c>
      <c r="J68">
        <f>IF(F68="","",E68-H68)</f>
        <v/>
      </c>
      <c r="K68">
        <f>GCD(A68,D68)</f>
        <v/>
      </c>
      <c r="L68">
        <f>A68/K68</f>
        <v/>
      </c>
      <c r="M68">
        <f>D68/K68</f>
        <v/>
      </c>
      <c r="N68">
        <f>"("&amp;L68&amp;","&amp;M68&amp;")"</f>
        <v/>
      </c>
      <c r="O68">
        <f>(D68-A68)/E68</f>
        <v/>
      </c>
      <c r="P68">
        <f>V68/W68</f>
        <v/>
      </c>
      <c r="Q68">
        <f>A68</f>
        <v/>
      </c>
      <c r="R68">
        <f>D68</f>
        <v/>
      </c>
      <c r="S68">
        <f>A68</f>
        <v/>
      </c>
      <c r="T68">
        <f>2*A68+D68</f>
        <v/>
      </c>
      <c r="U68">
        <f>A68+2*D68</f>
        <v/>
      </c>
      <c r="V68">
        <f>8*(A68*(7117/768)+(D68-A68)*(1/64))</f>
        <v/>
      </c>
      <c r="W68">
        <f>4*E68*(7117/768)</f>
        <v/>
      </c>
      <c r="X68">
        <f>W68-V68</f>
        <v/>
      </c>
      <c r="Y68">
        <f>IF(P68&lt;1,"substrate-light / mass-heavy",IF(P68&gt;1,"substrate-heavy / mass-light","balanced"))</f>
        <v/>
      </c>
      <c r="Z68">
        <f>IF(F68="","",H68-IFERROR(VLOOKUP(A68, Observed_Lookup!A:G, 7, FALSE),""))</f>
        <v/>
      </c>
      <c r="AA68">
        <f>IF(Z68="","",Z68*931.49410242)</f>
        <v/>
      </c>
      <c r="AB68">
        <f>8*(A68+IF(F68="",D68,G68))-17*(A68+IF(F68="",D68,G68))^(2/3)-(3/4)*A68*(A68-1)/(A68+IF(F68="",D68,G68))^(1/3)-22*(IF(F68="",D68,G68)-A68)^2/(A68+IF(F68="",D68,G68))+7*IF(AND(MOD(A68,2)=0,MOD(IF(F68="",D68,G68),2)=0),1,IF(AND(MOD(A68,2)=1,MOD(IF(F68="",D68,G68),2)=1),-1,0))/SQRT((A68+IF(F68="",D68,G68)))-(25/4)*IF(AND((A68/GCD(A68,IF(F68="",D68,G68)))=1,(IF(F68="",D68,G68)/GCD(A68,IF(F68="",D68,G68)))=1),0,1)</f>
        <v/>
      </c>
      <c r="AC68">
        <f>IF(AA68="","",AA68-AB68)</f>
        <v/>
      </c>
      <c r="AD68">
        <f>IF(AND(A68&lt;=83,A68&lt;&gt;43,A68&lt;&gt;61),"clock-stable","clock-boundary")</f>
        <v/>
      </c>
      <c r="AE68" t="inlineStr">
        <is>
          <t>engine_diff_from_observed</t>
        </is>
      </c>
      <c r="AF68" t="inlineStr">
        <is>
          <t>engine anchor Ho-167 differs from observed most-abundant Ho-165</t>
        </is>
      </c>
    </row>
    <row r="69">
      <c r="A69" t="n">
        <v>68</v>
      </c>
      <c r="B69" t="inlineStr">
        <is>
          <t>Er</t>
        </is>
      </c>
      <c r="C69" t="inlineStr">
        <is>
          <t>Erbium</t>
        </is>
      </c>
      <c r="D69">
        <f>A69 + INT(A69 * INT((A69-1)/12) / 12)</f>
        <v/>
      </c>
      <c r="E69">
        <f>A69+D69</f>
        <v/>
      </c>
      <c r="F69">
        <f>VLOOKUP(A69, Observed_Lookup!A:G, 4, FALSE)</f>
        <v/>
      </c>
      <c r="G69">
        <f>VLOOKUP(A69, Observed_Lookup!A:G, 5, FALSE)</f>
        <v/>
      </c>
      <c r="H69">
        <f>VLOOKUP(A69, Observed_Lookup!A:G, 6, FALSE)</f>
        <v/>
      </c>
      <c r="I69">
        <f>IF(F69="","",D69-G69)</f>
        <v/>
      </c>
      <c r="J69">
        <f>IF(F69="","",E69-H69)</f>
        <v/>
      </c>
      <c r="K69">
        <f>GCD(A69,D69)</f>
        <v/>
      </c>
      <c r="L69">
        <f>A69/K69</f>
        <v/>
      </c>
      <c r="M69">
        <f>D69/K69</f>
        <v/>
      </c>
      <c r="N69">
        <f>"("&amp;L69&amp;","&amp;M69&amp;")"</f>
        <v/>
      </c>
      <c r="O69">
        <f>(D69-A69)/E69</f>
        <v/>
      </c>
      <c r="P69">
        <f>V69/W69</f>
        <v/>
      </c>
      <c r="Q69">
        <f>A69</f>
        <v/>
      </c>
      <c r="R69">
        <f>D69</f>
        <v/>
      </c>
      <c r="S69">
        <f>A69</f>
        <v/>
      </c>
      <c r="T69">
        <f>2*A69+D69</f>
        <v/>
      </c>
      <c r="U69">
        <f>A69+2*D69</f>
        <v/>
      </c>
      <c r="V69">
        <f>8*(A69*(7117/768)+(D69-A69)*(1/64))</f>
        <v/>
      </c>
      <c r="W69">
        <f>4*E69*(7117/768)</f>
        <v/>
      </c>
      <c r="X69">
        <f>W69-V69</f>
        <v/>
      </c>
      <c r="Y69">
        <f>IF(P69&lt;1,"substrate-light / mass-heavy",IF(P69&gt;1,"substrate-heavy / mass-light","balanced"))</f>
        <v/>
      </c>
      <c r="Z69">
        <f>IF(F69="","",H69-IFERROR(VLOOKUP(A69, Observed_Lookup!A:G, 7, FALSE),""))</f>
        <v/>
      </c>
      <c r="AA69">
        <f>IF(Z69="","",Z69*931.49410242)</f>
        <v/>
      </c>
      <c r="AB69">
        <f>8*(A69+IF(F69="",D69,G69))-17*(A69+IF(F69="",D69,G69))^(2/3)-(3/4)*A69*(A69-1)/(A69+IF(F69="",D69,G69))^(1/3)-22*(IF(F69="",D69,G69)-A69)^2/(A69+IF(F69="",D69,G69))+7*IF(AND(MOD(A69,2)=0,MOD(IF(F69="",D69,G69),2)=0),1,IF(AND(MOD(A69,2)=1,MOD(IF(F69="",D69,G69),2)=1),-1,0))/SQRT((A69+IF(F69="",D69,G69)))-(25/4)*IF(AND((A69/GCD(A69,IF(F69="",D69,G69)))=1,(IF(F69="",D69,G69)/GCD(A69,IF(F69="",D69,G69)))=1),0,1)</f>
        <v/>
      </c>
      <c r="AC69">
        <f>IF(AA69="","",AA69-AB69)</f>
        <v/>
      </c>
      <c r="AD69">
        <f>IF(AND(A69&lt;=83,A69&lt;&gt;43,A69&lt;&gt;61),"clock-stable","clock-boundary")</f>
        <v/>
      </c>
      <c r="AE69" t="inlineStr">
        <is>
          <t>engine_diff_from_observed</t>
        </is>
      </c>
      <c r="AF69" t="inlineStr">
        <is>
          <t>engine anchor Er-175 differs from observed most-abundant Er-166</t>
        </is>
      </c>
    </row>
    <row r="70">
      <c r="A70" t="n">
        <v>69</v>
      </c>
      <c r="B70" t="inlineStr">
        <is>
          <t>Tm</t>
        </is>
      </c>
      <c r="C70" t="inlineStr">
        <is>
          <t>Thulium</t>
        </is>
      </c>
      <c r="D70">
        <f>A70 + INT(A70 * INT((A70-1)/12) / 12)</f>
        <v/>
      </c>
      <c r="E70">
        <f>A70+D70</f>
        <v/>
      </c>
      <c r="F70">
        <f>VLOOKUP(A70, Observed_Lookup!A:G, 4, FALSE)</f>
        <v/>
      </c>
      <c r="G70">
        <f>VLOOKUP(A70, Observed_Lookup!A:G, 5, FALSE)</f>
        <v/>
      </c>
      <c r="H70">
        <f>VLOOKUP(A70, Observed_Lookup!A:G, 6, FALSE)</f>
        <v/>
      </c>
      <c r="I70">
        <f>IF(F70="","",D70-G70)</f>
        <v/>
      </c>
      <c r="J70">
        <f>IF(F70="","",E70-H70)</f>
        <v/>
      </c>
      <c r="K70">
        <f>GCD(A70,D70)</f>
        <v/>
      </c>
      <c r="L70">
        <f>A70/K70</f>
        <v/>
      </c>
      <c r="M70">
        <f>D70/K70</f>
        <v/>
      </c>
      <c r="N70">
        <f>"("&amp;L70&amp;","&amp;M70&amp;")"</f>
        <v/>
      </c>
      <c r="O70">
        <f>(D70-A70)/E70</f>
        <v/>
      </c>
      <c r="P70">
        <f>V70/W70</f>
        <v/>
      </c>
      <c r="Q70">
        <f>A70</f>
        <v/>
      </c>
      <c r="R70">
        <f>D70</f>
        <v/>
      </c>
      <c r="S70">
        <f>A70</f>
        <v/>
      </c>
      <c r="T70">
        <f>2*A70+D70</f>
        <v/>
      </c>
      <c r="U70">
        <f>A70+2*D70</f>
        <v/>
      </c>
      <c r="V70">
        <f>8*(A70*(7117/768)+(D70-A70)*(1/64))</f>
        <v/>
      </c>
      <c r="W70">
        <f>4*E70*(7117/768)</f>
        <v/>
      </c>
      <c r="X70">
        <f>W70-V70</f>
        <v/>
      </c>
      <c r="Y70">
        <f>IF(P70&lt;1,"substrate-light / mass-heavy",IF(P70&gt;1,"substrate-heavy / mass-light","balanced"))</f>
        <v/>
      </c>
      <c r="Z70">
        <f>IF(F70="","",H70-IFERROR(VLOOKUP(A70, Observed_Lookup!A:G, 7, FALSE),""))</f>
        <v/>
      </c>
      <c r="AA70">
        <f>IF(Z70="","",Z70*931.49410242)</f>
        <v/>
      </c>
      <c r="AB70">
        <f>8*(A70+IF(F70="",D70,G70))-17*(A70+IF(F70="",D70,G70))^(2/3)-(3/4)*A70*(A70-1)/(A70+IF(F70="",D70,G70))^(1/3)-22*(IF(F70="",D70,G70)-A70)^2/(A70+IF(F70="",D70,G70))+7*IF(AND(MOD(A70,2)=0,MOD(IF(F70="",D70,G70),2)=0),1,IF(AND(MOD(A70,2)=1,MOD(IF(F70="",D70,G70),2)=1),-1,0))/SQRT((A70+IF(F70="",D70,G70)))-(25/4)*IF(AND((A70/GCD(A70,IF(F70="",D70,G70)))=1,(IF(F70="",D70,G70)/GCD(A70,IF(F70="",D70,G70)))=1),0,1)</f>
        <v/>
      </c>
      <c r="AC70">
        <f>IF(AA70="","",AA70-AB70)</f>
        <v/>
      </c>
      <c r="AD70">
        <f>IF(AND(A70&lt;=83,A70&lt;&gt;43,A70&lt;&gt;61),"clock-stable","clock-boundary")</f>
        <v/>
      </c>
      <c r="AE70" t="inlineStr">
        <is>
          <t>engine_diff_from_observed</t>
        </is>
      </c>
      <c r="AF70" t="inlineStr">
        <is>
          <t>engine anchor Tm-184 differs from observed most-abundant Tm-169</t>
        </is>
      </c>
    </row>
    <row r="71">
      <c r="A71" t="n">
        <v>70</v>
      </c>
      <c r="B71" t="inlineStr">
        <is>
          <t>Yb</t>
        </is>
      </c>
      <c r="C71" t="inlineStr">
        <is>
          <t>Ytterbium</t>
        </is>
      </c>
      <c r="D71">
        <f>A71 + INT(A71 * INT((A71-1)/12) / 12)</f>
        <v/>
      </c>
      <c r="E71">
        <f>A71+D71</f>
        <v/>
      </c>
      <c r="F71">
        <f>VLOOKUP(A71, Observed_Lookup!A:G, 4, FALSE)</f>
        <v/>
      </c>
      <c r="G71">
        <f>VLOOKUP(A71, Observed_Lookup!A:G, 5, FALSE)</f>
        <v/>
      </c>
      <c r="H71">
        <f>VLOOKUP(A71, Observed_Lookup!A:G, 6, FALSE)</f>
        <v/>
      </c>
      <c r="I71">
        <f>IF(F71="","",D71-G71)</f>
        <v/>
      </c>
      <c r="J71">
        <f>IF(F71="","",E71-H71)</f>
        <v/>
      </c>
      <c r="K71">
        <f>GCD(A71,D71)</f>
        <v/>
      </c>
      <c r="L71">
        <f>A71/K71</f>
        <v/>
      </c>
      <c r="M71">
        <f>D71/K71</f>
        <v/>
      </c>
      <c r="N71">
        <f>"("&amp;L71&amp;","&amp;M71&amp;")"</f>
        <v/>
      </c>
      <c r="O71">
        <f>(D71-A71)/E71</f>
        <v/>
      </c>
      <c r="P71">
        <f>V71/W71</f>
        <v/>
      </c>
      <c r="Q71">
        <f>A71</f>
        <v/>
      </c>
      <c r="R71">
        <f>D71</f>
        <v/>
      </c>
      <c r="S71">
        <f>A71</f>
        <v/>
      </c>
      <c r="T71">
        <f>2*A71+D71</f>
        <v/>
      </c>
      <c r="U71">
        <f>A71+2*D71</f>
        <v/>
      </c>
      <c r="V71">
        <f>8*(A71*(7117/768)+(D71-A71)*(1/64))</f>
        <v/>
      </c>
      <c r="W71">
        <f>4*E71*(7117/768)</f>
        <v/>
      </c>
      <c r="X71">
        <f>W71-V71</f>
        <v/>
      </c>
      <c r="Y71">
        <f>IF(P71&lt;1,"substrate-light / mass-heavy",IF(P71&gt;1,"substrate-heavy / mass-light","balanced"))</f>
        <v/>
      </c>
      <c r="Z71">
        <f>IF(F71="","",H71-IFERROR(VLOOKUP(A71, Observed_Lookup!A:G, 7, FALSE),""))</f>
        <v/>
      </c>
      <c r="AA71">
        <f>IF(Z71="","",Z71*931.49410242)</f>
        <v/>
      </c>
      <c r="AB71">
        <f>8*(A71+IF(F71="",D71,G71))-17*(A71+IF(F71="",D71,G71))^(2/3)-(3/4)*A71*(A71-1)/(A71+IF(F71="",D71,G71))^(1/3)-22*(IF(F71="",D71,G71)-A71)^2/(A71+IF(F71="",D71,G71))+7*IF(AND(MOD(A71,2)=0,MOD(IF(F71="",D71,G71),2)=0),1,IF(AND(MOD(A71,2)=1,MOD(IF(F71="",D71,G71),2)=1),-1,0))/SQRT((A71+IF(F71="",D71,G71)))-(25/4)*IF(AND((A71/GCD(A71,IF(F71="",D71,G71)))=1,(IF(F71="",D71,G71)/GCD(A71,IF(F71="",D71,G71)))=1),0,1)</f>
        <v/>
      </c>
      <c r="AC71">
        <f>IF(AA71="","",AA71-AB71)</f>
        <v/>
      </c>
      <c r="AD71">
        <f>IF(AND(A71&lt;=83,A71&lt;&gt;43,A71&lt;&gt;61),"clock-stable","clock-boundary")</f>
        <v/>
      </c>
      <c r="AE71" t="inlineStr">
        <is>
          <t>engine_diff_from_observed</t>
        </is>
      </c>
      <c r="AF71" t="inlineStr">
        <is>
          <t>engine anchor Yb-192 differs from observed most-abundant Yb-174</t>
        </is>
      </c>
    </row>
    <row r="72">
      <c r="A72" t="n">
        <v>71</v>
      </c>
      <c r="B72" t="inlineStr">
        <is>
          <t>Lu</t>
        </is>
      </c>
      <c r="C72" t="inlineStr">
        <is>
          <t>Lutetium</t>
        </is>
      </c>
      <c r="D72">
        <f>A72 + INT(A72 * INT((A72-1)/12) / 12)</f>
        <v/>
      </c>
      <c r="E72">
        <f>A72+D72</f>
        <v/>
      </c>
      <c r="F72">
        <f>VLOOKUP(A72, Observed_Lookup!A:G, 4, FALSE)</f>
        <v/>
      </c>
      <c r="G72">
        <f>VLOOKUP(A72, Observed_Lookup!A:G, 5, FALSE)</f>
        <v/>
      </c>
      <c r="H72">
        <f>VLOOKUP(A72, Observed_Lookup!A:G, 6, FALSE)</f>
        <v/>
      </c>
      <c r="I72">
        <f>IF(F72="","",D72-G72)</f>
        <v/>
      </c>
      <c r="J72">
        <f>IF(F72="","",E72-H72)</f>
        <v/>
      </c>
      <c r="K72">
        <f>GCD(A72,D72)</f>
        <v/>
      </c>
      <c r="L72">
        <f>A72/K72</f>
        <v/>
      </c>
      <c r="M72">
        <f>D72/K72</f>
        <v/>
      </c>
      <c r="N72">
        <f>"("&amp;L72&amp;","&amp;M72&amp;")"</f>
        <v/>
      </c>
      <c r="O72">
        <f>(D72-A72)/E72</f>
        <v/>
      </c>
      <c r="P72">
        <f>V72/W72</f>
        <v/>
      </c>
      <c r="Q72">
        <f>A72</f>
        <v/>
      </c>
      <c r="R72">
        <f>D72</f>
        <v/>
      </c>
      <c r="S72">
        <f>A72</f>
        <v/>
      </c>
      <c r="T72">
        <f>2*A72+D72</f>
        <v/>
      </c>
      <c r="U72">
        <f>A72+2*D72</f>
        <v/>
      </c>
      <c r="V72">
        <f>8*(A72*(7117/768)+(D72-A72)*(1/64))</f>
        <v/>
      </c>
      <c r="W72">
        <f>4*E72*(7117/768)</f>
        <v/>
      </c>
      <c r="X72">
        <f>W72-V72</f>
        <v/>
      </c>
      <c r="Y72">
        <f>IF(P72&lt;1,"substrate-light / mass-heavy",IF(P72&gt;1,"substrate-heavy / mass-light","balanced"))</f>
        <v/>
      </c>
      <c r="Z72">
        <f>IF(F72="","",H72-IFERROR(VLOOKUP(A72, Observed_Lookup!A:G, 7, FALSE),""))</f>
        <v/>
      </c>
      <c r="AA72">
        <f>IF(Z72="","",Z72*931.49410242)</f>
        <v/>
      </c>
      <c r="AB72">
        <f>8*(A72+IF(F72="",D72,G72))-17*(A72+IF(F72="",D72,G72))^(2/3)-(3/4)*A72*(A72-1)/(A72+IF(F72="",D72,G72))^(1/3)-22*(IF(F72="",D72,G72)-A72)^2/(A72+IF(F72="",D72,G72))+7*IF(AND(MOD(A72,2)=0,MOD(IF(F72="",D72,G72),2)=0),1,IF(AND(MOD(A72,2)=1,MOD(IF(F72="",D72,G72),2)=1),-1,0))/SQRT((A72+IF(F72="",D72,G72)))-(25/4)*IF(AND((A72/GCD(A72,IF(F72="",D72,G72)))=1,(IF(F72="",D72,G72)/GCD(A72,IF(F72="",D72,G72)))=1),0,1)</f>
        <v/>
      </c>
      <c r="AC72">
        <f>IF(AA72="","",AA72-AB72)</f>
        <v/>
      </c>
      <c r="AD72">
        <f>IF(AND(A72&lt;=83,A72&lt;&gt;43,A72&lt;&gt;61),"clock-stable","clock-boundary")</f>
        <v/>
      </c>
      <c r="AE72" t="inlineStr">
        <is>
          <t>engine_diff_from_observed</t>
        </is>
      </c>
      <c r="AF72" t="inlineStr">
        <is>
          <t>engine anchor Lu-201 differs from observed most-abundant Lu-175</t>
        </is>
      </c>
    </row>
    <row r="73">
      <c r="A73" t="n">
        <v>72</v>
      </c>
      <c r="B73" t="inlineStr">
        <is>
          <t>Hf</t>
        </is>
      </c>
      <c r="C73" t="inlineStr">
        <is>
          <t>Hafnium</t>
        </is>
      </c>
      <c r="D73">
        <f>A73 + INT(A73 * INT((A73-1)/12) / 12)</f>
        <v/>
      </c>
      <c r="E73">
        <f>A73+D73</f>
        <v/>
      </c>
      <c r="F73">
        <f>VLOOKUP(A73, Observed_Lookup!A:G, 4, FALSE)</f>
        <v/>
      </c>
      <c r="G73">
        <f>VLOOKUP(A73, Observed_Lookup!A:G, 5, FALSE)</f>
        <v/>
      </c>
      <c r="H73">
        <f>VLOOKUP(A73, Observed_Lookup!A:G, 6, FALSE)</f>
        <v/>
      </c>
      <c r="I73">
        <f>IF(F73="","",D73-G73)</f>
        <v/>
      </c>
      <c r="J73">
        <f>IF(F73="","",E73-H73)</f>
        <v/>
      </c>
      <c r="K73">
        <f>GCD(A73,D73)</f>
        <v/>
      </c>
      <c r="L73">
        <f>A73/K73</f>
        <v/>
      </c>
      <c r="M73">
        <f>D73/K73</f>
        <v/>
      </c>
      <c r="N73">
        <f>"("&amp;L73&amp;","&amp;M73&amp;")"</f>
        <v/>
      </c>
      <c r="O73">
        <f>(D73-A73)/E73</f>
        <v/>
      </c>
      <c r="P73">
        <f>V73/W73</f>
        <v/>
      </c>
      <c r="Q73">
        <f>A73</f>
        <v/>
      </c>
      <c r="R73">
        <f>D73</f>
        <v/>
      </c>
      <c r="S73">
        <f>A73</f>
        <v/>
      </c>
      <c r="T73">
        <f>2*A73+D73</f>
        <v/>
      </c>
      <c r="U73">
        <f>A73+2*D73</f>
        <v/>
      </c>
      <c r="V73">
        <f>8*(A73*(7117/768)+(D73-A73)*(1/64))</f>
        <v/>
      </c>
      <c r="W73">
        <f>4*E73*(7117/768)</f>
        <v/>
      </c>
      <c r="X73">
        <f>W73-V73</f>
        <v/>
      </c>
      <c r="Y73">
        <f>IF(P73&lt;1,"substrate-light / mass-heavy",IF(P73&gt;1,"substrate-heavy / mass-light","balanced"))</f>
        <v/>
      </c>
      <c r="Z73">
        <f>IF(F73="","",H73-IFERROR(VLOOKUP(A73, Observed_Lookup!A:G, 7, FALSE),""))</f>
        <v/>
      </c>
      <c r="AA73">
        <f>IF(Z73="","",Z73*931.49410242)</f>
        <v/>
      </c>
      <c r="AB73">
        <f>8*(A73+IF(F73="",D73,G73))-17*(A73+IF(F73="",D73,G73))^(2/3)-(3/4)*A73*(A73-1)/(A73+IF(F73="",D73,G73))^(1/3)-22*(IF(F73="",D73,G73)-A73)^2/(A73+IF(F73="",D73,G73))+7*IF(AND(MOD(A73,2)=0,MOD(IF(F73="",D73,G73),2)=0),1,IF(AND(MOD(A73,2)=1,MOD(IF(F73="",D73,G73),2)=1),-1,0))/SQRT((A73+IF(F73="",D73,G73)))-(25/4)*IF(AND((A73/GCD(A73,IF(F73="",D73,G73)))=1,(IF(F73="",D73,G73)/GCD(A73,IF(F73="",D73,G73)))=1),0,1)</f>
        <v/>
      </c>
      <c r="AC73">
        <f>IF(AA73="","",AA73-AB73)</f>
        <v/>
      </c>
      <c r="AD73">
        <f>IF(AND(A73&lt;=83,A73&lt;&gt;43,A73&lt;&gt;61),"clock-stable","clock-boundary")</f>
        <v/>
      </c>
      <c r="AE73" t="inlineStr">
        <is>
          <t>engine_diff_from_observed</t>
        </is>
      </c>
      <c r="AF73" t="inlineStr">
        <is>
          <t>engine anchor Hf-210 differs from observed most-abundant Hf-180</t>
        </is>
      </c>
    </row>
    <row r="74">
      <c r="A74" t="n">
        <v>73</v>
      </c>
      <c r="B74" t="inlineStr">
        <is>
          <t>Ta</t>
        </is>
      </c>
      <c r="C74" t="inlineStr">
        <is>
          <t>Tantalum</t>
        </is>
      </c>
      <c r="D74">
        <f>A74 + INT(A74 * INT((A74-1)/12) / 12)</f>
        <v/>
      </c>
      <c r="E74">
        <f>A74+D74</f>
        <v/>
      </c>
      <c r="F74">
        <f>VLOOKUP(A74, Observed_Lookup!A:G, 4, FALSE)</f>
        <v/>
      </c>
      <c r="G74">
        <f>VLOOKUP(A74, Observed_Lookup!A:G, 5, FALSE)</f>
        <v/>
      </c>
      <c r="H74">
        <f>VLOOKUP(A74, Observed_Lookup!A:G, 6, FALSE)</f>
        <v/>
      </c>
      <c r="I74">
        <f>IF(F74="","",D74-G74)</f>
        <v/>
      </c>
      <c r="J74">
        <f>IF(F74="","",E74-H74)</f>
        <v/>
      </c>
      <c r="K74">
        <f>GCD(A74,D74)</f>
        <v/>
      </c>
      <c r="L74">
        <f>A74/K74</f>
        <v/>
      </c>
      <c r="M74">
        <f>D74/K74</f>
        <v/>
      </c>
      <c r="N74">
        <f>"("&amp;L74&amp;","&amp;M74&amp;")"</f>
        <v/>
      </c>
      <c r="O74">
        <f>(D74-A74)/E74</f>
        <v/>
      </c>
      <c r="P74">
        <f>V74/W74</f>
        <v/>
      </c>
      <c r="Q74">
        <f>A74</f>
        <v/>
      </c>
      <c r="R74">
        <f>D74</f>
        <v/>
      </c>
      <c r="S74">
        <f>A74</f>
        <v/>
      </c>
      <c r="T74">
        <f>2*A74+D74</f>
        <v/>
      </c>
      <c r="U74">
        <f>A74+2*D74</f>
        <v/>
      </c>
      <c r="V74">
        <f>8*(A74*(7117/768)+(D74-A74)*(1/64))</f>
        <v/>
      </c>
      <c r="W74">
        <f>4*E74*(7117/768)</f>
        <v/>
      </c>
      <c r="X74">
        <f>W74-V74</f>
        <v/>
      </c>
      <c r="Y74">
        <f>IF(P74&lt;1,"substrate-light / mass-heavy",IF(P74&gt;1,"substrate-heavy / mass-light","balanced"))</f>
        <v/>
      </c>
      <c r="Z74">
        <f>IF(F74="","",H74-IFERROR(VLOOKUP(A74, Observed_Lookup!A:G, 7, FALSE),""))</f>
        <v/>
      </c>
      <c r="AA74">
        <f>IF(Z74="","",Z74*931.49410242)</f>
        <v/>
      </c>
      <c r="AB74">
        <f>8*(A74+IF(F74="",D74,G74))-17*(A74+IF(F74="",D74,G74))^(2/3)-(3/4)*A74*(A74-1)/(A74+IF(F74="",D74,G74))^(1/3)-22*(IF(F74="",D74,G74)-A74)^2/(A74+IF(F74="",D74,G74))+7*IF(AND(MOD(A74,2)=0,MOD(IF(F74="",D74,G74),2)=0),1,IF(AND(MOD(A74,2)=1,MOD(IF(F74="",D74,G74),2)=1),-1,0))/SQRT((A74+IF(F74="",D74,G74)))-(25/4)*IF(AND((A74/GCD(A74,IF(F74="",D74,G74)))=1,(IF(F74="",D74,G74)/GCD(A74,IF(F74="",D74,G74)))=1),0,1)</f>
        <v/>
      </c>
      <c r="AC74">
        <f>IF(AA74="","",AA74-AB74)</f>
        <v/>
      </c>
      <c r="AD74">
        <f>IF(AND(A74&lt;=83,A74&lt;&gt;43,A74&lt;&gt;61),"clock-stable","clock-boundary")</f>
        <v/>
      </c>
      <c r="AE74" t="inlineStr">
        <is>
          <t>engine_diff_from_observed</t>
        </is>
      </c>
      <c r="AF74" t="inlineStr">
        <is>
          <t>engine anchor Ta-146 differs from observed most-abundant Ta-181</t>
        </is>
      </c>
    </row>
    <row r="75">
      <c r="A75" t="n">
        <v>74</v>
      </c>
      <c r="B75" t="inlineStr">
        <is>
          <t>W</t>
        </is>
      </c>
      <c r="C75" t="inlineStr">
        <is>
          <t>Tungsten</t>
        </is>
      </c>
      <c r="D75">
        <f>A75 + INT(A75 * INT((A75-1)/12) / 12)</f>
        <v/>
      </c>
      <c r="E75">
        <f>A75+D75</f>
        <v/>
      </c>
      <c r="F75">
        <f>VLOOKUP(A75, Observed_Lookup!A:G, 4, FALSE)</f>
        <v/>
      </c>
      <c r="G75">
        <f>VLOOKUP(A75, Observed_Lookup!A:G, 5, FALSE)</f>
        <v/>
      </c>
      <c r="H75">
        <f>VLOOKUP(A75, Observed_Lookup!A:G, 6, FALSE)</f>
        <v/>
      </c>
      <c r="I75">
        <f>IF(F75="","",D75-G75)</f>
        <v/>
      </c>
      <c r="J75">
        <f>IF(F75="","",E75-H75)</f>
        <v/>
      </c>
      <c r="K75">
        <f>GCD(A75,D75)</f>
        <v/>
      </c>
      <c r="L75">
        <f>A75/K75</f>
        <v/>
      </c>
      <c r="M75">
        <f>D75/K75</f>
        <v/>
      </c>
      <c r="N75">
        <f>"("&amp;L75&amp;","&amp;M75&amp;")"</f>
        <v/>
      </c>
      <c r="O75">
        <f>(D75-A75)/E75</f>
        <v/>
      </c>
      <c r="P75">
        <f>V75/W75</f>
        <v/>
      </c>
      <c r="Q75">
        <f>A75</f>
        <v/>
      </c>
      <c r="R75">
        <f>D75</f>
        <v/>
      </c>
      <c r="S75">
        <f>A75</f>
        <v/>
      </c>
      <c r="T75">
        <f>2*A75+D75</f>
        <v/>
      </c>
      <c r="U75">
        <f>A75+2*D75</f>
        <v/>
      </c>
      <c r="V75">
        <f>8*(A75*(7117/768)+(D75-A75)*(1/64))</f>
        <v/>
      </c>
      <c r="W75">
        <f>4*E75*(7117/768)</f>
        <v/>
      </c>
      <c r="X75">
        <f>W75-V75</f>
        <v/>
      </c>
      <c r="Y75">
        <f>IF(P75&lt;1,"substrate-light / mass-heavy",IF(P75&gt;1,"substrate-heavy / mass-light","balanced"))</f>
        <v/>
      </c>
      <c r="Z75">
        <f>IF(F75="","",H75-IFERROR(VLOOKUP(A75, Observed_Lookup!A:G, 7, FALSE),""))</f>
        <v/>
      </c>
      <c r="AA75">
        <f>IF(Z75="","",Z75*931.49410242)</f>
        <v/>
      </c>
      <c r="AB75">
        <f>8*(A75+IF(F75="",D75,G75))-17*(A75+IF(F75="",D75,G75))^(2/3)-(3/4)*A75*(A75-1)/(A75+IF(F75="",D75,G75))^(1/3)-22*(IF(F75="",D75,G75)-A75)^2/(A75+IF(F75="",D75,G75))+7*IF(AND(MOD(A75,2)=0,MOD(IF(F75="",D75,G75),2)=0),1,IF(AND(MOD(A75,2)=1,MOD(IF(F75="",D75,G75),2)=1),-1,0))/SQRT((A75+IF(F75="",D75,G75)))-(25/4)*IF(AND((A75/GCD(A75,IF(F75="",D75,G75)))=1,(IF(F75="",D75,G75)/GCD(A75,IF(F75="",D75,G75)))=1),0,1)</f>
        <v/>
      </c>
      <c r="AC75">
        <f>IF(AA75="","",AA75-AB75)</f>
        <v/>
      </c>
      <c r="AD75">
        <f>IF(AND(A75&lt;=83,A75&lt;&gt;43,A75&lt;&gt;61),"clock-stable","clock-boundary")</f>
        <v/>
      </c>
      <c r="AE75" t="inlineStr">
        <is>
          <t>engine_diff_from_observed</t>
        </is>
      </c>
      <c r="AF75" t="inlineStr">
        <is>
          <t>engine anchor W-154 differs from observed most-abundant W-184</t>
        </is>
      </c>
    </row>
    <row r="76">
      <c r="A76" t="n">
        <v>75</v>
      </c>
      <c r="B76" t="inlineStr">
        <is>
          <t>Re</t>
        </is>
      </c>
      <c r="C76" t="inlineStr">
        <is>
          <t>Rhenium</t>
        </is>
      </c>
      <c r="D76">
        <f>A76 + INT(A76 * INT((A76-1)/12) / 12)</f>
        <v/>
      </c>
      <c r="E76">
        <f>A76+D76</f>
        <v/>
      </c>
      <c r="F76">
        <f>VLOOKUP(A76, Observed_Lookup!A:G, 4, FALSE)</f>
        <v/>
      </c>
      <c r="G76">
        <f>VLOOKUP(A76, Observed_Lookup!A:G, 5, FALSE)</f>
        <v/>
      </c>
      <c r="H76">
        <f>VLOOKUP(A76, Observed_Lookup!A:G, 6, FALSE)</f>
        <v/>
      </c>
      <c r="I76">
        <f>IF(F76="","",D76-G76)</f>
        <v/>
      </c>
      <c r="J76">
        <f>IF(F76="","",E76-H76)</f>
        <v/>
      </c>
      <c r="K76">
        <f>GCD(A76,D76)</f>
        <v/>
      </c>
      <c r="L76">
        <f>A76/K76</f>
        <v/>
      </c>
      <c r="M76">
        <f>D76/K76</f>
        <v/>
      </c>
      <c r="N76">
        <f>"("&amp;L76&amp;","&amp;M76&amp;")"</f>
        <v/>
      </c>
      <c r="O76">
        <f>(D76-A76)/E76</f>
        <v/>
      </c>
      <c r="P76">
        <f>V76/W76</f>
        <v/>
      </c>
      <c r="Q76">
        <f>A76</f>
        <v/>
      </c>
      <c r="R76">
        <f>D76</f>
        <v/>
      </c>
      <c r="S76">
        <f>A76</f>
        <v/>
      </c>
      <c r="T76">
        <f>2*A76+D76</f>
        <v/>
      </c>
      <c r="U76">
        <f>A76+2*D76</f>
        <v/>
      </c>
      <c r="V76">
        <f>8*(A76*(7117/768)+(D76-A76)*(1/64))</f>
        <v/>
      </c>
      <c r="W76">
        <f>4*E76*(7117/768)</f>
        <v/>
      </c>
      <c r="X76">
        <f>W76-V76</f>
        <v/>
      </c>
      <c r="Y76">
        <f>IF(P76&lt;1,"substrate-light / mass-heavy",IF(P76&gt;1,"substrate-heavy / mass-light","balanced"))</f>
        <v/>
      </c>
      <c r="Z76">
        <f>IF(F76="","",H76-IFERROR(VLOOKUP(A76, Observed_Lookup!A:G, 7, FALSE),""))</f>
        <v/>
      </c>
      <c r="AA76">
        <f>IF(Z76="","",Z76*931.49410242)</f>
        <v/>
      </c>
      <c r="AB76">
        <f>8*(A76+IF(F76="",D76,G76))-17*(A76+IF(F76="",D76,G76))^(2/3)-(3/4)*A76*(A76-1)/(A76+IF(F76="",D76,G76))^(1/3)-22*(IF(F76="",D76,G76)-A76)^2/(A76+IF(F76="",D76,G76))+7*IF(AND(MOD(A76,2)=0,MOD(IF(F76="",D76,G76),2)=0),1,IF(AND(MOD(A76,2)=1,MOD(IF(F76="",D76,G76),2)=1),-1,0))/SQRT((A76+IF(F76="",D76,G76)))-(25/4)*IF(AND((A76/GCD(A76,IF(F76="",D76,G76)))=1,(IF(F76="",D76,G76)/GCD(A76,IF(F76="",D76,G76)))=1),0,1)</f>
        <v/>
      </c>
      <c r="AC76">
        <f>IF(AA76="","",AA76-AB76)</f>
        <v/>
      </c>
      <c r="AD76">
        <f>IF(AND(A76&lt;=83,A76&lt;&gt;43,A76&lt;&gt;61),"clock-stable","clock-boundary")</f>
        <v/>
      </c>
      <c r="AE76" t="inlineStr">
        <is>
          <t>engine_diff_from_observed</t>
        </is>
      </c>
      <c r="AF76" t="inlineStr">
        <is>
          <t>engine anchor Re-162 differs from observed most-abundant Re-187</t>
        </is>
      </c>
    </row>
    <row r="77">
      <c r="A77" t="n">
        <v>76</v>
      </c>
      <c r="B77" t="inlineStr">
        <is>
          <t>Os</t>
        </is>
      </c>
      <c r="C77" t="inlineStr">
        <is>
          <t>Osmium</t>
        </is>
      </c>
      <c r="D77">
        <f>A77 + INT(A77 * INT((A77-1)/12) / 12)</f>
        <v/>
      </c>
      <c r="E77">
        <f>A77+D77</f>
        <v/>
      </c>
      <c r="F77">
        <f>VLOOKUP(A77, Observed_Lookup!A:G, 4, FALSE)</f>
        <v/>
      </c>
      <c r="G77">
        <f>VLOOKUP(A77, Observed_Lookup!A:G, 5, FALSE)</f>
        <v/>
      </c>
      <c r="H77">
        <f>VLOOKUP(A77, Observed_Lookup!A:G, 6, FALSE)</f>
        <v/>
      </c>
      <c r="I77">
        <f>IF(F77="","",D77-G77)</f>
        <v/>
      </c>
      <c r="J77">
        <f>IF(F77="","",E77-H77)</f>
        <v/>
      </c>
      <c r="K77">
        <f>GCD(A77,D77)</f>
        <v/>
      </c>
      <c r="L77">
        <f>A77/K77</f>
        <v/>
      </c>
      <c r="M77">
        <f>D77/K77</f>
        <v/>
      </c>
      <c r="N77">
        <f>"("&amp;L77&amp;","&amp;M77&amp;")"</f>
        <v/>
      </c>
      <c r="O77">
        <f>(D77-A77)/E77</f>
        <v/>
      </c>
      <c r="P77">
        <f>V77/W77</f>
        <v/>
      </c>
      <c r="Q77">
        <f>A77</f>
        <v/>
      </c>
      <c r="R77">
        <f>D77</f>
        <v/>
      </c>
      <c r="S77">
        <f>A77</f>
        <v/>
      </c>
      <c r="T77">
        <f>2*A77+D77</f>
        <v/>
      </c>
      <c r="U77">
        <f>A77+2*D77</f>
        <v/>
      </c>
      <c r="V77">
        <f>8*(A77*(7117/768)+(D77-A77)*(1/64))</f>
        <v/>
      </c>
      <c r="W77">
        <f>4*E77*(7117/768)</f>
        <v/>
      </c>
      <c r="X77">
        <f>W77-V77</f>
        <v/>
      </c>
      <c r="Y77">
        <f>IF(P77&lt;1,"substrate-light / mass-heavy",IF(P77&gt;1,"substrate-heavy / mass-light","balanced"))</f>
        <v/>
      </c>
      <c r="Z77">
        <f>IF(F77="","",H77-IFERROR(VLOOKUP(A77, Observed_Lookup!A:G, 7, FALSE),""))</f>
        <v/>
      </c>
      <c r="AA77">
        <f>IF(Z77="","",Z77*931.49410242)</f>
        <v/>
      </c>
      <c r="AB77">
        <f>8*(A77+IF(F77="",D77,G77))-17*(A77+IF(F77="",D77,G77))^(2/3)-(3/4)*A77*(A77-1)/(A77+IF(F77="",D77,G77))^(1/3)-22*(IF(F77="",D77,G77)-A77)^2/(A77+IF(F77="",D77,G77))+7*IF(AND(MOD(A77,2)=0,MOD(IF(F77="",D77,G77),2)=0),1,IF(AND(MOD(A77,2)=1,MOD(IF(F77="",D77,G77),2)=1),-1,0))/SQRT((A77+IF(F77="",D77,G77)))-(25/4)*IF(AND((A77/GCD(A77,IF(F77="",D77,G77)))=1,(IF(F77="",D77,G77)/GCD(A77,IF(F77="",D77,G77)))=1),0,1)</f>
        <v/>
      </c>
      <c r="AC77">
        <f>IF(AA77="","",AA77-AB77)</f>
        <v/>
      </c>
      <c r="AD77">
        <f>IF(AND(A77&lt;=83,A77&lt;&gt;43,A77&lt;&gt;61),"clock-stable","clock-boundary")</f>
        <v/>
      </c>
      <c r="AE77" t="inlineStr">
        <is>
          <t>engine_diff_from_observed</t>
        </is>
      </c>
      <c r="AF77" t="inlineStr">
        <is>
          <t>engine anchor Os-171 differs from observed most-abundant Os-192</t>
        </is>
      </c>
    </row>
    <row r="78">
      <c r="A78" t="n">
        <v>77</v>
      </c>
      <c r="B78" t="inlineStr">
        <is>
          <t>Ir</t>
        </is>
      </c>
      <c r="C78" t="inlineStr">
        <is>
          <t>Iridium</t>
        </is>
      </c>
      <c r="D78">
        <f>A78 + INT(A78 * INT((A78-1)/12) / 12)</f>
        <v/>
      </c>
      <c r="E78">
        <f>A78+D78</f>
        <v/>
      </c>
      <c r="F78">
        <f>VLOOKUP(A78, Observed_Lookup!A:G, 4, FALSE)</f>
        <v/>
      </c>
      <c r="G78">
        <f>VLOOKUP(A78, Observed_Lookup!A:G, 5, FALSE)</f>
        <v/>
      </c>
      <c r="H78">
        <f>VLOOKUP(A78, Observed_Lookup!A:G, 6, FALSE)</f>
        <v/>
      </c>
      <c r="I78">
        <f>IF(F78="","",D78-G78)</f>
        <v/>
      </c>
      <c r="J78">
        <f>IF(F78="","",E78-H78)</f>
        <v/>
      </c>
      <c r="K78">
        <f>GCD(A78,D78)</f>
        <v/>
      </c>
      <c r="L78">
        <f>A78/K78</f>
        <v/>
      </c>
      <c r="M78">
        <f>D78/K78</f>
        <v/>
      </c>
      <c r="N78">
        <f>"("&amp;L78&amp;","&amp;M78&amp;")"</f>
        <v/>
      </c>
      <c r="O78">
        <f>(D78-A78)/E78</f>
        <v/>
      </c>
      <c r="P78">
        <f>V78/W78</f>
        <v/>
      </c>
      <c r="Q78">
        <f>A78</f>
        <v/>
      </c>
      <c r="R78">
        <f>D78</f>
        <v/>
      </c>
      <c r="S78">
        <f>A78</f>
        <v/>
      </c>
      <c r="T78">
        <f>2*A78+D78</f>
        <v/>
      </c>
      <c r="U78">
        <f>A78+2*D78</f>
        <v/>
      </c>
      <c r="V78">
        <f>8*(A78*(7117/768)+(D78-A78)*(1/64))</f>
        <v/>
      </c>
      <c r="W78">
        <f>4*E78*(7117/768)</f>
        <v/>
      </c>
      <c r="X78">
        <f>W78-V78</f>
        <v/>
      </c>
      <c r="Y78">
        <f>IF(P78&lt;1,"substrate-light / mass-heavy",IF(P78&gt;1,"substrate-heavy / mass-light","balanced"))</f>
        <v/>
      </c>
      <c r="Z78">
        <f>IF(F78="","",H78-IFERROR(VLOOKUP(A78, Observed_Lookup!A:G, 7, FALSE),""))</f>
        <v/>
      </c>
      <c r="AA78">
        <f>IF(Z78="","",Z78*931.49410242)</f>
        <v/>
      </c>
      <c r="AB78">
        <f>8*(A78+IF(F78="",D78,G78))-17*(A78+IF(F78="",D78,G78))^(2/3)-(3/4)*A78*(A78-1)/(A78+IF(F78="",D78,G78))^(1/3)-22*(IF(F78="",D78,G78)-A78)^2/(A78+IF(F78="",D78,G78))+7*IF(AND(MOD(A78,2)=0,MOD(IF(F78="",D78,G78),2)=0),1,IF(AND(MOD(A78,2)=1,MOD(IF(F78="",D78,G78),2)=1),-1,0))/SQRT((A78+IF(F78="",D78,G78)))-(25/4)*IF(AND((A78/GCD(A78,IF(F78="",D78,G78)))=1,(IF(F78="",D78,G78)/GCD(A78,IF(F78="",D78,G78)))=1),0,1)</f>
        <v/>
      </c>
      <c r="AC78">
        <f>IF(AA78="","",AA78-AB78)</f>
        <v/>
      </c>
      <c r="AD78">
        <f>IF(AND(A78&lt;=83,A78&lt;&gt;43,A78&lt;&gt;61),"clock-stable","clock-boundary")</f>
        <v/>
      </c>
      <c r="AE78" t="inlineStr">
        <is>
          <t>engine_diff_from_observed</t>
        </is>
      </c>
      <c r="AF78" t="inlineStr">
        <is>
          <t>engine anchor Ir-179 differs from observed most-abundant Ir-193</t>
        </is>
      </c>
    </row>
    <row r="79">
      <c r="A79" t="n">
        <v>78</v>
      </c>
      <c r="B79" t="inlineStr">
        <is>
          <t>Pt</t>
        </is>
      </c>
      <c r="C79" t="inlineStr">
        <is>
          <t>Platinum</t>
        </is>
      </c>
      <c r="D79">
        <f>A79 + INT(A79 * INT((A79-1)/12) / 12)</f>
        <v/>
      </c>
      <c r="E79">
        <f>A79+D79</f>
        <v/>
      </c>
      <c r="F79">
        <f>VLOOKUP(A79, Observed_Lookup!A:G, 4, FALSE)</f>
        <v/>
      </c>
      <c r="G79">
        <f>VLOOKUP(A79, Observed_Lookup!A:G, 5, FALSE)</f>
        <v/>
      </c>
      <c r="H79">
        <f>VLOOKUP(A79, Observed_Lookup!A:G, 6, FALSE)</f>
        <v/>
      </c>
      <c r="I79">
        <f>IF(F79="","",D79-G79)</f>
        <v/>
      </c>
      <c r="J79">
        <f>IF(F79="","",E79-H79)</f>
        <v/>
      </c>
      <c r="K79">
        <f>GCD(A79,D79)</f>
        <v/>
      </c>
      <c r="L79">
        <f>A79/K79</f>
        <v/>
      </c>
      <c r="M79">
        <f>D79/K79</f>
        <v/>
      </c>
      <c r="N79">
        <f>"("&amp;L79&amp;","&amp;M79&amp;")"</f>
        <v/>
      </c>
      <c r="O79">
        <f>(D79-A79)/E79</f>
        <v/>
      </c>
      <c r="P79">
        <f>V79/W79</f>
        <v/>
      </c>
      <c r="Q79">
        <f>A79</f>
        <v/>
      </c>
      <c r="R79">
        <f>D79</f>
        <v/>
      </c>
      <c r="S79">
        <f>A79</f>
        <v/>
      </c>
      <c r="T79">
        <f>2*A79+D79</f>
        <v/>
      </c>
      <c r="U79">
        <f>A79+2*D79</f>
        <v/>
      </c>
      <c r="V79">
        <f>8*(A79*(7117/768)+(D79-A79)*(1/64))</f>
        <v/>
      </c>
      <c r="W79">
        <f>4*E79*(7117/768)</f>
        <v/>
      </c>
      <c r="X79">
        <f>W79-V79</f>
        <v/>
      </c>
      <c r="Y79">
        <f>IF(P79&lt;1,"substrate-light / mass-heavy",IF(P79&gt;1,"substrate-heavy / mass-light","balanced"))</f>
        <v/>
      </c>
      <c r="Z79">
        <f>IF(F79="","",H79-IFERROR(VLOOKUP(A79, Observed_Lookup!A:G, 7, FALSE),""))</f>
        <v/>
      </c>
      <c r="AA79">
        <f>IF(Z79="","",Z79*931.49410242)</f>
        <v/>
      </c>
      <c r="AB79">
        <f>8*(A79+IF(F79="",D79,G79))-17*(A79+IF(F79="",D79,G79))^(2/3)-(3/4)*A79*(A79-1)/(A79+IF(F79="",D79,G79))^(1/3)-22*(IF(F79="",D79,G79)-A79)^2/(A79+IF(F79="",D79,G79))+7*IF(AND(MOD(A79,2)=0,MOD(IF(F79="",D79,G79),2)=0),1,IF(AND(MOD(A79,2)=1,MOD(IF(F79="",D79,G79),2)=1),-1,0))/SQRT((A79+IF(F79="",D79,G79)))-(25/4)*IF(AND((A79/GCD(A79,IF(F79="",D79,G79)))=1,(IF(F79="",D79,G79)/GCD(A79,IF(F79="",D79,G79)))=1),0,1)</f>
        <v/>
      </c>
      <c r="AC79">
        <f>IF(AA79="","",AA79-AB79)</f>
        <v/>
      </c>
      <c r="AD79">
        <f>IF(AND(A79&lt;=83,A79&lt;&gt;43,A79&lt;&gt;61),"clock-stable","clock-boundary")</f>
        <v/>
      </c>
      <c r="AE79" t="inlineStr">
        <is>
          <t>engine_diff_from_observed</t>
        </is>
      </c>
      <c r="AF79" t="inlineStr">
        <is>
          <t>engine anchor Pt-188 differs from observed most-abundant Pt-195</t>
        </is>
      </c>
    </row>
    <row r="80">
      <c r="A80" t="n">
        <v>79</v>
      </c>
      <c r="B80" t="inlineStr">
        <is>
          <t>Au</t>
        </is>
      </c>
      <c r="C80" t="inlineStr">
        <is>
          <t>Gold</t>
        </is>
      </c>
      <c r="D80">
        <f>A80 + INT(A80 * INT((A80-1)/12) / 12)</f>
        <v/>
      </c>
      <c r="E80">
        <f>A80+D80</f>
        <v/>
      </c>
      <c r="F80">
        <f>VLOOKUP(A80, Observed_Lookup!A:G, 4, FALSE)</f>
        <v/>
      </c>
      <c r="G80">
        <f>VLOOKUP(A80, Observed_Lookup!A:G, 5, FALSE)</f>
        <v/>
      </c>
      <c r="H80">
        <f>VLOOKUP(A80, Observed_Lookup!A:G, 6, FALSE)</f>
        <v/>
      </c>
      <c r="I80">
        <f>IF(F80="","",D80-G80)</f>
        <v/>
      </c>
      <c r="J80">
        <f>IF(F80="","",E80-H80)</f>
        <v/>
      </c>
      <c r="K80">
        <f>GCD(A80,D80)</f>
        <v/>
      </c>
      <c r="L80">
        <f>A80/K80</f>
        <v/>
      </c>
      <c r="M80">
        <f>D80/K80</f>
        <v/>
      </c>
      <c r="N80">
        <f>"("&amp;L80&amp;","&amp;M80&amp;")"</f>
        <v/>
      </c>
      <c r="O80">
        <f>(D80-A80)/E80</f>
        <v/>
      </c>
      <c r="P80">
        <f>V80/W80</f>
        <v/>
      </c>
      <c r="Q80">
        <f>A80</f>
        <v/>
      </c>
      <c r="R80">
        <f>D80</f>
        <v/>
      </c>
      <c r="S80">
        <f>A80</f>
        <v/>
      </c>
      <c r="T80">
        <f>2*A80+D80</f>
        <v/>
      </c>
      <c r="U80">
        <f>A80+2*D80</f>
        <v/>
      </c>
      <c r="V80">
        <f>8*(A80*(7117/768)+(D80-A80)*(1/64))</f>
        <v/>
      </c>
      <c r="W80">
        <f>4*E80*(7117/768)</f>
        <v/>
      </c>
      <c r="X80">
        <f>W80-V80</f>
        <v/>
      </c>
      <c r="Y80">
        <f>IF(P80&lt;1,"substrate-light / mass-heavy",IF(P80&gt;1,"substrate-heavy / mass-light","balanced"))</f>
        <v/>
      </c>
      <c r="Z80">
        <f>IF(F80="","",H80-IFERROR(VLOOKUP(A80, Observed_Lookup!A:G, 7, FALSE),""))</f>
        <v/>
      </c>
      <c r="AA80">
        <f>IF(Z80="","",Z80*931.49410242)</f>
        <v/>
      </c>
      <c r="AB80">
        <f>8*(A80+IF(F80="",D80,G80))-17*(A80+IF(F80="",D80,G80))^(2/3)-(3/4)*A80*(A80-1)/(A80+IF(F80="",D80,G80))^(1/3)-22*(IF(F80="",D80,G80)-A80)^2/(A80+IF(F80="",D80,G80))+7*IF(AND(MOD(A80,2)=0,MOD(IF(F80="",D80,G80),2)=0),1,IF(AND(MOD(A80,2)=1,MOD(IF(F80="",D80,G80),2)=1),-1,0))/SQRT((A80+IF(F80="",D80,G80)))-(25/4)*IF(AND((A80/GCD(A80,IF(F80="",D80,G80)))=1,(IF(F80="",D80,G80)/GCD(A80,IF(F80="",D80,G80)))=1),0,1)</f>
        <v/>
      </c>
      <c r="AC80">
        <f>IF(AA80="","",AA80-AB80)</f>
        <v/>
      </c>
      <c r="AD80">
        <f>IF(AND(A80&lt;=83,A80&lt;&gt;43,A80&lt;&gt;61),"clock-stable","clock-boundary")</f>
        <v/>
      </c>
      <c r="AE80" t="inlineStr">
        <is>
          <t>engine_matches_observed</t>
        </is>
      </c>
      <c r="AF80" t="inlineStr"/>
    </row>
    <row r="81">
      <c r="A81" t="n">
        <v>80</v>
      </c>
      <c r="B81" t="inlineStr">
        <is>
          <t>Hg</t>
        </is>
      </c>
      <c r="C81" t="inlineStr">
        <is>
          <t>Mercury</t>
        </is>
      </c>
      <c r="D81">
        <f>A81 + INT(A81 * INT((A81-1)/12) / 12)</f>
        <v/>
      </c>
      <c r="E81">
        <f>A81+D81</f>
        <v/>
      </c>
      <c r="F81">
        <f>VLOOKUP(A81, Observed_Lookup!A:G, 4, FALSE)</f>
        <v/>
      </c>
      <c r="G81">
        <f>VLOOKUP(A81, Observed_Lookup!A:G, 5, FALSE)</f>
        <v/>
      </c>
      <c r="H81">
        <f>VLOOKUP(A81, Observed_Lookup!A:G, 6, FALSE)</f>
        <v/>
      </c>
      <c r="I81">
        <f>IF(F81="","",D81-G81)</f>
        <v/>
      </c>
      <c r="J81">
        <f>IF(F81="","",E81-H81)</f>
        <v/>
      </c>
      <c r="K81">
        <f>GCD(A81,D81)</f>
        <v/>
      </c>
      <c r="L81">
        <f>A81/K81</f>
        <v/>
      </c>
      <c r="M81">
        <f>D81/K81</f>
        <v/>
      </c>
      <c r="N81">
        <f>"("&amp;L81&amp;","&amp;M81&amp;")"</f>
        <v/>
      </c>
      <c r="O81">
        <f>(D81-A81)/E81</f>
        <v/>
      </c>
      <c r="P81">
        <f>V81/W81</f>
        <v/>
      </c>
      <c r="Q81">
        <f>A81</f>
        <v/>
      </c>
      <c r="R81">
        <f>D81</f>
        <v/>
      </c>
      <c r="S81">
        <f>A81</f>
        <v/>
      </c>
      <c r="T81">
        <f>2*A81+D81</f>
        <v/>
      </c>
      <c r="U81">
        <f>A81+2*D81</f>
        <v/>
      </c>
      <c r="V81">
        <f>8*(A81*(7117/768)+(D81-A81)*(1/64))</f>
        <v/>
      </c>
      <c r="W81">
        <f>4*E81*(7117/768)</f>
        <v/>
      </c>
      <c r="X81">
        <f>W81-V81</f>
        <v/>
      </c>
      <c r="Y81">
        <f>IF(P81&lt;1,"substrate-light / mass-heavy",IF(P81&gt;1,"substrate-heavy / mass-light","balanced"))</f>
        <v/>
      </c>
      <c r="Z81">
        <f>IF(F81="","",H81-IFERROR(VLOOKUP(A81, Observed_Lookup!A:G, 7, FALSE),""))</f>
        <v/>
      </c>
      <c r="AA81">
        <f>IF(Z81="","",Z81*931.49410242)</f>
        <v/>
      </c>
      <c r="AB81">
        <f>8*(A81+IF(F81="",D81,G81))-17*(A81+IF(F81="",D81,G81))^(2/3)-(3/4)*A81*(A81-1)/(A81+IF(F81="",D81,G81))^(1/3)-22*(IF(F81="",D81,G81)-A81)^2/(A81+IF(F81="",D81,G81))+7*IF(AND(MOD(A81,2)=0,MOD(IF(F81="",D81,G81),2)=0),1,IF(AND(MOD(A81,2)=1,MOD(IF(F81="",D81,G81),2)=1),-1,0))/SQRT((A81+IF(F81="",D81,G81)))-(25/4)*IF(AND((A81/GCD(A81,IF(F81="",D81,G81)))=1,(IF(F81="",D81,G81)/GCD(A81,IF(F81="",D81,G81)))=1),0,1)</f>
        <v/>
      </c>
      <c r="AC81">
        <f>IF(AA81="","",AA81-AB81)</f>
        <v/>
      </c>
      <c r="AD81">
        <f>IF(AND(A81&lt;=83,A81&lt;&gt;43,A81&lt;&gt;61),"clock-stable","clock-boundary")</f>
        <v/>
      </c>
      <c r="AE81" t="inlineStr">
        <is>
          <t>engine_diff_from_observed</t>
        </is>
      </c>
      <c r="AF81" t="inlineStr">
        <is>
          <t>engine anchor Hg-206 differs from observed most-abundant Hg-202</t>
        </is>
      </c>
    </row>
    <row r="82">
      <c r="A82" t="n">
        <v>81</v>
      </c>
      <c r="B82" t="inlineStr">
        <is>
          <t>Tl</t>
        </is>
      </c>
      <c r="C82" t="inlineStr">
        <is>
          <t>Thallium</t>
        </is>
      </c>
      <c r="D82">
        <f>A82 + INT(A82 * INT((A82-1)/12) / 12)</f>
        <v/>
      </c>
      <c r="E82">
        <f>A82+D82</f>
        <v/>
      </c>
      <c r="F82">
        <f>VLOOKUP(A82, Observed_Lookup!A:G, 4, FALSE)</f>
        <v/>
      </c>
      <c r="G82">
        <f>VLOOKUP(A82, Observed_Lookup!A:G, 5, FALSE)</f>
        <v/>
      </c>
      <c r="H82">
        <f>VLOOKUP(A82, Observed_Lookup!A:G, 6, FALSE)</f>
        <v/>
      </c>
      <c r="I82">
        <f>IF(F82="","",D82-G82)</f>
        <v/>
      </c>
      <c r="J82">
        <f>IF(F82="","",E82-H82)</f>
        <v/>
      </c>
      <c r="K82">
        <f>GCD(A82,D82)</f>
        <v/>
      </c>
      <c r="L82">
        <f>A82/K82</f>
        <v/>
      </c>
      <c r="M82">
        <f>D82/K82</f>
        <v/>
      </c>
      <c r="N82">
        <f>"("&amp;L82&amp;","&amp;M82&amp;")"</f>
        <v/>
      </c>
      <c r="O82">
        <f>(D82-A82)/E82</f>
        <v/>
      </c>
      <c r="P82">
        <f>V82/W82</f>
        <v/>
      </c>
      <c r="Q82">
        <f>A82</f>
        <v/>
      </c>
      <c r="R82">
        <f>D82</f>
        <v/>
      </c>
      <c r="S82">
        <f>A82</f>
        <v/>
      </c>
      <c r="T82">
        <f>2*A82+D82</f>
        <v/>
      </c>
      <c r="U82">
        <f>A82+2*D82</f>
        <v/>
      </c>
      <c r="V82">
        <f>8*(A82*(7117/768)+(D82-A82)*(1/64))</f>
        <v/>
      </c>
      <c r="W82">
        <f>4*E82*(7117/768)</f>
        <v/>
      </c>
      <c r="X82">
        <f>W82-V82</f>
        <v/>
      </c>
      <c r="Y82">
        <f>IF(P82&lt;1,"substrate-light / mass-heavy",IF(P82&gt;1,"substrate-heavy / mass-light","balanced"))</f>
        <v/>
      </c>
      <c r="Z82">
        <f>IF(F82="","",H82-IFERROR(VLOOKUP(A82, Observed_Lookup!A:G, 7, FALSE),""))</f>
        <v/>
      </c>
      <c r="AA82">
        <f>IF(Z82="","",Z82*931.49410242)</f>
        <v/>
      </c>
      <c r="AB82">
        <f>8*(A82+IF(F82="",D82,G82))-17*(A82+IF(F82="",D82,G82))^(2/3)-(3/4)*A82*(A82-1)/(A82+IF(F82="",D82,G82))^(1/3)-22*(IF(F82="",D82,G82)-A82)^2/(A82+IF(F82="",D82,G82))+7*IF(AND(MOD(A82,2)=0,MOD(IF(F82="",D82,G82),2)=0),1,IF(AND(MOD(A82,2)=1,MOD(IF(F82="",D82,G82),2)=1),-1,0))/SQRT((A82+IF(F82="",D82,G82)))-(25/4)*IF(AND((A82/GCD(A82,IF(F82="",D82,G82)))=1,(IF(F82="",D82,G82)/GCD(A82,IF(F82="",D82,G82)))=1),0,1)</f>
        <v/>
      </c>
      <c r="AC82">
        <f>IF(AA82="","",AA82-AB82)</f>
        <v/>
      </c>
      <c r="AD82">
        <f>IF(AND(A82&lt;=83,A82&lt;&gt;43,A82&lt;&gt;61),"clock-stable","clock-boundary")</f>
        <v/>
      </c>
      <c r="AE82" t="inlineStr">
        <is>
          <t>engine_diff_from_observed</t>
        </is>
      </c>
      <c r="AF82" t="inlineStr">
        <is>
          <t>engine anchor Tl-216 differs from observed most-abundant Tl-205</t>
        </is>
      </c>
    </row>
    <row r="83">
      <c r="A83" t="n">
        <v>82</v>
      </c>
      <c r="B83" t="inlineStr">
        <is>
          <t>Pb</t>
        </is>
      </c>
      <c r="C83" t="inlineStr">
        <is>
          <t>Lead</t>
        </is>
      </c>
      <c r="D83">
        <f>A83 + INT(A83 * INT((A83-1)/12) / 12)</f>
        <v/>
      </c>
      <c r="E83">
        <f>A83+D83</f>
        <v/>
      </c>
      <c r="F83">
        <f>VLOOKUP(A83, Observed_Lookup!A:G, 4, FALSE)</f>
        <v/>
      </c>
      <c r="G83">
        <f>VLOOKUP(A83, Observed_Lookup!A:G, 5, FALSE)</f>
        <v/>
      </c>
      <c r="H83">
        <f>VLOOKUP(A83, Observed_Lookup!A:G, 6, FALSE)</f>
        <v/>
      </c>
      <c r="I83">
        <f>IF(F83="","",D83-G83)</f>
        <v/>
      </c>
      <c r="J83">
        <f>IF(F83="","",E83-H83)</f>
        <v/>
      </c>
      <c r="K83">
        <f>GCD(A83,D83)</f>
        <v/>
      </c>
      <c r="L83">
        <f>A83/K83</f>
        <v/>
      </c>
      <c r="M83">
        <f>D83/K83</f>
        <v/>
      </c>
      <c r="N83">
        <f>"("&amp;L83&amp;","&amp;M83&amp;")"</f>
        <v/>
      </c>
      <c r="O83">
        <f>(D83-A83)/E83</f>
        <v/>
      </c>
      <c r="P83">
        <f>V83/W83</f>
        <v/>
      </c>
      <c r="Q83">
        <f>A83</f>
        <v/>
      </c>
      <c r="R83">
        <f>D83</f>
        <v/>
      </c>
      <c r="S83">
        <f>A83</f>
        <v/>
      </c>
      <c r="T83">
        <f>2*A83+D83</f>
        <v/>
      </c>
      <c r="U83">
        <f>A83+2*D83</f>
        <v/>
      </c>
      <c r="V83">
        <f>8*(A83*(7117/768)+(D83-A83)*(1/64))</f>
        <v/>
      </c>
      <c r="W83">
        <f>4*E83*(7117/768)</f>
        <v/>
      </c>
      <c r="X83">
        <f>W83-V83</f>
        <v/>
      </c>
      <c r="Y83">
        <f>IF(P83&lt;1,"substrate-light / mass-heavy",IF(P83&gt;1,"substrate-heavy / mass-light","balanced"))</f>
        <v/>
      </c>
      <c r="Z83">
        <f>IF(F83="","",H83-IFERROR(VLOOKUP(A83, Observed_Lookup!A:G, 7, FALSE),""))</f>
        <v/>
      </c>
      <c r="AA83">
        <f>IF(Z83="","",Z83*931.49410242)</f>
        <v/>
      </c>
      <c r="AB83">
        <f>8*(A83+IF(F83="",D83,G83))-17*(A83+IF(F83="",D83,G83))^(2/3)-(3/4)*A83*(A83-1)/(A83+IF(F83="",D83,G83))^(1/3)-22*(IF(F83="",D83,G83)-A83)^2/(A83+IF(F83="",D83,G83))+7*IF(AND(MOD(A83,2)=0,MOD(IF(F83="",D83,G83),2)=0),1,IF(AND(MOD(A83,2)=1,MOD(IF(F83="",D83,G83),2)=1),-1,0))/SQRT((A83+IF(F83="",D83,G83)))-(25/4)*IF(AND((A83/GCD(A83,IF(F83="",D83,G83)))=1,(IF(F83="",D83,G83)/GCD(A83,IF(F83="",D83,G83)))=1),0,1)</f>
        <v/>
      </c>
      <c r="AC83">
        <f>IF(AA83="","",AA83-AB83)</f>
        <v/>
      </c>
      <c r="AD83">
        <f>IF(AND(A83&lt;=83,A83&lt;&gt;43,A83&lt;&gt;61),"clock-stable","clock-boundary")</f>
        <v/>
      </c>
      <c r="AE83" t="inlineStr">
        <is>
          <t>engine_diff_from_observed</t>
        </is>
      </c>
      <c r="AF83" t="inlineStr">
        <is>
          <t>engine anchor Pb-225 differs from observed most-abundant Pb-208</t>
        </is>
      </c>
    </row>
    <row r="84">
      <c r="A84" t="n">
        <v>83</v>
      </c>
      <c r="B84" t="inlineStr">
        <is>
          <t>Bi</t>
        </is>
      </c>
      <c r="C84" t="inlineStr">
        <is>
          <t>Bismuth</t>
        </is>
      </c>
      <c r="D84">
        <f>A84 + INT(A84 * INT((A84-1)/12) / 12)</f>
        <v/>
      </c>
      <c r="E84">
        <f>A84+D84</f>
        <v/>
      </c>
      <c r="F84">
        <f>VLOOKUP(A84, Observed_Lookup!A:G, 4, FALSE)</f>
        <v/>
      </c>
      <c r="G84">
        <f>VLOOKUP(A84, Observed_Lookup!A:G, 5, FALSE)</f>
        <v/>
      </c>
      <c r="H84">
        <f>VLOOKUP(A84, Observed_Lookup!A:G, 6, FALSE)</f>
        <v/>
      </c>
      <c r="I84">
        <f>IF(F84="","",D84-G84)</f>
        <v/>
      </c>
      <c r="J84">
        <f>IF(F84="","",E84-H84)</f>
        <v/>
      </c>
      <c r="K84">
        <f>GCD(A84,D84)</f>
        <v/>
      </c>
      <c r="L84">
        <f>A84/K84</f>
        <v/>
      </c>
      <c r="M84">
        <f>D84/K84</f>
        <v/>
      </c>
      <c r="N84">
        <f>"("&amp;L84&amp;","&amp;M84&amp;")"</f>
        <v/>
      </c>
      <c r="O84">
        <f>(D84-A84)/E84</f>
        <v/>
      </c>
      <c r="P84">
        <f>V84/W84</f>
        <v/>
      </c>
      <c r="Q84">
        <f>A84</f>
        <v/>
      </c>
      <c r="R84">
        <f>D84</f>
        <v/>
      </c>
      <c r="S84">
        <f>A84</f>
        <v/>
      </c>
      <c r="T84">
        <f>2*A84+D84</f>
        <v/>
      </c>
      <c r="U84">
        <f>A84+2*D84</f>
        <v/>
      </c>
      <c r="V84">
        <f>8*(A84*(7117/768)+(D84-A84)*(1/64))</f>
        <v/>
      </c>
      <c r="W84">
        <f>4*E84*(7117/768)</f>
        <v/>
      </c>
      <c r="X84">
        <f>W84-V84</f>
        <v/>
      </c>
      <c r="Y84">
        <f>IF(P84&lt;1,"substrate-light / mass-heavy",IF(P84&gt;1,"substrate-heavy / mass-light","balanced"))</f>
        <v/>
      </c>
      <c r="Z84">
        <f>IF(F84="","",H84-IFERROR(VLOOKUP(A84, Observed_Lookup!A:G, 7, FALSE),""))</f>
        <v/>
      </c>
      <c r="AA84">
        <f>IF(Z84="","",Z84*931.49410242)</f>
        <v/>
      </c>
      <c r="AB84">
        <f>8*(A84+IF(F84="",D84,G84))-17*(A84+IF(F84="",D84,G84))^(2/3)-(3/4)*A84*(A84-1)/(A84+IF(F84="",D84,G84))^(1/3)-22*(IF(F84="",D84,G84)-A84)^2/(A84+IF(F84="",D84,G84))+7*IF(AND(MOD(A84,2)=0,MOD(IF(F84="",D84,G84),2)=0),1,IF(AND(MOD(A84,2)=1,MOD(IF(F84="",D84,G84),2)=1),-1,0))/SQRT((A84+IF(F84="",D84,G84)))-(25/4)*IF(AND((A84/GCD(A84,IF(F84="",D84,G84)))=1,(IF(F84="",D84,G84)/GCD(A84,IF(F84="",D84,G84)))=1),0,1)</f>
        <v/>
      </c>
      <c r="AC84">
        <f>IF(AA84="","",AA84-AB84)</f>
        <v/>
      </c>
      <c r="AD84">
        <f>IF(AND(A84&lt;=83,A84&lt;&gt;43,A84&lt;&gt;61),"clock-stable","clock-boundary")</f>
        <v/>
      </c>
      <c r="AE84" t="inlineStr">
        <is>
          <t>engine_diff_from_observed</t>
        </is>
      </c>
      <c r="AF84" t="inlineStr">
        <is>
          <t>engine anchor Bi-235 differs from observed most-abundant Bi-209</t>
        </is>
      </c>
    </row>
    <row r="85">
      <c r="A85" t="n">
        <v>84</v>
      </c>
      <c r="B85" t="inlineStr">
        <is>
          <t>Po</t>
        </is>
      </c>
      <c r="C85" t="inlineStr">
        <is>
          <t>Polonium</t>
        </is>
      </c>
      <c r="D85">
        <f>A85 + INT(A85 * INT((A85-1)/12) / 12)</f>
        <v/>
      </c>
      <c r="E85">
        <f>A85+D85</f>
        <v/>
      </c>
      <c r="F85">
        <f>VLOOKUP(A85, Observed_Lookup!A:G, 4, FALSE)</f>
        <v/>
      </c>
      <c r="G85">
        <f>VLOOKUP(A85, Observed_Lookup!A:G, 5, FALSE)</f>
        <v/>
      </c>
      <c r="H85">
        <f>VLOOKUP(A85, Observed_Lookup!A:G, 6, FALSE)</f>
        <v/>
      </c>
      <c r="I85">
        <f>IF(F85="","",D85-G85)</f>
        <v/>
      </c>
      <c r="J85">
        <f>IF(F85="","",E85-H85)</f>
        <v/>
      </c>
      <c r="K85">
        <f>GCD(A85,D85)</f>
        <v/>
      </c>
      <c r="L85">
        <f>A85/K85</f>
        <v/>
      </c>
      <c r="M85">
        <f>D85/K85</f>
        <v/>
      </c>
      <c r="N85">
        <f>"("&amp;L85&amp;","&amp;M85&amp;")"</f>
        <v/>
      </c>
      <c r="O85">
        <f>(D85-A85)/E85</f>
        <v/>
      </c>
      <c r="P85">
        <f>V85/W85</f>
        <v/>
      </c>
      <c r="Q85">
        <f>A85</f>
        <v/>
      </c>
      <c r="R85">
        <f>D85</f>
        <v/>
      </c>
      <c r="S85">
        <f>A85</f>
        <v/>
      </c>
      <c r="T85">
        <f>2*A85+D85</f>
        <v/>
      </c>
      <c r="U85">
        <f>A85+2*D85</f>
        <v/>
      </c>
      <c r="V85">
        <f>8*(A85*(7117/768)+(D85-A85)*(1/64))</f>
        <v/>
      </c>
      <c r="W85">
        <f>4*E85*(7117/768)</f>
        <v/>
      </c>
      <c r="X85">
        <f>W85-V85</f>
        <v/>
      </c>
      <c r="Y85">
        <f>IF(P85&lt;1,"substrate-light / mass-heavy",IF(P85&gt;1,"substrate-heavy / mass-light","balanced"))</f>
        <v/>
      </c>
      <c r="Z85">
        <f>IF(F85="","",H85-IFERROR(VLOOKUP(A85, Observed_Lookup!A:G, 7, FALSE),""))</f>
        <v/>
      </c>
      <c r="AA85">
        <f>IF(Z85="","",Z85*931.49410242)</f>
        <v/>
      </c>
      <c r="AB85">
        <f>8*(A85+IF(F85="",D85,G85))-17*(A85+IF(F85="",D85,G85))^(2/3)-(3/4)*A85*(A85-1)/(A85+IF(F85="",D85,G85))^(1/3)-22*(IF(F85="",D85,G85)-A85)^2/(A85+IF(F85="",D85,G85))+7*IF(AND(MOD(A85,2)=0,MOD(IF(F85="",D85,G85),2)=0),1,IF(AND(MOD(A85,2)=1,MOD(IF(F85="",D85,G85),2)=1),-1,0))/SQRT((A85+IF(F85="",D85,G85)))-(25/4)*IF(AND((A85/GCD(A85,IF(F85="",D85,G85)))=1,(IF(F85="",D85,G85)/GCD(A85,IF(F85="",D85,G85)))=1),0,1)</f>
        <v/>
      </c>
      <c r="AC85">
        <f>IF(AA85="","",AA85-AB85)</f>
        <v/>
      </c>
      <c r="AD85">
        <f>IF(AND(A85&lt;=83,A85&lt;&gt;43,A85&lt;&gt;61),"clock-stable","clock-boundary")</f>
        <v/>
      </c>
      <c r="AE85" t="inlineStr">
        <is>
          <t>engine_diff_from_observed</t>
        </is>
      </c>
      <c r="AF85" t="inlineStr">
        <is>
          <t>engine anchor Po-245 differs from observed most-abundant Po-209</t>
        </is>
      </c>
    </row>
    <row r="86">
      <c r="A86" t="n">
        <v>85</v>
      </c>
      <c r="B86" t="inlineStr">
        <is>
          <t>At</t>
        </is>
      </c>
      <c r="C86" t="inlineStr">
        <is>
          <t>Astatine</t>
        </is>
      </c>
      <c r="D86">
        <f>A86 + INT(A86 * INT((A86-1)/12) / 12)</f>
        <v/>
      </c>
      <c r="E86">
        <f>A86+D86</f>
        <v/>
      </c>
      <c r="F86">
        <f>VLOOKUP(A86, Observed_Lookup!A:G, 4, FALSE)</f>
        <v/>
      </c>
      <c r="G86">
        <f>VLOOKUP(A86, Observed_Lookup!A:G, 5, FALSE)</f>
        <v/>
      </c>
      <c r="H86">
        <f>VLOOKUP(A86, Observed_Lookup!A:G, 6, FALSE)</f>
        <v/>
      </c>
      <c r="I86">
        <f>IF(F86="","",D86-G86)</f>
        <v/>
      </c>
      <c r="J86">
        <f>IF(F86="","",E86-H86)</f>
        <v/>
      </c>
      <c r="K86">
        <f>GCD(A86,D86)</f>
        <v/>
      </c>
      <c r="L86">
        <f>A86/K86</f>
        <v/>
      </c>
      <c r="M86">
        <f>D86/K86</f>
        <v/>
      </c>
      <c r="N86">
        <f>"("&amp;L86&amp;","&amp;M86&amp;")"</f>
        <v/>
      </c>
      <c r="O86">
        <f>(D86-A86)/E86</f>
        <v/>
      </c>
      <c r="P86">
        <f>V86/W86</f>
        <v/>
      </c>
      <c r="Q86">
        <f>A86</f>
        <v/>
      </c>
      <c r="R86">
        <f>D86</f>
        <v/>
      </c>
      <c r="S86">
        <f>A86</f>
        <v/>
      </c>
      <c r="T86">
        <f>2*A86+D86</f>
        <v/>
      </c>
      <c r="U86">
        <f>A86+2*D86</f>
        <v/>
      </c>
      <c r="V86">
        <f>8*(A86*(7117/768)+(D86-A86)*(1/64))</f>
        <v/>
      </c>
      <c r="W86">
        <f>4*E86*(7117/768)</f>
        <v/>
      </c>
      <c r="X86">
        <f>W86-V86</f>
        <v/>
      </c>
      <c r="Y86">
        <f>IF(P86&lt;1,"substrate-light / mass-heavy",IF(P86&gt;1,"substrate-heavy / mass-light","balanced"))</f>
        <v/>
      </c>
      <c r="Z86">
        <f>IF(F86="","",H86-IFERROR(VLOOKUP(A86, Observed_Lookup!A:G, 7, FALSE),""))</f>
        <v/>
      </c>
      <c r="AA86">
        <f>IF(Z86="","",Z86*931.49410242)</f>
        <v/>
      </c>
      <c r="AB86">
        <f>8*(A86+IF(F86="",D86,G86))-17*(A86+IF(F86="",D86,G86))^(2/3)-(3/4)*A86*(A86-1)/(A86+IF(F86="",D86,G86))^(1/3)-22*(IF(F86="",D86,G86)-A86)^2/(A86+IF(F86="",D86,G86))+7*IF(AND(MOD(A86,2)=0,MOD(IF(F86="",D86,G86),2)=0),1,IF(AND(MOD(A86,2)=1,MOD(IF(F86="",D86,G86),2)=1),-1,0))/SQRT((A86+IF(F86="",D86,G86)))-(25/4)*IF(AND((A86/GCD(A86,IF(F86="",D86,G86)))=1,(IF(F86="",D86,G86)/GCD(A86,IF(F86="",D86,G86)))=1),0,1)</f>
        <v/>
      </c>
      <c r="AC86">
        <f>IF(AA86="","",AA86-AB86)</f>
        <v/>
      </c>
      <c r="AD86">
        <f>IF(AND(A86&lt;=83,A86&lt;&gt;43,A86&lt;&gt;61),"clock-stable","clock-boundary")</f>
        <v/>
      </c>
      <c r="AE86" t="inlineStr">
        <is>
          <t>engine_diff_from_observed</t>
        </is>
      </c>
      <c r="AF86" t="inlineStr">
        <is>
          <t>engine anchor At-170 differs from observed most-abundant At-210</t>
        </is>
      </c>
    </row>
    <row r="87">
      <c r="A87" t="n">
        <v>86</v>
      </c>
      <c r="B87" t="inlineStr">
        <is>
          <t>Rn</t>
        </is>
      </c>
      <c r="C87" t="inlineStr">
        <is>
          <t>Radon</t>
        </is>
      </c>
      <c r="D87">
        <f>A87 + INT(A87 * INT((A87-1)/12) / 12)</f>
        <v/>
      </c>
      <c r="E87">
        <f>A87+D87</f>
        <v/>
      </c>
      <c r="F87">
        <f>VLOOKUP(A87, Observed_Lookup!A:G, 4, FALSE)</f>
        <v/>
      </c>
      <c r="G87">
        <f>VLOOKUP(A87, Observed_Lookup!A:G, 5, FALSE)</f>
        <v/>
      </c>
      <c r="H87">
        <f>VLOOKUP(A87, Observed_Lookup!A:G, 6, FALSE)</f>
        <v/>
      </c>
      <c r="I87">
        <f>IF(F87="","",D87-G87)</f>
        <v/>
      </c>
      <c r="J87">
        <f>IF(F87="","",E87-H87)</f>
        <v/>
      </c>
      <c r="K87">
        <f>GCD(A87,D87)</f>
        <v/>
      </c>
      <c r="L87">
        <f>A87/K87</f>
        <v/>
      </c>
      <c r="M87">
        <f>D87/K87</f>
        <v/>
      </c>
      <c r="N87">
        <f>"("&amp;L87&amp;","&amp;M87&amp;")"</f>
        <v/>
      </c>
      <c r="O87">
        <f>(D87-A87)/E87</f>
        <v/>
      </c>
      <c r="P87">
        <f>V87/W87</f>
        <v/>
      </c>
      <c r="Q87">
        <f>A87</f>
        <v/>
      </c>
      <c r="R87">
        <f>D87</f>
        <v/>
      </c>
      <c r="S87">
        <f>A87</f>
        <v/>
      </c>
      <c r="T87">
        <f>2*A87+D87</f>
        <v/>
      </c>
      <c r="U87">
        <f>A87+2*D87</f>
        <v/>
      </c>
      <c r="V87">
        <f>8*(A87*(7117/768)+(D87-A87)*(1/64))</f>
        <v/>
      </c>
      <c r="W87">
        <f>4*E87*(7117/768)</f>
        <v/>
      </c>
      <c r="X87">
        <f>W87-V87</f>
        <v/>
      </c>
      <c r="Y87">
        <f>IF(P87&lt;1,"substrate-light / mass-heavy",IF(P87&gt;1,"substrate-heavy / mass-light","balanced"))</f>
        <v/>
      </c>
      <c r="Z87">
        <f>IF(F87="","",H87-IFERROR(VLOOKUP(A87, Observed_Lookup!A:G, 7, FALSE),""))</f>
        <v/>
      </c>
      <c r="AA87">
        <f>IF(Z87="","",Z87*931.49410242)</f>
        <v/>
      </c>
      <c r="AB87">
        <f>8*(A87+IF(F87="",D87,G87))-17*(A87+IF(F87="",D87,G87))^(2/3)-(3/4)*A87*(A87-1)/(A87+IF(F87="",D87,G87))^(1/3)-22*(IF(F87="",D87,G87)-A87)^2/(A87+IF(F87="",D87,G87))+7*IF(AND(MOD(A87,2)=0,MOD(IF(F87="",D87,G87),2)=0),1,IF(AND(MOD(A87,2)=1,MOD(IF(F87="",D87,G87),2)=1),-1,0))/SQRT((A87+IF(F87="",D87,G87)))-(25/4)*IF(AND((A87/GCD(A87,IF(F87="",D87,G87)))=1,(IF(F87="",D87,G87)/GCD(A87,IF(F87="",D87,G87)))=1),0,1)</f>
        <v/>
      </c>
      <c r="AC87">
        <f>IF(AA87="","",AA87-AB87)</f>
        <v/>
      </c>
      <c r="AD87">
        <f>IF(AND(A87&lt;=83,A87&lt;&gt;43,A87&lt;&gt;61),"clock-stable","clock-boundary")</f>
        <v/>
      </c>
      <c r="AE87" t="inlineStr">
        <is>
          <t>engine_diff_from_observed</t>
        </is>
      </c>
      <c r="AF87" t="inlineStr">
        <is>
          <t>engine anchor Rn-179 differs from observed most-abundant Rn-222</t>
        </is>
      </c>
    </row>
    <row r="88">
      <c r="A88" t="n">
        <v>87</v>
      </c>
      <c r="B88" t="inlineStr">
        <is>
          <t>Fr</t>
        </is>
      </c>
      <c r="C88" t="inlineStr">
        <is>
          <t>Francium</t>
        </is>
      </c>
      <c r="D88">
        <f>A88 + INT(A88 * INT((A88-1)/12) / 12)</f>
        <v/>
      </c>
      <c r="E88">
        <f>A88+D88</f>
        <v/>
      </c>
      <c r="F88">
        <f>VLOOKUP(A88, Observed_Lookup!A:G, 4, FALSE)</f>
        <v/>
      </c>
      <c r="G88">
        <f>VLOOKUP(A88, Observed_Lookup!A:G, 5, FALSE)</f>
        <v/>
      </c>
      <c r="H88">
        <f>VLOOKUP(A88, Observed_Lookup!A:G, 6, FALSE)</f>
        <v/>
      </c>
      <c r="I88">
        <f>IF(F88="","",D88-G88)</f>
        <v/>
      </c>
      <c r="J88">
        <f>IF(F88="","",E88-H88)</f>
        <v/>
      </c>
      <c r="K88">
        <f>GCD(A88,D88)</f>
        <v/>
      </c>
      <c r="L88">
        <f>A88/K88</f>
        <v/>
      </c>
      <c r="M88">
        <f>D88/K88</f>
        <v/>
      </c>
      <c r="N88">
        <f>"("&amp;L88&amp;","&amp;M88&amp;")"</f>
        <v/>
      </c>
      <c r="O88">
        <f>(D88-A88)/E88</f>
        <v/>
      </c>
      <c r="P88">
        <f>V88/W88</f>
        <v/>
      </c>
      <c r="Q88">
        <f>A88</f>
        <v/>
      </c>
      <c r="R88">
        <f>D88</f>
        <v/>
      </c>
      <c r="S88">
        <f>A88</f>
        <v/>
      </c>
      <c r="T88">
        <f>2*A88+D88</f>
        <v/>
      </c>
      <c r="U88">
        <f>A88+2*D88</f>
        <v/>
      </c>
      <c r="V88">
        <f>8*(A88*(7117/768)+(D88-A88)*(1/64))</f>
        <v/>
      </c>
      <c r="W88">
        <f>4*E88*(7117/768)</f>
        <v/>
      </c>
      <c r="X88">
        <f>W88-V88</f>
        <v/>
      </c>
      <c r="Y88">
        <f>IF(P88&lt;1,"substrate-light / mass-heavy",IF(P88&gt;1,"substrate-heavy / mass-light","balanced"))</f>
        <v/>
      </c>
      <c r="Z88">
        <f>IF(F88="","",H88-IFERROR(VLOOKUP(A88, Observed_Lookup!A:G, 7, FALSE),""))</f>
        <v/>
      </c>
      <c r="AA88">
        <f>IF(Z88="","",Z88*931.49410242)</f>
        <v/>
      </c>
      <c r="AB88">
        <f>8*(A88+IF(F88="",D88,G88))-17*(A88+IF(F88="",D88,G88))^(2/3)-(3/4)*A88*(A88-1)/(A88+IF(F88="",D88,G88))^(1/3)-22*(IF(F88="",D88,G88)-A88)^2/(A88+IF(F88="",D88,G88))+7*IF(AND(MOD(A88,2)=0,MOD(IF(F88="",D88,G88),2)=0),1,IF(AND(MOD(A88,2)=1,MOD(IF(F88="",D88,G88),2)=1),-1,0))/SQRT((A88+IF(F88="",D88,G88)))-(25/4)*IF(AND((A88/GCD(A88,IF(F88="",D88,G88)))=1,(IF(F88="",D88,G88)/GCD(A88,IF(F88="",D88,G88)))=1),0,1)</f>
        <v/>
      </c>
      <c r="AC88">
        <f>IF(AA88="","",AA88-AB88)</f>
        <v/>
      </c>
      <c r="AD88">
        <f>IF(AND(A88&lt;=83,A88&lt;&gt;43,A88&lt;&gt;61),"clock-stable","clock-boundary")</f>
        <v/>
      </c>
      <c r="AE88" t="inlineStr">
        <is>
          <t>engine_diff_from_observed</t>
        </is>
      </c>
      <c r="AF88" t="inlineStr">
        <is>
          <t>engine anchor Fr-188 differs from observed most-abundant Fr-223</t>
        </is>
      </c>
    </row>
    <row r="89">
      <c r="A89" t="n">
        <v>88</v>
      </c>
      <c r="B89" t="inlineStr">
        <is>
          <t>Ra</t>
        </is>
      </c>
      <c r="C89" t="inlineStr">
        <is>
          <t>Radium</t>
        </is>
      </c>
      <c r="D89">
        <f>A89 + INT(A89 * INT((A89-1)/12) / 12)</f>
        <v/>
      </c>
      <c r="E89">
        <f>A89+D89</f>
        <v/>
      </c>
      <c r="F89">
        <f>VLOOKUP(A89, Observed_Lookup!A:G, 4, FALSE)</f>
        <v/>
      </c>
      <c r="G89">
        <f>VLOOKUP(A89, Observed_Lookup!A:G, 5, FALSE)</f>
        <v/>
      </c>
      <c r="H89">
        <f>VLOOKUP(A89, Observed_Lookup!A:G, 6, FALSE)</f>
        <v/>
      </c>
      <c r="I89">
        <f>IF(F89="","",D89-G89)</f>
        <v/>
      </c>
      <c r="J89">
        <f>IF(F89="","",E89-H89)</f>
        <v/>
      </c>
      <c r="K89">
        <f>GCD(A89,D89)</f>
        <v/>
      </c>
      <c r="L89">
        <f>A89/K89</f>
        <v/>
      </c>
      <c r="M89">
        <f>D89/K89</f>
        <v/>
      </c>
      <c r="N89">
        <f>"("&amp;L89&amp;","&amp;M89&amp;")"</f>
        <v/>
      </c>
      <c r="O89">
        <f>(D89-A89)/E89</f>
        <v/>
      </c>
      <c r="P89">
        <f>V89/W89</f>
        <v/>
      </c>
      <c r="Q89">
        <f>A89</f>
        <v/>
      </c>
      <c r="R89">
        <f>D89</f>
        <v/>
      </c>
      <c r="S89">
        <f>A89</f>
        <v/>
      </c>
      <c r="T89">
        <f>2*A89+D89</f>
        <v/>
      </c>
      <c r="U89">
        <f>A89+2*D89</f>
        <v/>
      </c>
      <c r="V89">
        <f>8*(A89*(7117/768)+(D89-A89)*(1/64))</f>
        <v/>
      </c>
      <c r="W89">
        <f>4*E89*(7117/768)</f>
        <v/>
      </c>
      <c r="X89">
        <f>W89-V89</f>
        <v/>
      </c>
      <c r="Y89">
        <f>IF(P89&lt;1,"substrate-light / mass-heavy",IF(P89&gt;1,"substrate-heavy / mass-light","balanced"))</f>
        <v/>
      </c>
      <c r="Z89">
        <f>IF(F89="","",H89-IFERROR(VLOOKUP(A89, Observed_Lookup!A:G, 7, FALSE),""))</f>
        <v/>
      </c>
      <c r="AA89">
        <f>IF(Z89="","",Z89*931.49410242)</f>
        <v/>
      </c>
      <c r="AB89">
        <f>8*(A89+IF(F89="",D89,G89))-17*(A89+IF(F89="",D89,G89))^(2/3)-(3/4)*A89*(A89-1)/(A89+IF(F89="",D89,G89))^(1/3)-22*(IF(F89="",D89,G89)-A89)^2/(A89+IF(F89="",D89,G89))+7*IF(AND(MOD(A89,2)=0,MOD(IF(F89="",D89,G89),2)=0),1,IF(AND(MOD(A89,2)=1,MOD(IF(F89="",D89,G89),2)=1),-1,0))/SQRT((A89+IF(F89="",D89,G89)))-(25/4)*IF(AND((A89/GCD(A89,IF(F89="",D89,G89)))=1,(IF(F89="",D89,G89)/GCD(A89,IF(F89="",D89,G89)))=1),0,1)</f>
        <v/>
      </c>
      <c r="AC89">
        <f>IF(AA89="","",AA89-AB89)</f>
        <v/>
      </c>
      <c r="AD89">
        <f>IF(AND(A89&lt;=83,A89&lt;&gt;43,A89&lt;&gt;61),"clock-stable","clock-boundary")</f>
        <v/>
      </c>
      <c r="AE89" t="inlineStr">
        <is>
          <t>engine_diff_from_observed</t>
        </is>
      </c>
      <c r="AF89" t="inlineStr">
        <is>
          <t>engine anchor Ra-198 differs from observed most-abundant Ra-226</t>
        </is>
      </c>
    </row>
    <row r="90">
      <c r="A90" t="n">
        <v>89</v>
      </c>
      <c r="B90" t="inlineStr">
        <is>
          <t>Ac</t>
        </is>
      </c>
      <c r="C90" t="inlineStr">
        <is>
          <t>Actinium</t>
        </is>
      </c>
      <c r="D90">
        <f>A90 + INT(A90 * INT((A90-1)/12) / 12)</f>
        <v/>
      </c>
      <c r="E90">
        <f>A90+D90</f>
        <v/>
      </c>
      <c r="F90">
        <f>VLOOKUP(A90, Observed_Lookup!A:G, 4, FALSE)</f>
        <v/>
      </c>
      <c r="G90">
        <f>VLOOKUP(A90, Observed_Lookup!A:G, 5, FALSE)</f>
        <v/>
      </c>
      <c r="H90">
        <f>VLOOKUP(A90, Observed_Lookup!A:G, 6, FALSE)</f>
        <v/>
      </c>
      <c r="I90">
        <f>IF(F90="","",D90-G90)</f>
        <v/>
      </c>
      <c r="J90">
        <f>IF(F90="","",E90-H90)</f>
        <v/>
      </c>
      <c r="K90">
        <f>GCD(A90,D90)</f>
        <v/>
      </c>
      <c r="L90">
        <f>A90/K90</f>
        <v/>
      </c>
      <c r="M90">
        <f>D90/K90</f>
        <v/>
      </c>
      <c r="N90">
        <f>"("&amp;L90&amp;","&amp;M90&amp;")"</f>
        <v/>
      </c>
      <c r="O90">
        <f>(D90-A90)/E90</f>
        <v/>
      </c>
      <c r="P90">
        <f>V90/W90</f>
        <v/>
      </c>
      <c r="Q90">
        <f>A90</f>
        <v/>
      </c>
      <c r="R90">
        <f>D90</f>
        <v/>
      </c>
      <c r="S90">
        <f>A90</f>
        <v/>
      </c>
      <c r="T90">
        <f>2*A90+D90</f>
        <v/>
      </c>
      <c r="U90">
        <f>A90+2*D90</f>
        <v/>
      </c>
      <c r="V90">
        <f>8*(A90*(7117/768)+(D90-A90)*(1/64))</f>
        <v/>
      </c>
      <c r="W90">
        <f>4*E90*(7117/768)</f>
        <v/>
      </c>
      <c r="X90">
        <f>W90-V90</f>
        <v/>
      </c>
      <c r="Y90">
        <f>IF(P90&lt;1,"substrate-light / mass-heavy",IF(P90&gt;1,"substrate-heavy / mass-light","balanced"))</f>
        <v/>
      </c>
      <c r="Z90">
        <f>IF(F90="","",H90-IFERROR(VLOOKUP(A90, Observed_Lookup!A:G, 7, FALSE),""))</f>
        <v/>
      </c>
      <c r="AA90">
        <f>IF(Z90="","",Z90*931.49410242)</f>
        <v/>
      </c>
      <c r="AB90">
        <f>8*(A90+IF(F90="",D90,G90))-17*(A90+IF(F90="",D90,G90))^(2/3)-(3/4)*A90*(A90-1)/(A90+IF(F90="",D90,G90))^(1/3)-22*(IF(F90="",D90,G90)-A90)^2/(A90+IF(F90="",D90,G90))+7*IF(AND(MOD(A90,2)=0,MOD(IF(F90="",D90,G90),2)=0),1,IF(AND(MOD(A90,2)=1,MOD(IF(F90="",D90,G90),2)=1),-1,0))/SQRT((A90+IF(F90="",D90,G90)))-(25/4)*IF(AND((A90/GCD(A90,IF(F90="",D90,G90)))=1,(IF(F90="",D90,G90)/GCD(A90,IF(F90="",D90,G90)))=1),0,1)</f>
        <v/>
      </c>
      <c r="AC90">
        <f>IF(AA90="","",AA90-AB90)</f>
        <v/>
      </c>
      <c r="AD90">
        <f>IF(AND(A90&lt;=83,A90&lt;&gt;43,A90&lt;&gt;61),"clock-stable","clock-boundary")</f>
        <v/>
      </c>
      <c r="AE90" t="inlineStr">
        <is>
          <t>engine_diff_from_observed</t>
        </is>
      </c>
      <c r="AF90" t="inlineStr">
        <is>
          <t>engine anchor Ac-207 differs from observed most-abundant Ac-227</t>
        </is>
      </c>
    </row>
    <row r="91">
      <c r="A91" t="n">
        <v>90</v>
      </c>
      <c r="B91" t="inlineStr">
        <is>
          <t>Th</t>
        </is>
      </c>
      <c r="C91" t="inlineStr">
        <is>
          <t>Thorium</t>
        </is>
      </c>
      <c r="D91">
        <f>A91 + INT(A91 * INT((A91-1)/12) / 12)</f>
        <v/>
      </c>
      <c r="E91">
        <f>A91+D91</f>
        <v/>
      </c>
      <c r="F91">
        <f>VLOOKUP(A91, Observed_Lookup!A:G, 4, FALSE)</f>
        <v/>
      </c>
      <c r="G91">
        <f>VLOOKUP(A91, Observed_Lookup!A:G, 5, FALSE)</f>
        <v/>
      </c>
      <c r="H91">
        <f>VLOOKUP(A91, Observed_Lookup!A:G, 6, FALSE)</f>
        <v/>
      </c>
      <c r="I91">
        <f>IF(F91="","",D91-G91)</f>
        <v/>
      </c>
      <c r="J91">
        <f>IF(F91="","",E91-H91)</f>
        <v/>
      </c>
      <c r="K91">
        <f>GCD(A91,D91)</f>
        <v/>
      </c>
      <c r="L91">
        <f>A91/K91</f>
        <v/>
      </c>
      <c r="M91">
        <f>D91/K91</f>
        <v/>
      </c>
      <c r="N91">
        <f>"("&amp;L91&amp;","&amp;M91&amp;")"</f>
        <v/>
      </c>
      <c r="O91">
        <f>(D91-A91)/E91</f>
        <v/>
      </c>
      <c r="P91">
        <f>V91/W91</f>
        <v/>
      </c>
      <c r="Q91">
        <f>A91</f>
        <v/>
      </c>
      <c r="R91">
        <f>D91</f>
        <v/>
      </c>
      <c r="S91">
        <f>A91</f>
        <v/>
      </c>
      <c r="T91">
        <f>2*A91+D91</f>
        <v/>
      </c>
      <c r="U91">
        <f>A91+2*D91</f>
        <v/>
      </c>
      <c r="V91">
        <f>8*(A91*(7117/768)+(D91-A91)*(1/64))</f>
        <v/>
      </c>
      <c r="W91">
        <f>4*E91*(7117/768)</f>
        <v/>
      </c>
      <c r="X91">
        <f>W91-V91</f>
        <v/>
      </c>
      <c r="Y91">
        <f>IF(P91&lt;1,"substrate-light / mass-heavy",IF(P91&gt;1,"substrate-heavy / mass-light","balanced"))</f>
        <v/>
      </c>
      <c r="Z91">
        <f>IF(F91="","",H91-IFERROR(VLOOKUP(A91, Observed_Lookup!A:G, 7, FALSE),""))</f>
        <v/>
      </c>
      <c r="AA91">
        <f>IF(Z91="","",Z91*931.49410242)</f>
        <v/>
      </c>
      <c r="AB91">
        <f>8*(A91+IF(F91="",D91,G91))-17*(A91+IF(F91="",D91,G91))^(2/3)-(3/4)*A91*(A91-1)/(A91+IF(F91="",D91,G91))^(1/3)-22*(IF(F91="",D91,G91)-A91)^2/(A91+IF(F91="",D91,G91))+7*IF(AND(MOD(A91,2)=0,MOD(IF(F91="",D91,G91),2)=0),1,IF(AND(MOD(A91,2)=1,MOD(IF(F91="",D91,G91),2)=1),-1,0))/SQRT((A91+IF(F91="",D91,G91)))-(25/4)*IF(AND((A91/GCD(A91,IF(F91="",D91,G91)))=1,(IF(F91="",D91,G91)/GCD(A91,IF(F91="",D91,G91)))=1),0,1)</f>
        <v/>
      </c>
      <c r="AC91">
        <f>IF(AA91="","",AA91-AB91)</f>
        <v/>
      </c>
      <c r="AD91">
        <f>IF(AND(A91&lt;=83,A91&lt;&gt;43,A91&lt;&gt;61),"clock-stable","clock-boundary")</f>
        <v/>
      </c>
      <c r="AE91" t="inlineStr">
        <is>
          <t>engine_diff_from_observed</t>
        </is>
      </c>
      <c r="AF91" t="inlineStr">
        <is>
          <t>engine anchor Th-217 differs from observed most-abundant Th-232</t>
        </is>
      </c>
    </row>
    <row r="92">
      <c r="A92" t="n">
        <v>91</v>
      </c>
      <c r="B92" t="inlineStr">
        <is>
          <t>Pa</t>
        </is>
      </c>
      <c r="C92" t="inlineStr">
        <is>
          <t>Protactinium</t>
        </is>
      </c>
      <c r="D92">
        <f>A92 + INT(A92 * INT((A92-1)/12) / 12)</f>
        <v/>
      </c>
      <c r="E92">
        <f>A92+D92</f>
        <v/>
      </c>
      <c r="F92">
        <f>VLOOKUP(A92, Observed_Lookup!A:G, 4, FALSE)</f>
        <v/>
      </c>
      <c r="G92">
        <f>VLOOKUP(A92, Observed_Lookup!A:G, 5, FALSE)</f>
        <v/>
      </c>
      <c r="H92">
        <f>VLOOKUP(A92, Observed_Lookup!A:G, 6, FALSE)</f>
        <v/>
      </c>
      <c r="I92">
        <f>IF(F92="","",D92-G92)</f>
        <v/>
      </c>
      <c r="J92">
        <f>IF(F92="","",E92-H92)</f>
        <v/>
      </c>
      <c r="K92">
        <f>GCD(A92,D92)</f>
        <v/>
      </c>
      <c r="L92">
        <f>A92/K92</f>
        <v/>
      </c>
      <c r="M92">
        <f>D92/K92</f>
        <v/>
      </c>
      <c r="N92">
        <f>"("&amp;L92&amp;","&amp;M92&amp;")"</f>
        <v/>
      </c>
      <c r="O92">
        <f>(D92-A92)/E92</f>
        <v/>
      </c>
      <c r="P92">
        <f>V92/W92</f>
        <v/>
      </c>
      <c r="Q92">
        <f>A92</f>
        <v/>
      </c>
      <c r="R92">
        <f>D92</f>
        <v/>
      </c>
      <c r="S92">
        <f>A92</f>
        <v/>
      </c>
      <c r="T92">
        <f>2*A92+D92</f>
        <v/>
      </c>
      <c r="U92">
        <f>A92+2*D92</f>
        <v/>
      </c>
      <c r="V92">
        <f>8*(A92*(7117/768)+(D92-A92)*(1/64))</f>
        <v/>
      </c>
      <c r="W92">
        <f>4*E92*(7117/768)</f>
        <v/>
      </c>
      <c r="X92">
        <f>W92-V92</f>
        <v/>
      </c>
      <c r="Y92">
        <f>IF(P92&lt;1,"substrate-light / mass-heavy",IF(P92&gt;1,"substrate-heavy / mass-light","balanced"))</f>
        <v/>
      </c>
      <c r="Z92">
        <f>IF(F92="","",H92-IFERROR(VLOOKUP(A92, Observed_Lookup!A:G, 7, FALSE),""))</f>
        <v/>
      </c>
      <c r="AA92">
        <f>IF(Z92="","",Z92*931.49410242)</f>
        <v/>
      </c>
      <c r="AB92">
        <f>8*(A92+IF(F92="",D92,G92))-17*(A92+IF(F92="",D92,G92))^(2/3)-(3/4)*A92*(A92-1)/(A92+IF(F92="",D92,G92))^(1/3)-22*(IF(F92="",D92,G92)-A92)^2/(A92+IF(F92="",D92,G92))+7*IF(AND(MOD(A92,2)=0,MOD(IF(F92="",D92,G92),2)=0),1,IF(AND(MOD(A92,2)=1,MOD(IF(F92="",D92,G92),2)=1),-1,0))/SQRT((A92+IF(F92="",D92,G92)))-(25/4)*IF(AND((A92/GCD(A92,IF(F92="",D92,G92)))=1,(IF(F92="",D92,G92)/GCD(A92,IF(F92="",D92,G92)))=1),0,1)</f>
        <v/>
      </c>
      <c r="AC92">
        <f>IF(AA92="","",AA92-AB92)</f>
        <v/>
      </c>
      <c r="AD92">
        <f>IF(AND(A92&lt;=83,A92&lt;&gt;43,A92&lt;&gt;61),"clock-stable","clock-boundary")</f>
        <v/>
      </c>
      <c r="AE92" t="inlineStr">
        <is>
          <t>engine_diff_from_observed</t>
        </is>
      </c>
      <c r="AF92" t="inlineStr">
        <is>
          <t>engine anchor Pa-227 differs from observed most-abundant Pa-231</t>
        </is>
      </c>
    </row>
    <row r="93">
      <c r="A93" t="n">
        <v>92</v>
      </c>
      <c r="B93" t="inlineStr">
        <is>
          <t>U</t>
        </is>
      </c>
      <c r="C93" t="inlineStr">
        <is>
          <t>Uranium</t>
        </is>
      </c>
      <c r="D93">
        <f>A93 + INT(A93 * INT((A93-1)/12) / 12)</f>
        <v/>
      </c>
      <c r="E93">
        <f>A93+D93</f>
        <v/>
      </c>
      <c r="F93">
        <f>VLOOKUP(A93, Observed_Lookup!A:G, 4, FALSE)</f>
        <v/>
      </c>
      <c r="G93">
        <f>VLOOKUP(A93, Observed_Lookup!A:G, 5, FALSE)</f>
        <v/>
      </c>
      <c r="H93">
        <f>VLOOKUP(A93, Observed_Lookup!A:G, 6, FALSE)</f>
        <v/>
      </c>
      <c r="I93">
        <f>IF(F93="","",D93-G93)</f>
        <v/>
      </c>
      <c r="J93">
        <f>IF(F93="","",E93-H93)</f>
        <v/>
      </c>
      <c r="K93">
        <f>GCD(A93,D93)</f>
        <v/>
      </c>
      <c r="L93">
        <f>A93/K93</f>
        <v/>
      </c>
      <c r="M93">
        <f>D93/K93</f>
        <v/>
      </c>
      <c r="N93">
        <f>"("&amp;L93&amp;","&amp;M93&amp;")"</f>
        <v/>
      </c>
      <c r="O93">
        <f>(D93-A93)/E93</f>
        <v/>
      </c>
      <c r="P93">
        <f>V93/W93</f>
        <v/>
      </c>
      <c r="Q93">
        <f>A93</f>
        <v/>
      </c>
      <c r="R93">
        <f>D93</f>
        <v/>
      </c>
      <c r="S93">
        <f>A93</f>
        <v/>
      </c>
      <c r="T93">
        <f>2*A93+D93</f>
        <v/>
      </c>
      <c r="U93">
        <f>A93+2*D93</f>
        <v/>
      </c>
      <c r="V93">
        <f>8*(A93*(7117/768)+(D93-A93)*(1/64))</f>
        <v/>
      </c>
      <c r="W93">
        <f>4*E93*(7117/768)</f>
        <v/>
      </c>
      <c r="X93">
        <f>W93-V93</f>
        <v/>
      </c>
      <c r="Y93">
        <f>IF(P93&lt;1,"substrate-light / mass-heavy",IF(P93&gt;1,"substrate-heavy / mass-light","balanced"))</f>
        <v/>
      </c>
      <c r="Z93">
        <f>IF(F93="","",H93-IFERROR(VLOOKUP(A93, Observed_Lookup!A:G, 7, FALSE),""))</f>
        <v/>
      </c>
      <c r="AA93">
        <f>IF(Z93="","",Z93*931.49410242)</f>
        <v/>
      </c>
      <c r="AB93">
        <f>8*(A93+IF(F93="",D93,G93))-17*(A93+IF(F93="",D93,G93))^(2/3)-(3/4)*A93*(A93-1)/(A93+IF(F93="",D93,G93))^(1/3)-22*(IF(F93="",D93,G93)-A93)^2/(A93+IF(F93="",D93,G93))+7*IF(AND(MOD(A93,2)=0,MOD(IF(F93="",D93,G93),2)=0),1,IF(AND(MOD(A93,2)=1,MOD(IF(F93="",D93,G93),2)=1),-1,0))/SQRT((A93+IF(F93="",D93,G93)))-(25/4)*IF(AND((A93/GCD(A93,IF(F93="",D93,G93)))=1,(IF(F93="",D93,G93)/GCD(A93,IF(F93="",D93,G93)))=1),0,1)</f>
        <v/>
      </c>
      <c r="AC93">
        <f>IF(AA93="","",AA93-AB93)</f>
        <v/>
      </c>
      <c r="AD93">
        <f>IF(AND(A93&lt;=83,A93&lt;&gt;43,A93&lt;&gt;61),"clock-stable","clock-boundary")</f>
        <v/>
      </c>
      <c r="AE93" t="inlineStr">
        <is>
          <t>engine_diff_from_observed</t>
        </is>
      </c>
      <c r="AF93" t="inlineStr">
        <is>
          <t>engine anchor U-237 differs from observed most-abundant U-238</t>
        </is>
      </c>
    </row>
    <row r="94">
      <c r="A94" t="n">
        <v>93</v>
      </c>
      <c r="B94" t="inlineStr">
        <is>
          <t>Np</t>
        </is>
      </c>
      <c r="C94" t="inlineStr">
        <is>
          <t>Neptunium</t>
        </is>
      </c>
      <c r="D94">
        <f>A94 + INT(A94 * INT((A94-1)/12) / 12)</f>
        <v/>
      </c>
      <c r="E94">
        <f>A94+D94</f>
        <v/>
      </c>
      <c r="F94">
        <f>VLOOKUP(A94, Observed_Lookup!A:G, 4, FALSE)</f>
        <v/>
      </c>
      <c r="G94">
        <f>VLOOKUP(A94, Observed_Lookup!A:G, 5, FALSE)</f>
        <v/>
      </c>
      <c r="H94">
        <f>VLOOKUP(A94, Observed_Lookup!A:G, 6, FALSE)</f>
        <v/>
      </c>
      <c r="I94">
        <f>IF(F94="","",D94-G94)</f>
        <v/>
      </c>
      <c r="J94">
        <f>IF(F94="","",E94-H94)</f>
        <v/>
      </c>
      <c r="K94">
        <f>GCD(A94,D94)</f>
        <v/>
      </c>
      <c r="L94">
        <f>A94/K94</f>
        <v/>
      </c>
      <c r="M94">
        <f>D94/K94</f>
        <v/>
      </c>
      <c r="N94">
        <f>"("&amp;L94&amp;","&amp;M94&amp;")"</f>
        <v/>
      </c>
      <c r="O94">
        <f>(D94-A94)/E94</f>
        <v/>
      </c>
      <c r="P94">
        <f>V94/W94</f>
        <v/>
      </c>
      <c r="Q94">
        <f>A94</f>
        <v/>
      </c>
      <c r="R94">
        <f>D94</f>
        <v/>
      </c>
      <c r="S94">
        <f>A94</f>
        <v/>
      </c>
      <c r="T94">
        <f>2*A94+D94</f>
        <v/>
      </c>
      <c r="U94">
        <f>A94+2*D94</f>
        <v/>
      </c>
      <c r="V94">
        <f>8*(A94*(7117/768)+(D94-A94)*(1/64))</f>
        <v/>
      </c>
      <c r="W94">
        <f>4*E94*(7117/768)</f>
        <v/>
      </c>
      <c r="X94">
        <f>W94-V94</f>
        <v/>
      </c>
      <c r="Y94">
        <f>IF(P94&lt;1,"substrate-light / mass-heavy",IF(P94&gt;1,"substrate-heavy / mass-light","balanced"))</f>
        <v/>
      </c>
      <c r="Z94">
        <f>IF(F94="","",H94-IFERROR(VLOOKUP(A94, Observed_Lookup!A:G, 7, FALSE),""))</f>
        <v/>
      </c>
      <c r="AA94">
        <f>IF(Z94="","",Z94*931.49410242)</f>
        <v/>
      </c>
      <c r="AB94">
        <f>8*(A94+IF(F94="",D94,G94))-17*(A94+IF(F94="",D94,G94))^(2/3)-(3/4)*A94*(A94-1)/(A94+IF(F94="",D94,G94))^(1/3)-22*(IF(F94="",D94,G94)-A94)^2/(A94+IF(F94="",D94,G94))+7*IF(AND(MOD(A94,2)=0,MOD(IF(F94="",D94,G94),2)=0),1,IF(AND(MOD(A94,2)=1,MOD(IF(F94="",D94,G94),2)=1),-1,0))/SQRT((A94+IF(F94="",D94,G94)))-(25/4)*IF(AND((A94/GCD(A94,IF(F94="",D94,G94)))=1,(IF(F94="",D94,G94)/GCD(A94,IF(F94="",D94,G94)))=1),0,1)</f>
        <v/>
      </c>
      <c r="AC94">
        <f>IF(AA94="","",AA94-AB94)</f>
        <v/>
      </c>
      <c r="AD94">
        <f>IF(AND(A94&lt;=83,A94&lt;&gt;43,A94&lt;&gt;61),"clock-stable","clock-boundary")</f>
        <v/>
      </c>
      <c r="AE94" t="inlineStr">
        <is>
          <t>engine_diff_from_observed</t>
        </is>
      </c>
      <c r="AF94" t="inlineStr">
        <is>
          <t>engine anchor Np-248 differs from observed most-abundant Np-237</t>
        </is>
      </c>
    </row>
    <row r="95">
      <c r="A95" t="n">
        <v>94</v>
      </c>
      <c r="B95" t="inlineStr">
        <is>
          <t>Pu</t>
        </is>
      </c>
      <c r="C95" t="inlineStr">
        <is>
          <t>Plutonium</t>
        </is>
      </c>
      <c r="D95">
        <f>A95 + INT(A95 * INT((A95-1)/12) / 12)</f>
        <v/>
      </c>
      <c r="E95">
        <f>A95+D95</f>
        <v/>
      </c>
      <c r="F95">
        <f>VLOOKUP(A95, Observed_Lookup!A:G, 4, FALSE)</f>
        <v/>
      </c>
      <c r="G95">
        <f>VLOOKUP(A95, Observed_Lookup!A:G, 5, FALSE)</f>
        <v/>
      </c>
      <c r="H95">
        <f>VLOOKUP(A95, Observed_Lookup!A:G, 6, FALSE)</f>
        <v/>
      </c>
      <c r="I95">
        <f>IF(F95="","",D95-G95)</f>
        <v/>
      </c>
      <c r="J95">
        <f>IF(F95="","",E95-H95)</f>
        <v/>
      </c>
      <c r="K95">
        <f>GCD(A95,D95)</f>
        <v/>
      </c>
      <c r="L95">
        <f>A95/K95</f>
        <v/>
      </c>
      <c r="M95">
        <f>D95/K95</f>
        <v/>
      </c>
      <c r="N95">
        <f>"("&amp;L95&amp;","&amp;M95&amp;")"</f>
        <v/>
      </c>
      <c r="O95">
        <f>(D95-A95)/E95</f>
        <v/>
      </c>
      <c r="P95">
        <f>V95/W95</f>
        <v/>
      </c>
      <c r="Q95">
        <f>A95</f>
        <v/>
      </c>
      <c r="R95">
        <f>D95</f>
        <v/>
      </c>
      <c r="S95">
        <f>A95</f>
        <v/>
      </c>
      <c r="T95">
        <f>2*A95+D95</f>
        <v/>
      </c>
      <c r="U95">
        <f>A95+2*D95</f>
        <v/>
      </c>
      <c r="V95">
        <f>8*(A95*(7117/768)+(D95-A95)*(1/64))</f>
        <v/>
      </c>
      <c r="W95">
        <f>4*E95*(7117/768)</f>
        <v/>
      </c>
      <c r="X95">
        <f>W95-V95</f>
        <v/>
      </c>
      <c r="Y95">
        <f>IF(P95&lt;1,"substrate-light / mass-heavy",IF(P95&gt;1,"substrate-heavy / mass-light","balanced"))</f>
        <v/>
      </c>
      <c r="Z95">
        <f>IF(F95="","",H95-IFERROR(VLOOKUP(A95, Observed_Lookup!A:G, 7, FALSE),""))</f>
        <v/>
      </c>
      <c r="AA95">
        <f>IF(Z95="","",Z95*931.49410242)</f>
        <v/>
      </c>
      <c r="AB95">
        <f>8*(A95+IF(F95="",D95,G95))-17*(A95+IF(F95="",D95,G95))^(2/3)-(3/4)*A95*(A95-1)/(A95+IF(F95="",D95,G95))^(1/3)-22*(IF(F95="",D95,G95)-A95)^2/(A95+IF(F95="",D95,G95))+7*IF(AND(MOD(A95,2)=0,MOD(IF(F95="",D95,G95),2)=0),1,IF(AND(MOD(A95,2)=1,MOD(IF(F95="",D95,G95),2)=1),-1,0))/SQRT((A95+IF(F95="",D95,G95)))-(25/4)*IF(AND((A95/GCD(A95,IF(F95="",D95,G95)))=1,(IF(F95="",D95,G95)/GCD(A95,IF(F95="",D95,G95)))=1),0,1)</f>
        <v/>
      </c>
      <c r="AC95">
        <f>IF(AA95="","",AA95-AB95)</f>
        <v/>
      </c>
      <c r="AD95">
        <f>IF(AND(A95&lt;=83,A95&lt;&gt;43,A95&lt;&gt;61),"clock-stable","clock-boundary")</f>
        <v/>
      </c>
      <c r="AE95" t="inlineStr">
        <is>
          <t>engine_diff_from_observed</t>
        </is>
      </c>
      <c r="AF95" t="inlineStr">
        <is>
          <t>engine anchor Pu-258 differs from observed most-abundant Pu-244</t>
        </is>
      </c>
    </row>
    <row r="96">
      <c r="A96" t="n">
        <v>95</v>
      </c>
      <c r="B96" t="inlineStr">
        <is>
          <t>Am</t>
        </is>
      </c>
      <c r="C96" t="inlineStr">
        <is>
          <t>Americium</t>
        </is>
      </c>
      <c r="D96">
        <f>A96 + INT(A96 * INT((A96-1)/12) / 12)</f>
        <v/>
      </c>
      <c r="E96">
        <f>A96+D96</f>
        <v/>
      </c>
      <c r="F96">
        <f>VLOOKUP(A96, Observed_Lookup!A:G, 4, FALSE)</f>
        <v/>
      </c>
      <c r="G96">
        <f>VLOOKUP(A96, Observed_Lookup!A:G, 5, FALSE)</f>
        <v/>
      </c>
      <c r="H96">
        <f>VLOOKUP(A96, Observed_Lookup!A:G, 6, FALSE)</f>
        <v/>
      </c>
      <c r="I96">
        <f>IF(F96="","",D96-G96)</f>
        <v/>
      </c>
      <c r="J96">
        <f>IF(F96="","",E96-H96)</f>
        <v/>
      </c>
      <c r="K96">
        <f>GCD(A96,D96)</f>
        <v/>
      </c>
      <c r="L96">
        <f>A96/K96</f>
        <v/>
      </c>
      <c r="M96">
        <f>D96/K96</f>
        <v/>
      </c>
      <c r="N96">
        <f>"("&amp;L96&amp;","&amp;M96&amp;")"</f>
        <v/>
      </c>
      <c r="O96">
        <f>(D96-A96)/E96</f>
        <v/>
      </c>
      <c r="P96">
        <f>V96/W96</f>
        <v/>
      </c>
      <c r="Q96">
        <f>A96</f>
        <v/>
      </c>
      <c r="R96">
        <f>D96</f>
        <v/>
      </c>
      <c r="S96">
        <f>A96</f>
        <v/>
      </c>
      <c r="T96">
        <f>2*A96+D96</f>
        <v/>
      </c>
      <c r="U96">
        <f>A96+2*D96</f>
        <v/>
      </c>
      <c r="V96">
        <f>8*(A96*(7117/768)+(D96-A96)*(1/64))</f>
        <v/>
      </c>
      <c r="W96">
        <f>4*E96*(7117/768)</f>
        <v/>
      </c>
      <c r="X96">
        <f>W96-V96</f>
        <v/>
      </c>
      <c r="Y96">
        <f>IF(P96&lt;1,"substrate-light / mass-heavy",IF(P96&gt;1,"substrate-heavy / mass-light","balanced"))</f>
        <v/>
      </c>
      <c r="Z96">
        <f>IF(F96="","",H96-IFERROR(VLOOKUP(A96, Observed_Lookup!A:G, 7, FALSE),""))</f>
        <v/>
      </c>
      <c r="AA96">
        <f>IF(Z96="","",Z96*931.49410242)</f>
        <v/>
      </c>
      <c r="AB96">
        <f>8*(A96+IF(F96="",D96,G96))-17*(A96+IF(F96="",D96,G96))^(2/3)-(3/4)*A96*(A96-1)/(A96+IF(F96="",D96,G96))^(1/3)-22*(IF(F96="",D96,G96)-A96)^2/(A96+IF(F96="",D96,G96))+7*IF(AND(MOD(A96,2)=0,MOD(IF(F96="",D96,G96),2)=0),1,IF(AND(MOD(A96,2)=1,MOD(IF(F96="",D96,G96),2)=1),-1,0))/SQRT((A96+IF(F96="",D96,G96)))-(25/4)*IF(AND((A96/GCD(A96,IF(F96="",D96,G96)))=1,(IF(F96="",D96,G96)/GCD(A96,IF(F96="",D96,G96)))=1),0,1)</f>
        <v/>
      </c>
      <c r="AC96">
        <f>IF(AA96="","",AA96-AB96)</f>
        <v/>
      </c>
      <c r="AD96">
        <f>IF(AND(A96&lt;=83,A96&lt;&gt;43,A96&lt;&gt;61),"clock-stable","clock-boundary")</f>
        <v/>
      </c>
      <c r="AE96" t="inlineStr">
        <is>
          <t>engine_diff_from_observed</t>
        </is>
      </c>
      <c r="AF96" t="inlineStr">
        <is>
          <t>engine anchor Am-269 differs from observed most-abundant Am-243</t>
        </is>
      </c>
    </row>
    <row r="97">
      <c r="A97" t="n">
        <v>96</v>
      </c>
      <c r="B97" t="inlineStr">
        <is>
          <t>Cm</t>
        </is>
      </c>
      <c r="C97" t="inlineStr">
        <is>
          <t>Curium</t>
        </is>
      </c>
      <c r="D97">
        <f>A97 + INT(A97 * INT((A97-1)/12) / 12)</f>
        <v/>
      </c>
      <c r="E97">
        <f>A97+D97</f>
        <v/>
      </c>
      <c r="F97">
        <f>VLOOKUP(A97, Observed_Lookup!A:G, 4, FALSE)</f>
        <v/>
      </c>
      <c r="G97">
        <f>VLOOKUP(A97, Observed_Lookup!A:G, 5, FALSE)</f>
        <v/>
      </c>
      <c r="H97">
        <f>VLOOKUP(A97, Observed_Lookup!A:G, 6, FALSE)</f>
        <v/>
      </c>
      <c r="I97">
        <f>IF(F97="","",D97-G97)</f>
        <v/>
      </c>
      <c r="J97">
        <f>IF(F97="","",E97-H97)</f>
        <v/>
      </c>
      <c r="K97">
        <f>GCD(A97,D97)</f>
        <v/>
      </c>
      <c r="L97">
        <f>A97/K97</f>
        <v/>
      </c>
      <c r="M97">
        <f>D97/K97</f>
        <v/>
      </c>
      <c r="N97">
        <f>"("&amp;L97&amp;","&amp;M97&amp;")"</f>
        <v/>
      </c>
      <c r="O97">
        <f>(D97-A97)/E97</f>
        <v/>
      </c>
      <c r="P97">
        <f>V97/W97</f>
        <v/>
      </c>
      <c r="Q97">
        <f>A97</f>
        <v/>
      </c>
      <c r="R97">
        <f>D97</f>
        <v/>
      </c>
      <c r="S97">
        <f>A97</f>
        <v/>
      </c>
      <c r="T97">
        <f>2*A97+D97</f>
        <v/>
      </c>
      <c r="U97">
        <f>A97+2*D97</f>
        <v/>
      </c>
      <c r="V97">
        <f>8*(A97*(7117/768)+(D97-A97)*(1/64))</f>
        <v/>
      </c>
      <c r="W97">
        <f>4*E97*(7117/768)</f>
        <v/>
      </c>
      <c r="X97">
        <f>W97-V97</f>
        <v/>
      </c>
      <c r="Y97">
        <f>IF(P97&lt;1,"substrate-light / mass-heavy",IF(P97&gt;1,"substrate-heavy / mass-light","balanced"))</f>
        <v/>
      </c>
      <c r="Z97">
        <f>IF(F97="","",H97-IFERROR(VLOOKUP(A97, Observed_Lookup!A:G, 7, FALSE),""))</f>
        <v/>
      </c>
      <c r="AA97">
        <f>IF(Z97="","",Z97*931.49410242)</f>
        <v/>
      </c>
      <c r="AB97">
        <f>8*(A97+IF(F97="",D97,G97))-17*(A97+IF(F97="",D97,G97))^(2/3)-(3/4)*A97*(A97-1)/(A97+IF(F97="",D97,G97))^(1/3)-22*(IF(F97="",D97,G97)-A97)^2/(A97+IF(F97="",D97,G97))+7*IF(AND(MOD(A97,2)=0,MOD(IF(F97="",D97,G97),2)=0),1,IF(AND(MOD(A97,2)=1,MOD(IF(F97="",D97,G97),2)=1),-1,0))/SQRT((A97+IF(F97="",D97,G97)))-(25/4)*IF(AND((A97/GCD(A97,IF(F97="",D97,G97)))=1,(IF(F97="",D97,G97)/GCD(A97,IF(F97="",D97,G97)))=1),0,1)</f>
        <v/>
      </c>
      <c r="AC97">
        <f>IF(AA97="","",AA97-AB97)</f>
        <v/>
      </c>
      <c r="AD97">
        <f>IF(AND(A97&lt;=83,A97&lt;&gt;43,A97&lt;&gt;61),"clock-stable","clock-boundary")</f>
        <v/>
      </c>
      <c r="AE97" t="inlineStr">
        <is>
          <t>engine_diff_from_observed</t>
        </is>
      </c>
      <c r="AF97" t="inlineStr">
        <is>
          <t>engine anchor Cm-280 differs from observed most-abundant Cm-247</t>
        </is>
      </c>
    </row>
    <row r="98">
      <c r="A98" t="n">
        <v>97</v>
      </c>
      <c r="B98" t="inlineStr">
        <is>
          <t>Bk</t>
        </is>
      </c>
      <c r="C98" t="inlineStr">
        <is>
          <t>Berkelium</t>
        </is>
      </c>
      <c r="D98">
        <f>A98 + INT(A98 * INT((A98-1)/12) / 12)</f>
        <v/>
      </c>
      <c r="E98">
        <f>A98+D98</f>
        <v/>
      </c>
      <c r="F98">
        <f>VLOOKUP(A98, Observed_Lookup!A:G, 4, FALSE)</f>
        <v/>
      </c>
      <c r="G98">
        <f>VLOOKUP(A98, Observed_Lookup!A:G, 5, FALSE)</f>
        <v/>
      </c>
      <c r="H98">
        <f>VLOOKUP(A98, Observed_Lookup!A:G, 6, FALSE)</f>
        <v/>
      </c>
      <c r="I98">
        <f>IF(F98="","",D98-G98)</f>
        <v/>
      </c>
      <c r="J98">
        <f>IF(F98="","",E98-H98)</f>
        <v/>
      </c>
      <c r="K98">
        <f>GCD(A98,D98)</f>
        <v/>
      </c>
      <c r="L98">
        <f>A98/K98</f>
        <v/>
      </c>
      <c r="M98">
        <f>D98/K98</f>
        <v/>
      </c>
      <c r="N98">
        <f>"("&amp;L98&amp;","&amp;M98&amp;")"</f>
        <v/>
      </c>
      <c r="O98">
        <f>(D98-A98)/E98</f>
        <v/>
      </c>
      <c r="P98">
        <f>V98/W98</f>
        <v/>
      </c>
      <c r="Q98">
        <f>A98</f>
        <v/>
      </c>
      <c r="R98">
        <f>D98</f>
        <v/>
      </c>
      <c r="S98">
        <f>A98</f>
        <v/>
      </c>
      <c r="T98">
        <f>2*A98+D98</f>
        <v/>
      </c>
      <c r="U98">
        <f>A98+2*D98</f>
        <v/>
      </c>
      <c r="V98">
        <f>8*(A98*(7117/768)+(D98-A98)*(1/64))</f>
        <v/>
      </c>
      <c r="W98">
        <f>4*E98*(7117/768)</f>
        <v/>
      </c>
      <c r="X98">
        <f>W98-V98</f>
        <v/>
      </c>
      <c r="Y98">
        <f>IF(P98&lt;1,"substrate-light / mass-heavy",IF(P98&gt;1,"substrate-heavy / mass-light","balanced"))</f>
        <v/>
      </c>
      <c r="Z98">
        <f>IF(F98="","",H98-IFERROR(VLOOKUP(A98, Observed_Lookup!A:G, 7, FALSE),""))</f>
        <v/>
      </c>
      <c r="AA98">
        <f>IF(Z98="","",Z98*931.49410242)</f>
        <v/>
      </c>
      <c r="AB98">
        <f>8*(A98+IF(F98="",D98,G98))-17*(A98+IF(F98="",D98,G98))^(2/3)-(3/4)*A98*(A98-1)/(A98+IF(F98="",D98,G98))^(1/3)-22*(IF(F98="",D98,G98)-A98)^2/(A98+IF(F98="",D98,G98))+7*IF(AND(MOD(A98,2)=0,MOD(IF(F98="",D98,G98),2)=0),1,IF(AND(MOD(A98,2)=1,MOD(IF(F98="",D98,G98),2)=1),-1,0))/SQRT((A98+IF(F98="",D98,G98)))-(25/4)*IF(AND((A98/GCD(A98,IF(F98="",D98,G98)))=1,(IF(F98="",D98,G98)/GCD(A98,IF(F98="",D98,G98)))=1),0,1)</f>
        <v/>
      </c>
      <c r="AC98">
        <f>IF(AA98="","",AA98-AB98)</f>
        <v/>
      </c>
      <c r="AD98">
        <f>IF(AND(A98&lt;=83,A98&lt;&gt;43,A98&lt;&gt;61),"clock-stable","clock-boundary")</f>
        <v/>
      </c>
      <c r="AE98" t="inlineStr">
        <is>
          <t>engine_diff_from_observed</t>
        </is>
      </c>
      <c r="AF98" t="inlineStr">
        <is>
          <t>engine anchor Bk-194 differs from observed most-abundant Bk-247</t>
        </is>
      </c>
    </row>
    <row r="99">
      <c r="A99" t="n">
        <v>98</v>
      </c>
      <c r="B99" t="inlineStr">
        <is>
          <t>Cf</t>
        </is>
      </c>
      <c r="C99" t="inlineStr">
        <is>
          <t>Californium</t>
        </is>
      </c>
      <c r="D99">
        <f>A99 + INT(A99 * INT((A99-1)/12) / 12)</f>
        <v/>
      </c>
      <c r="E99">
        <f>A99+D99</f>
        <v/>
      </c>
      <c r="F99">
        <f>VLOOKUP(A99, Observed_Lookup!A:G, 4, FALSE)</f>
        <v/>
      </c>
      <c r="G99">
        <f>VLOOKUP(A99, Observed_Lookup!A:G, 5, FALSE)</f>
        <v/>
      </c>
      <c r="H99">
        <f>VLOOKUP(A99, Observed_Lookup!A:G, 6, FALSE)</f>
        <v/>
      </c>
      <c r="I99">
        <f>IF(F99="","",D99-G99)</f>
        <v/>
      </c>
      <c r="J99">
        <f>IF(F99="","",E99-H99)</f>
        <v/>
      </c>
      <c r="K99">
        <f>GCD(A99,D99)</f>
        <v/>
      </c>
      <c r="L99">
        <f>A99/K99</f>
        <v/>
      </c>
      <c r="M99">
        <f>D99/K99</f>
        <v/>
      </c>
      <c r="N99">
        <f>"("&amp;L99&amp;","&amp;M99&amp;")"</f>
        <v/>
      </c>
      <c r="O99">
        <f>(D99-A99)/E99</f>
        <v/>
      </c>
      <c r="P99">
        <f>V99/W99</f>
        <v/>
      </c>
      <c r="Q99">
        <f>A99</f>
        <v/>
      </c>
      <c r="R99">
        <f>D99</f>
        <v/>
      </c>
      <c r="S99">
        <f>A99</f>
        <v/>
      </c>
      <c r="T99">
        <f>2*A99+D99</f>
        <v/>
      </c>
      <c r="U99">
        <f>A99+2*D99</f>
        <v/>
      </c>
      <c r="V99">
        <f>8*(A99*(7117/768)+(D99-A99)*(1/64))</f>
        <v/>
      </c>
      <c r="W99">
        <f>4*E99*(7117/768)</f>
        <v/>
      </c>
      <c r="X99">
        <f>W99-V99</f>
        <v/>
      </c>
      <c r="Y99">
        <f>IF(P99&lt;1,"substrate-light / mass-heavy",IF(P99&gt;1,"substrate-heavy / mass-light","balanced"))</f>
        <v/>
      </c>
      <c r="Z99">
        <f>IF(F99="","",H99-IFERROR(VLOOKUP(A99, Observed_Lookup!A:G, 7, FALSE),""))</f>
        <v/>
      </c>
      <c r="AA99">
        <f>IF(Z99="","",Z99*931.49410242)</f>
        <v/>
      </c>
      <c r="AB99">
        <f>8*(A99+IF(F99="",D99,G99))-17*(A99+IF(F99="",D99,G99))^(2/3)-(3/4)*A99*(A99-1)/(A99+IF(F99="",D99,G99))^(1/3)-22*(IF(F99="",D99,G99)-A99)^2/(A99+IF(F99="",D99,G99))+7*IF(AND(MOD(A99,2)=0,MOD(IF(F99="",D99,G99),2)=0),1,IF(AND(MOD(A99,2)=1,MOD(IF(F99="",D99,G99),2)=1),-1,0))/SQRT((A99+IF(F99="",D99,G99)))-(25/4)*IF(AND((A99/GCD(A99,IF(F99="",D99,G99)))=1,(IF(F99="",D99,G99)/GCD(A99,IF(F99="",D99,G99)))=1),0,1)</f>
        <v/>
      </c>
      <c r="AC99">
        <f>IF(AA99="","",AA99-AB99)</f>
        <v/>
      </c>
      <c r="AD99">
        <f>IF(AND(A99&lt;=83,A99&lt;&gt;43,A99&lt;&gt;61),"clock-stable","clock-boundary")</f>
        <v/>
      </c>
      <c r="AE99" t="inlineStr">
        <is>
          <t>engine_diff_from_observed</t>
        </is>
      </c>
      <c r="AF99" t="inlineStr">
        <is>
          <t>engine anchor Cf-204 differs from observed most-abundant Cf-251</t>
        </is>
      </c>
    </row>
    <row r="100">
      <c r="A100" t="n">
        <v>99</v>
      </c>
      <c r="B100" t="inlineStr">
        <is>
          <t>Es</t>
        </is>
      </c>
      <c r="C100" t="inlineStr">
        <is>
          <t>Einsteinium</t>
        </is>
      </c>
      <c r="D100">
        <f>A100 + INT(A100 * INT((A100-1)/12) / 12)</f>
        <v/>
      </c>
      <c r="E100">
        <f>A100+D100</f>
        <v/>
      </c>
      <c r="F100">
        <f>VLOOKUP(A100, Observed_Lookup!A:G, 4, FALSE)</f>
        <v/>
      </c>
      <c r="G100">
        <f>VLOOKUP(A100, Observed_Lookup!A:G, 5, FALSE)</f>
        <v/>
      </c>
      <c r="H100">
        <f>VLOOKUP(A100, Observed_Lookup!A:G, 6, FALSE)</f>
        <v/>
      </c>
      <c r="I100">
        <f>IF(F100="","",D100-G100)</f>
        <v/>
      </c>
      <c r="J100">
        <f>IF(F100="","",E100-H100)</f>
        <v/>
      </c>
      <c r="K100">
        <f>GCD(A100,D100)</f>
        <v/>
      </c>
      <c r="L100">
        <f>A100/K100</f>
        <v/>
      </c>
      <c r="M100">
        <f>D100/K100</f>
        <v/>
      </c>
      <c r="N100">
        <f>"("&amp;L100&amp;","&amp;M100&amp;")"</f>
        <v/>
      </c>
      <c r="O100">
        <f>(D100-A100)/E100</f>
        <v/>
      </c>
      <c r="P100">
        <f>V100/W100</f>
        <v/>
      </c>
      <c r="Q100">
        <f>A100</f>
        <v/>
      </c>
      <c r="R100">
        <f>D100</f>
        <v/>
      </c>
      <c r="S100">
        <f>A100</f>
        <v/>
      </c>
      <c r="T100">
        <f>2*A100+D100</f>
        <v/>
      </c>
      <c r="U100">
        <f>A100+2*D100</f>
        <v/>
      </c>
      <c r="V100">
        <f>8*(A100*(7117/768)+(D100-A100)*(1/64))</f>
        <v/>
      </c>
      <c r="W100">
        <f>4*E100*(7117/768)</f>
        <v/>
      </c>
      <c r="X100">
        <f>W100-V100</f>
        <v/>
      </c>
      <c r="Y100">
        <f>IF(P100&lt;1,"substrate-light / mass-heavy",IF(P100&gt;1,"substrate-heavy / mass-light","balanced"))</f>
        <v/>
      </c>
      <c r="Z100">
        <f>IF(F100="","",H100-IFERROR(VLOOKUP(A100, Observed_Lookup!A:G, 7, FALSE),""))</f>
        <v/>
      </c>
      <c r="AA100">
        <f>IF(Z100="","",Z100*931.49410242)</f>
        <v/>
      </c>
      <c r="AB100">
        <f>8*(A100+IF(F100="",D100,G100))-17*(A100+IF(F100="",D100,G100))^(2/3)-(3/4)*A100*(A100-1)/(A100+IF(F100="",D100,G100))^(1/3)-22*(IF(F100="",D100,G100)-A100)^2/(A100+IF(F100="",D100,G100))+7*IF(AND(MOD(A100,2)=0,MOD(IF(F100="",D100,G100),2)=0),1,IF(AND(MOD(A100,2)=1,MOD(IF(F100="",D100,G100),2)=1),-1,0))/SQRT((A100+IF(F100="",D100,G100)))-(25/4)*IF(AND((A100/GCD(A100,IF(F100="",D100,G100)))=1,(IF(F100="",D100,G100)/GCD(A100,IF(F100="",D100,G100)))=1),0,1)</f>
        <v/>
      </c>
      <c r="AC100">
        <f>IF(AA100="","",AA100-AB100)</f>
        <v/>
      </c>
      <c r="AD100">
        <f>IF(AND(A100&lt;=83,A100&lt;&gt;43,A100&lt;&gt;61),"clock-stable","clock-boundary")</f>
        <v/>
      </c>
      <c r="AE100" t="inlineStr">
        <is>
          <t>engine_diff_from_observed</t>
        </is>
      </c>
      <c r="AF100" t="inlineStr">
        <is>
          <t>engine anchor Es-214 differs from observed most-abundant Es-252</t>
        </is>
      </c>
    </row>
    <row r="101">
      <c r="A101" t="n">
        <v>100</v>
      </c>
      <c r="B101" t="inlineStr">
        <is>
          <t>Fm</t>
        </is>
      </c>
      <c r="C101" t="inlineStr">
        <is>
          <t>Fermium</t>
        </is>
      </c>
      <c r="D101">
        <f>A101 + INT(A101 * INT((A101-1)/12) / 12)</f>
        <v/>
      </c>
      <c r="E101">
        <f>A101+D101</f>
        <v/>
      </c>
      <c r="F101">
        <f>VLOOKUP(A101, Observed_Lookup!A:G, 4, FALSE)</f>
        <v/>
      </c>
      <c r="G101">
        <f>VLOOKUP(A101, Observed_Lookup!A:G, 5, FALSE)</f>
        <v/>
      </c>
      <c r="H101">
        <f>VLOOKUP(A101, Observed_Lookup!A:G, 6, FALSE)</f>
        <v/>
      </c>
      <c r="I101">
        <f>IF(F101="","",D101-G101)</f>
        <v/>
      </c>
      <c r="J101">
        <f>IF(F101="","",E101-H101)</f>
        <v/>
      </c>
      <c r="K101">
        <f>GCD(A101,D101)</f>
        <v/>
      </c>
      <c r="L101">
        <f>A101/K101</f>
        <v/>
      </c>
      <c r="M101">
        <f>D101/K101</f>
        <v/>
      </c>
      <c r="N101">
        <f>"("&amp;L101&amp;","&amp;M101&amp;")"</f>
        <v/>
      </c>
      <c r="O101">
        <f>(D101-A101)/E101</f>
        <v/>
      </c>
      <c r="P101">
        <f>V101/W101</f>
        <v/>
      </c>
      <c r="Q101">
        <f>A101</f>
        <v/>
      </c>
      <c r="R101">
        <f>D101</f>
        <v/>
      </c>
      <c r="S101">
        <f>A101</f>
        <v/>
      </c>
      <c r="T101">
        <f>2*A101+D101</f>
        <v/>
      </c>
      <c r="U101">
        <f>A101+2*D101</f>
        <v/>
      </c>
      <c r="V101">
        <f>8*(A101*(7117/768)+(D101-A101)*(1/64))</f>
        <v/>
      </c>
      <c r="W101">
        <f>4*E101*(7117/768)</f>
        <v/>
      </c>
      <c r="X101">
        <f>W101-V101</f>
        <v/>
      </c>
      <c r="Y101">
        <f>IF(P101&lt;1,"substrate-light / mass-heavy",IF(P101&gt;1,"substrate-heavy / mass-light","balanced"))</f>
        <v/>
      </c>
      <c r="Z101">
        <f>IF(F101="","",H101-IFERROR(VLOOKUP(A101, Observed_Lookup!A:G, 7, FALSE),""))</f>
        <v/>
      </c>
      <c r="AA101">
        <f>IF(Z101="","",Z101*931.49410242)</f>
        <v/>
      </c>
      <c r="AB101">
        <f>8*(A101+IF(F101="",D101,G101))-17*(A101+IF(F101="",D101,G101))^(2/3)-(3/4)*A101*(A101-1)/(A101+IF(F101="",D101,G101))^(1/3)-22*(IF(F101="",D101,G101)-A101)^2/(A101+IF(F101="",D101,G101))+7*IF(AND(MOD(A101,2)=0,MOD(IF(F101="",D101,G101),2)=0),1,IF(AND(MOD(A101,2)=1,MOD(IF(F101="",D101,G101),2)=1),-1,0))/SQRT((A101+IF(F101="",D101,G101)))-(25/4)*IF(AND((A101/GCD(A101,IF(F101="",D101,G101)))=1,(IF(F101="",D101,G101)/GCD(A101,IF(F101="",D101,G101)))=1),0,1)</f>
        <v/>
      </c>
      <c r="AC101">
        <f>IF(AA101="","",AA101-AB101)</f>
        <v/>
      </c>
      <c r="AD101">
        <f>IF(AND(A101&lt;=83,A101&lt;&gt;43,A101&lt;&gt;61),"clock-stable","clock-boundary")</f>
        <v/>
      </c>
      <c r="AE101" t="inlineStr">
        <is>
          <t>engine_diff_from_observed</t>
        </is>
      </c>
      <c r="AF101" t="inlineStr">
        <is>
          <t>engine anchor Fm-225 differs from observed most-abundant Fm-257</t>
        </is>
      </c>
    </row>
    <row r="102">
      <c r="A102" t="n">
        <v>101</v>
      </c>
      <c r="B102" t="inlineStr">
        <is>
          <t>Md</t>
        </is>
      </c>
      <c r="C102" t="inlineStr">
        <is>
          <t>Mendelevium</t>
        </is>
      </c>
      <c r="D102">
        <f>A102 + INT(A102 * INT((A102-1)/12) / 12)</f>
        <v/>
      </c>
      <c r="E102">
        <f>A102+D102</f>
        <v/>
      </c>
      <c r="F102">
        <f>VLOOKUP(A102, Observed_Lookup!A:G, 4, FALSE)</f>
        <v/>
      </c>
      <c r="G102">
        <f>VLOOKUP(A102, Observed_Lookup!A:G, 5, FALSE)</f>
        <v/>
      </c>
      <c r="H102">
        <f>VLOOKUP(A102, Observed_Lookup!A:G, 6, FALSE)</f>
        <v/>
      </c>
      <c r="I102">
        <f>IF(F102="","",D102-G102)</f>
        <v/>
      </c>
      <c r="J102">
        <f>IF(F102="","",E102-H102)</f>
        <v/>
      </c>
      <c r="K102">
        <f>GCD(A102,D102)</f>
        <v/>
      </c>
      <c r="L102">
        <f>A102/K102</f>
        <v/>
      </c>
      <c r="M102">
        <f>D102/K102</f>
        <v/>
      </c>
      <c r="N102">
        <f>"("&amp;L102&amp;","&amp;M102&amp;")"</f>
        <v/>
      </c>
      <c r="O102">
        <f>(D102-A102)/E102</f>
        <v/>
      </c>
      <c r="P102">
        <f>V102/W102</f>
        <v/>
      </c>
      <c r="Q102">
        <f>A102</f>
        <v/>
      </c>
      <c r="R102">
        <f>D102</f>
        <v/>
      </c>
      <c r="S102">
        <f>A102</f>
        <v/>
      </c>
      <c r="T102">
        <f>2*A102+D102</f>
        <v/>
      </c>
      <c r="U102">
        <f>A102+2*D102</f>
        <v/>
      </c>
      <c r="V102">
        <f>8*(A102*(7117/768)+(D102-A102)*(1/64))</f>
        <v/>
      </c>
      <c r="W102">
        <f>4*E102*(7117/768)</f>
        <v/>
      </c>
      <c r="X102">
        <f>W102-V102</f>
        <v/>
      </c>
      <c r="Y102">
        <f>IF(P102&lt;1,"substrate-light / mass-heavy",IF(P102&gt;1,"substrate-heavy / mass-light","balanced"))</f>
        <v/>
      </c>
      <c r="Z102">
        <f>IF(F102="","",H102-IFERROR(VLOOKUP(A102, Observed_Lookup!A:G, 7, FALSE),""))</f>
        <v/>
      </c>
      <c r="AA102">
        <f>IF(Z102="","",Z102*931.49410242)</f>
        <v/>
      </c>
      <c r="AB102">
        <f>8*(A102+IF(F102="",D102,G102))-17*(A102+IF(F102="",D102,G102))^(2/3)-(3/4)*A102*(A102-1)/(A102+IF(F102="",D102,G102))^(1/3)-22*(IF(F102="",D102,G102)-A102)^2/(A102+IF(F102="",D102,G102))+7*IF(AND(MOD(A102,2)=0,MOD(IF(F102="",D102,G102),2)=0),1,IF(AND(MOD(A102,2)=1,MOD(IF(F102="",D102,G102),2)=1),-1,0))/SQRT((A102+IF(F102="",D102,G102)))-(25/4)*IF(AND((A102/GCD(A102,IF(F102="",D102,G102)))=1,(IF(F102="",D102,G102)/GCD(A102,IF(F102="",D102,G102)))=1),0,1)</f>
        <v/>
      </c>
      <c r="AC102">
        <f>IF(AA102="","",AA102-AB102)</f>
        <v/>
      </c>
      <c r="AD102">
        <f>IF(AND(A102&lt;=83,A102&lt;&gt;43,A102&lt;&gt;61),"clock-stable","clock-boundary")</f>
        <v/>
      </c>
      <c r="AE102" t="inlineStr">
        <is>
          <t>engine_diff_from_observed</t>
        </is>
      </c>
      <c r="AF102" t="inlineStr">
        <is>
          <t>engine anchor Md-235 differs from observed most-abundant Md-258</t>
        </is>
      </c>
    </row>
    <row r="103">
      <c r="A103" t="n">
        <v>102</v>
      </c>
      <c r="B103" t="inlineStr">
        <is>
          <t>No</t>
        </is>
      </c>
      <c r="C103" t="inlineStr">
        <is>
          <t>Nobelium</t>
        </is>
      </c>
      <c r="D103">
        <f>A103 + INT(A103 * INT((A103-1)/12) / 12)</f>
        <v/>
      </c>
      <c r="E103">
        <f>A103+D103</f>
        <v/>
      </c>
      <c r="F103">
        <f>VLOOKUP(A103, Observed_Lookup!A:G, 4, FALSE)</f>
        <v/>
      </c>
      <c r="G103">
        <f>VLOOKUP(A103, Observed_Lookup!A:G, 5, FALSE)</f>
        <v/>
      </c>
      <c r="H103">
        <f>VLOOKUP(A103, Observed_Lookup!A:G, 6, FALSE)</f>
        <v/>
      </c>
      <c r="I103">
        <f>IF(F103="","",D103-G103)</f>
        <v/>
      </c>
      <c r="J103">
        <f>IF(F103="","",E103-H103)</f>
        <v/>
      </c>
      <c r="K103">
        <f>GCD(A103,D103)</f>
        <v/>
      </c>
      <c r="L103">
        <f>A103/K103</f>
        <v/>
      </c>
      <c r="M103">
        <f>D103/K103</f>
        <v/>
      </c>
      <c r="N103">
        <f>"("&amp;L103&amp;","&amp;M103&amp;")"</f>
        <v/>
      </c>
      <c r="O103">
        <f>(D103-A103)/E103</f>
        <v/>
      </c>
      <c r="P103">
        <f>V103/W103</f>
        <v/>
      </c>
      <c r="Q103">
        <f>A103</f>
        <v/>
      </c>
      <c r="R103">
        <f>D103</f>
        <v/>
      </c>
      <c r="S103">
        <f>A103</f>
        <v/>
      </c>
      <c r="T103">
        <f>2*A103+D103</f>
        <v/>
      </c>
      <c r="U103">
        <f>A103+2*D103</f>
        <v/>
      </c>
      <c r="V103">
        <f>8*(A103*(7117/768)+(D103-A103)*(1/64))</f>
        <v/>
      </c>
      <c r="W103">
        <f>4*E103*(7117/768)</f>
        <v/>
      </c>
      <c r="X103">
        <f>W103-V103</f>
        <v/>
      </c>
      <c r="Y103">
        <f>IF(P103&lt;1,"substrate-light / mass-heavy",IF(P103&gt;1,"substrate-heavy / mass-light","balanced"))</f>
        <v/>
      </c>
      <c r="Z103">
        <f>IF(F103="","",H103-IFERROR(VLOOKUP(A103, Observed_Lookup!A:G, 7, FALSE),""))</f>
        <v/>
      </c>
      <c r="AA103">
        <f>IF(Z103="","",Z103*931.49410242)</f>
        <v/>
      </c>
      <c r="AB103">
        <f>8*(A103+IF(F103="",D103,G103))-17*(A103+IF(F103="",D103,G103))^(2/3)-(3/4)*A103*(A103-1)/(A103+IF(F103="",D103,G103))^(1/3)-22*(IF(F103="",D103,G103)-A103)^2/(A103+IF(F103="",D103,G103))+7*IF(AND(MOD(A103,2)=0,MOD(IF(F103="",D103,G103),2)=0),1,IF(AND(MOD(A103,2)=1,MOD(IF(F103="",D103,G103),2)=1),-1,0))/SQRT((A103+IF(F103="",D103,G103)))-(25/4)*IF(AND((A103/GCD(A103,IF(F103="",D103,G103)))=1,(IF(F103="",D103,G103)/GCD(A103,IF(F103="",D103,G103)))=1),0,1)</f>
        <v/>
      </c>
      <c r="AC103">
        <f>IF(AA103="","",AA103-AB103)</f>
        <v/>
      </c>
      <c r="AD103">
        <f>IF(AND(A103&lt;=83,A103&lt;&gt;43,A103&lt;&gt;61),"clock-stable","clock-boundary")</f>
        <v/>
      </c>
      <c r="AE103" t="inlineStr">
        <is>
          <t>engine_diff_from_observed</t>
        </is>
      </c>
      <c r="AF103" t="inlineStr">
        <is>
          <t>engine anchor No-246 differs from observed most-abundant No-259</t>
        </is>
      </c>
    </row>
    <row r="104">
      <c r="A104" t="n">
        <v>103</v>
      </c>
      <c r="B104" t="inlineStr">
        <is>
          <t>Lr</t>
        </is>
      </c>
      <c r="C104" t="inlineStr">
        <is>
          <t>Lawrencium</t>
        </is>
      </c>
      <c r="D104">
        <f>A104 + INT(A104 * INT((A104-1)/12) / 12)</f>
        <v/>
      </c>
      <c r="E104">
        <f>A104+D104</f>
        <v/>
      </c>
      <c r="F104">
        <f>VLOOKUP(A104, Observed_Lookup!A:G, 4, FALSE)</f>
        <v/>
      </c>
      <c r="G104">
        <f>VLOOKUP(A104, Observed_Lookup!A:G, 5, FALSE)</f>
        <v/>
      </c>
      <c r="H104">
        <f>VLOOKUP(A104, Observed_Lookup!A:G, 6, FALSE)</f>
        <v/>
      </c>
      <c r="I104">
        <f>IF(F104="","",D104-G104)</f>
        <v/>
      </c>
      <c r="J104">
        <f>IF(F104="","",E104-H104)</f>
        <v/>
      </c>
      <c r="K104">
        <f>GCD(A104,D104)</f>
        <v/>
      </c>
      <c r="L104">
        <f>A104/K104</f>
        <v/>
      </c>
      <c r="M104">
        <f>D104/K104</f>
        <v/>
      </c>
      <c r="N104">
        <f>"("&amp;L104&amp;","&amp;M104&amp;")"</f>
        <v/>
      </c>
      <c r="O104">
        <f>(D104-A104)/E104</f>
        <v/>
      </c>
      <c r="P104">
        <f>V104/W104</f>
        <v/>
      </c>
      <c r="Q104">
        <f>A104</f>
        <v/>
      </c>
      <c r="R104">
        <f>D104</f>
        <v/>
      </c>
      <c r="S104">
        <f>A104</f>
        <v/>
      </c>
      <c r="T104">
        <f>2*A104+D104</f>
        <v/>
      </c>
      <c r="U104">
        <f>A104+2*D104</f>
        <v/>
      </c>
      <c r="V104">
        <f>8*(A104*(7117/768)+(D104-A104)*(1/64))</f>
        <v/>
      </c>
      <c r="W104">
        <f>4*E104*(7117/768)</f>
        <v/>
      </c>
      <c r="X104">
        <f>W104-V104</f>
        <v/>
      </c>
      <c r="Y104">
        <f>IF(P104&lt;1,"substrate-light / mass-heavy",IF(P104&gt;1,"substrate-heavy / mass-light","balanced"))</f>
        <v/>
      </c>
      <c r="Z104">
        <f>IF(F104="","",H104-IFERROR(VLOOKUP(A104, Observed_Lookup!A:G, 7, FALSE),""))</f>
        <v/>
      </c>
      <c r="AA104">
        <f>IF(Z104="","",Z104*931.49410242)</f>
        <v/>
      </c>
      <c r="AB104">
        <f>8*(A104+IF(F104="",D104,G104))-17*(A104+IF(F104="",D104,G104))^(2/3)-(3/4)*A104*(A104-1)/(A104+IF(F104="",D104,G104))^(1/3)-22*(IF(F104="",D104,G104)-A104)^2/(A104+IF(F104="",D104,G104))+7*IF(AND(MOD(A104,2)=0,MOD(IF(F104="",D104,G104),2)=0),1,IF(AND(MOD(A104,2)=1,MOD(IF(F104="",D104,G104),2)=1),-1,0))/SQRT((A104+IF(F104="",D104,G104)))-(25/4)*IF(AND((A104/GCD(A104,IF(F104="",D104,G104)))=1,(IF(F104="",D104,G104)/GCD(A104,IF(F104="",D104,G104)))=1),0,1)</f>
        <v/>
      </c>
      <c r="AC104">
        <f>IF(AA104="","",AA104-AB104)</f>
        <v/>
      </c>
      <c r="AD104">
        <f>IF(AND(A104&lt;=83,A104&lt;&gt;43,A104&lt;&gt;61),"clock-stable","clock-boundary")</f>
        <v/>
      </c>
      <c r="AE104" t="inlineStr">
        <is>
          <t>engine_diff_from_observed</t>
        </is>
      </c>
      <c r="AF104" t="inlineStr">
        <is>
          <t>engine anchor Lr-257 differs from observed most-abundant Lr-266</t>
        </is>
      </c>
    </row>
    <row r="105">
      <c r="A105" t="n">
        <v>104</v>
      </c>
      <c r="B105" t="inlineStr">
        <is>
          <t>Rf</t>
        </is>
      </c>
      <c r="C105" t="inlineStr">
        <is>
          <t>Rutherfordium</t>
        </is>
      </c>
      <c r="D105">
        <f>A105 + INT(A105 * INT((A105-1)/12) / 12)</f>
        <v/>
      </c>
      <c r="E105">
        <f>A105+D105</f>
        <v/>
      </c>
      <c r="F105">
        <f>VLOOKUP(A105, Observed_Lookup!A:G, 4, FALSE)</f>
        <v/>
      </c>
      <c r="G105">
        <f>VLOOKUP(A105, Observed_Lookup!A:G, 5, FALSE)</f>
        <v/>
      </c>
      <c r="H105">
        <f>VLOOKUP(A105, Observed_Lookup!A:G, 6, FALSE)</f>
        <v/>
      </c>
      <c r="I105">
        <f>IF(F105="","",D105-G105)</f>
        <v/>
      </c>
      <c r="J105">
        <f>IF(F105="","",E105-H105)</f>
        <v/>
      </c>
      <c r="K105">
        <f>GCD(A105,D105)</f>
        <v/>
      </c>
      <c r="L105">
        <f>A105/K105</f>
        <v/>
      </c>
      <c r="M105">
        <f>D105/K105</f>
        <v/>
      </c>
      <c r="N105">
        <f>"("&amp;L105&amp;","&amp;M105&amp;")"</f>
        <v/>
      </c>
      <c r="O105">
        <f>(D105-A105)/E105</f>
        <v/>
      </c>
      <c r="P105">
        <f>V105/W105</f>
        <v/>
      </c>
      <c r="Q105">
        <f>A105</f>
        <v/>
      </c>
      <c r="R105">
        <f>D105</f>
        <v/>
      </c>
      <c r="S105">
        <f>A105</f>
        <v/>
      </c>
      <c r="T105">
        <f>2*A105+D105</f>
        <v/>
      </c>
      <c r="U105">
        <f>A105+2*D105</f>
        <v/>
      </c>
      <c r="V105">
        <f>8*(A105*(7117/768)+(D105-A105)*(1/64))</f>
        <v/>
      </c>
      <c r="W105">
        <f>4*E105*(7117/768)</f>
        <v/>
      </c>
      <c r="X105">
        <f>W105-V105</f>
        <v/>
      </c>
      <c r="Y105">
        <f>IF(P105&lt;1,"substrate-light / mass-heavy",IF(P105&gt;1,"substrate-heavy / mass-light","balanced"))</f>
        <v/>
      </c>
      <c r="Z105">
        <f>IF(F105="","",H105-IFERROR(VLOOKUP(A105, Observed_Lookup!A:G, 7, FALSE),""))</f>
        <v/>
      </c>
      <c r="AA105">
        <f>IF(Z105="","",Z105*931.49410242)</f>
        <v/>
      </c>
      <c r="AB105">
        <f>8*(A105+IF(F105="",D105,G105))-17*(A105+IF(F105="",D105,G105))^(2/3)-(3/4)*A105*(A105-1)/(A105+IF(F105="",D105,G105))^(1/3)-22*(IF(F105="",D105,G105)-A105)^2/(A105+IF(F105="",D105,G105))+7*IF(AND(MOD(A105,2)=0,MOD(IF(F105="",D105,G105),2)=0),1,IF(AND(MOD(A105,2)=1,MOD(IF(F105="",D105,G105),2)=1),-1,0))/SQRT((A105+IF(F105="",D105,G105)))-(25/4)*IF(AND((A105/GCD(A105,IF(F105="",D105,G105)))=1,(IF(F105="",D105,G105)/GCD(A105,IF(F105="",D105,G105)))=1),0,1)</f>
        <v/>
      </c>
      <c r="AC105">
        <f>IF(AA105="","",AA105-AB105)</f>
        <v/>
      </c>
      <c r="AD105">
        <f>IF(AND(A105&lt;=83,A105&lt;&gt;43,A105&lt;&gt;61),"clock-stable","clock-boundary")</f>
        <v/>
      </c>
      <c r="AE105" t="inlineStr">
        <is>
          <t>engine_diff_from_observed</t>
        </is>
      </c>
      <c r="AF105" t="inlineStr">
        <is>
          <t>engine anchor Rf-268 differs from observed most-abundant Rf-267</t>
        </is>
      </c>
    </row>
    <row r="106">
      <c r="A106" t="n">
        <v>105</v>
      </c>
      <c r="B106" t="inlineStr">
        <is>
          <t>Db</t>
        </is>
      </c>
      <c r="C106" t="inlineStr">
        <is>
          <t>Dubnium</t>
        </is>
      </c>
      <c r="D106">
        <f>A106 + INT(A106 * INT((A106-1)/12) / 12)</f>
        <v/>
      </c>
      <c r="E106">
        <f>A106+D106</f>
        <v/>
      </c>
      <c r="F106">
        <f>VLOOKUP(A106, Observed_Lookup!A:G, 4, FALSE)</f>
        <v/>
      </c>
      <c r="G106">
        <f>VLOOKUP(A106, Observed_Lookup!A:G, 5, FALSE)</f>
        <v/>
      </c>
      <c r="H106">
        <f>VLOOKUP(A106, Observed_Lookup!A:G, 6, FALSE)</f>
        <v/>
      </c>
      <c r="I106">
        <f>IF(F106="","",D106-G106)</f>
        <v/>
      </c>
      <c r="J106">
        <f>IF(F106="","",E106-H106)</f>
        <v/>
      </c>
      <c r="K106">
        <f>GCD(A106,D106)</f>
        <v/>
      </c>
      <c r="L106">
        <f>A106/K106</f>
        <v/>
      </c>
      <c r="M106">
        <f>D106/K106</f>
        <v/>
      </c>
      <c r="N106">
        <f>"("&amp;L106&amp;","&amp;M106&amp;")"</f>
        <v/>
      </c>
      <c r="O106">
        <f>(D106-A106)/E106</f>
        <v/>
      </c>
      <c r="P106">
        <f>V106/W106</f>
        <v/>
      </c>
      <c r="Q106">
        <f>A106</f>
        <v/>
      </c>
      <c r="R106">
        <f>D106</f>
        <v/>
      </c>
      <c r="S106">
        <f>A106</f>
        <v/>
      </c>
      <c r="T106">
        <f>2*A106+D106</f>
        <v/>
      </c>
      <c r="U106">
        <f>A106+2*D106</f>
        <v/>
      </c>
      <c r="V106">
        <f>8*(A106*(7117/768)+(D106-A106)*(1/64))</f>
        <v/>
      </c>
      <c r="W106">
        <f>4*E106*(7117/768)</f>
        <v/>
      </c>
      <c r="X106">
        <f>W106-V106</f>
        <v/>
      </c>
      <c r="Y106">
        <f>IF(P106&lt;1,"substrate-light / mass-heavy",IF(P106&gt;1,"substrate-heavy / mass-light","balanced"))</f>
        <v/>
      </c>
      <c r="Z106">
        <f>IF(F106="","",H106-IFERROR(VLOOKUP(A106, Observed_Lookup!A:G, 7, FALSE),""))</f>
        <v/>
      </c>
      <c r="AA106">
        <f>IF(Z106="","",Z106*931.49410242)</f>
        <v/>
      </c>
      <c r="AB106">
        <f>8*(A106+IF(F106="",D106,G106))-17*(A106+IF(F106="",D106,G106))^(2/3)-(3/4)*A106*(A106-1)/(A106+IF(F106="",D106,G106))^(1/3)-22*(IF(F106="",D106,G106)-A106)^2/(A106+IF(F106="",D106,G106))+7*IF(AND(MOD(A106,2)=0,MOD(IF(F106="",D106,G106),2)=0),1,IF(AND(MOD(A106,2)=1,MOD(IF(F106="",D106,G106),2)=1),-1,0))/SQRT((A106+IF(F106="",D106,G106)))-(25/4)*IF(AND((A106/GCD(A106,IF(F106="",D106,G106)))=1,(IF(F106="",D106,G106)/GCD(A106,IF(F106="",D106,G106)))=1),0,1)</f>
        <v/>
      </c>
      <c r="AC106">
        <f>IF(AA106="","",AA106-AB106)</f>
        <v/>
      </c>
      <c r="AD106">
        <f>IF(AND(A106&lt;=83,A106&lt;&gt;43,A106&lt;&gt;61),"clock-stable","clock-boundary")</f>
        <v/>
      </c>
      <c r="AE106" t="inlineStr">
        <is>
          <t>engine_diff_from_observed</t>
        </is>
      </c>
      <c r="AF106" t="inlineStr">
        <is>
          <t>engine anchor Db-280 differs from observed most-abundant Db-268</t>
        </is>
      </c>
    </row>
    <row r="107">
      <c r="A107" t="n">
        <v>106</v>
      </c>
      <c r="B107" t="inlineStr">
        <is>
          <t>Sg</t>
        </is>
      </c>
      <c r="C107" t="inlineStr">
        <is>
          <t>Seaborgium</t>
        </is>
      </c>
      <c r="D107">
        <f>A107 + INT(A107 * INT((A107-1)/12) / 12)</f>
        <v/>
      </c>
      <c r="E107">
        <f>A107+D107</f>
        <v/>
      </c>
      <c r="F107">
        <f>VLOOKUP(A107, Observed_Lookup!A:G, 4, FALSE)</f>
        <v/>
      </c>
      <c r="G107">
        <f>VLOOKUP(A107, Observed_Lookup!A:G, 5, FALSE)</f>
        <v/>
      </c>
      <c r="H107">
        <f>VLOOKUP(A107, Observed_Lookup!A:G, 6, FALSE)</f>
        <v/>
      </c>
      <c r="I107">
        <f>IF(F107="","",D107-G107)</f>
        <v/>
      </c>
      <c r="J107">
        <f>IF(F107="","",E107-H107)</f>
        <v/>
      </c>
      <c r="K107">
        <f>GCD(A107,D107)</f>
        <v/>
      </c>
      <c r="L107">
        <f>A107/K107</f>
        <v/>
      </c>
      <c r="M107">
        <f>D107/K107</f>
        <v/>
      </c>
      <c r="N107">
        <f>"("&amp;L107&amp;","&amp;M107&amp;")"</f>
        <v/>
      </c>
      <c r="O107">
        <f>(D107-A107)/E107</f>
        <v/>
      </c>
      <c r="P107">
        <f>V107/W107</f>
        <v/>
      </c>
      <c r="Q107">
        <f>A107</f>
        <v/>
      </c>
      <c r="R107">
        <f>D107</f>
        <v/>
      </c>
      <c r="S107">
        <f>A107</f>
        <v/>
      </c>
      <c r="T107">
        <f>2*A107+D107</f>
        <v/>
      </c>
      <c r="U107">
        <f>A107+2*D107</f>
        <v/>
      </c>
      <c r="V107">
        <f>8*(A107*(7117/768)+(D107-A107)*(1/64))</f>
        <v/>
      </c>
      <c r="W107">
        <f>4*E107*(7117/768)</f>
        <v/>
      </c>
      <c r="X107">
        <f>W107-V107</f>
        <v/>
      </c>
      <c r="Y107">
        <f>IF(P107&lt;1,"substrate-light / mass-heavy",IF(P107&gt;1,"substrate-heavy / mass-light","balanced"))</f>
        <v/>
      </c>
      <c r="Z107">
        <f>IF(F107="","",H107-IFERROR(VLOOKUP(A107, Observed_Lookup!A:G, 7, FALSE),""))</f>
        <v/>
      </c>
      <c r="AA107">
        <f>IF(Z107="","",Z107*931.49410242)</f>
        <v/>
      </c>
      <c r="AB107">
        <f>8*(A107+IF(F107="",D107,G107))-17*(A107+IF(F107="",D107,G107))^(2/3)-(3/4)*A107*(A107-1)/(A107+IF(F107="",D107,G107))^(1/3)-22*(IF(F107="",D107,G107)-A107)^2/(A107+IF(F107="",D107,G107))+7*IF(AND(MOD(A107,2)=0,MOD(IF(F107="",D107,G107),2)=0),1,IF(AND(MOD(A107,2)=1,MOD(IF(F107="",D107,G107),2)=1),-1,0))/SQRT((A107+IF(F107="",D107,G107)))-(25/4)*IF(AND((A107/GCD(A107,IF(F107="",D107,G107)))=1,(IF(F107="",D107,G107)/GCD(A107,IF(F107="",D107,G107)))=1),0,1)</f>
        <v/>
      </c>
      <c r="AC107">
        <f>IF(AA107="","",AA107-AB107)</f>
        <v/>
      </c>
      <c r="AD107">
        <f>IF(AND(A107&lt;=83,A107&lt;&gt;43,A107&lt;&gt;61),"clock-stable","clock-boundary")</f>
        <v/>
      </c>
      <c r="AE107" t="inlineStr">
        <is>
          <t>engine_diff_from_observed</t>
        </is>
      </c>
      <c r="AF107" t="inlineStr">
        <is>
          <t>engine anchor Sg-291 differs from observed most-abundant Sg-269</t>
        </is>
      </c>
    </row>
    <row r="108">
      <c r="A108" t="n">
        <v>107</v>
      </c>
      <c r="B108" t="inlineStr">
        <is>
          <t>Bh</t>
        </is>
      </c>
      <c r="C108" t="inlineStr">
        <is>
          <t>Bohrium</t>
        </is>
      </c>
      <c r="D108">
        <f>A108 + INT(A108 * INT((A108-1)/12) / 12)</f>
        <v/>
      </c>
      <c r="E108">
        <f>A108+D108</f>
        <v/>
      </c>
      <c r="F108">
        <f>VLOOKUP(A108, Observed_Lookup!A:G, 4, FALSE)</f>
        <v/>
      </c>
      <c r="G108">
        <f>VLOOKUP(A108, Observed_Lookup!A:G, 5, FALSE)</f>
        <v/>
      </c>
      <c r="H108">
        <f>VLOOKUP(A108, Observed_Lookup!A:G, 6, FALSE)</f>
        <v/>
      </c>
      <c r="I108">
        <f>IF(F108="","",D108-G108)</f>
        <v/>
      </c>
      <c r="J108">
        <f>IF(F108="","",E108-H108)</f>
        <v/>
      </c>
      <c r="K108">
        <f>GCD(A108,D108)</f>
        <v/>
      </c>
      <c r="L108">
        <f>A108/K108</f>
        <v/>
      </c>
      <c r="M108">
        <f>D108/K108</f>
        <v/>
      </c>
      <c r="N108">
        <f>"("&amp;L108&amp;","&amp;M108&amp;")"</f>
        <v/>
      </c>
      <c r="O108">
        <f>(D108-A108)/E108</f>
        <v/>
      </c>
      <c r="P108">
        <f>V108/W108</f>
        <v/>
      </c>
      <c r="Q108">
        <f>A108</f>
        <v/>
      </c>
      <c r="R108">
        <f>D108</f>
        <v/>
      </c>
      <c r="S108">
        <f>A108</f>
        <v/>
      </c>
      <c r="T108">
        <f>2*A108+D108</f>
        <v/>
      </c>
      <c r="U108">
        <f>A108+2*D108</f>
        <v/>
      </c>
      <c r="V108">
        <f>8*(A108*(7117/768)+(D108-A108)*(1/64))</f>
        <v/>
      </c>
      <c r="W108">
        <f>4*E108*(7117/768)</f>
        <v/>
      </c>
      <c r="X108">
        <f>W108-V108</f>
        <v/>
      </c>
      <c r="Y108">
        <f>IF(P108&lt;1,"substrate-light / mass-heavy",IF(P108&gt;1,"substrate-heavy / mass-light","balanced"))</f>
        <v/>
      </c>
      <c r="Z108">
        <f>IF(F108="","",H108-IFERROR(VLOOKUP(A108, Observed_Lookup!A:G, 7, FALSE),""))</f>
        <v/>
      </c>
      <c r="AA108">
        <f>IF(Z108="","",Z108*931.49410242)</f>
        <v/>
      </c>
      <c r="AB108">
        <f>8*(A108+IF(F108="",D108,G108))-17*(A108+IF(F108="",D108,G108))^(2/3)-(3/4)*A108*(A108-1)/(A108+IF(F108="",D108,G108))^(1/3)-22*(IF(F108="",D108,G108)-A108)^2/(A108+IF(F108="",D108,G108))+7*IF(AND(MOD(A108,2)=0,MOD(IF(F108="",D108,G108),2)=0),1,IF(AND(MOD(A108,2)=1,MOD(IF(F108="",D108,G108),2)=1),-1,0))/SQRT((A108+IF(F108="",D108,G108)))-(25/4)*IF(AND((A108/GCD(A108,IF(F108="",D108,G108)))=1,(IF(F108="",D108,G108)/GCD(A108,IF(F108="",D108,G108)))=1),0,1)</f>
        <v/>
      </c>
      <c r="AC108">
        <f>IF(AA108="","",AA108-AB108)</f>
        <v/>
      </c>
      <c r="AD108">
        <f>IF(AND(A108&lt;=83,A108&lt;&gt;43,A108&lt;&gt;61),"clock-stable","clock-boundary")</f>
        <v/>
      </c>
      <c r="AE108" t="inlineStr">
        <is>
          <t>engine_diff_from_observed</t>
        </is>
      </c>
      <c r="AF108" t="inlineStr">
        <is>
          <t>engine anchor Bh-303 differs from observed most-abundant Bh-270</t>
        </is>
      </c>
    </row>
    <row r="109">
      <c r="A109" t="n">
        <v>108</v>
      </c>
      <c r="B109" t="inlineStr">
        <is>
          <t>Hs</t>
        </is>
      </c>
      <c r="C109" t="inlineStr">
        <is>
          <t>Hassium</t>
        </is>
      </c>
      <c r="D109">
        <f>A109 + INT(A109 * INT((A109-1)/12) / 12)</f>
        <v/>
      </c>
      <c r="E109">
        <f>A109+D109</f>
        <v/>
      </c>
      <c r="F109">
        <f>VLOOKUP(A109, Observed_Lookup!A:G, 4, FALSE)</f>
        <v/>
      </c>
      <c r="G109">
        <f>VLOOKUP(A109, Observed_Lookup!A:G, 5, FALSE)</f>
        <v/>
      </c>
      <c r="H109">
        <f>VLOOKUP(A109, Observed_Lookup!A:G, 6, FALSE)</f>
        <v/>
      </c>
      <c r="I109">
        <f>IF(F109="","",D109-G109)</f>
        <v/>
      </c>
      <c r="J109">
        <f>IF(F109="","",E109-H109)</f>
        <v/>
      </c>
      <c r="K109">
        <f>GCD(A109,D109)</f>
        <v/>
      </c>
      <c r="L109">
        <f>A109/K109</f>
        <v/>
      </c>
      <c r="M109">
        <f>D109/K109</f>
        <v/>
      </c>
      <c r="N109">
        <f>"("&amp;L109&amp;","&amp;M109&amp;")"</f>
        <v/>
      </c>
      <c r="O109">
        <f>(D109-A109)/E109</f>
        <v/>
      </c>
      <c r="P109">
        <f>V109/W109</f>
        <v/>
      </c>
      <c r="Q109">
        <f>A109</f>
        <v/>
      </c>
      <c r="R109">
        <f>D109</f>
        <v/>
      </c>
      <c r="S109">
        <f>A109</f>
        <v/>
      </c>
      <c r="T109">
        <f>2*A109+D109</f>
        <v/>
      </c>
      <c r="U109">
        <f>A109+2*D109</f>
        <v/>
      </c>
      <c r="V109">
        <f>8*(A109*(7117/768)+(D109-A109)*(1/64))</f>
        <v/>
      </c>
      <c r="W109">
        <f>4*E109*(7117/768)</f>
        <v/>
      </c>
      <c r="X109">
        <f>W109-V109</f>
        <v/>
      </c>
      <c r="Y109">
        <f>IF(P109&lt;1,"substrate-light / mass-heavy",IF(P109&gt;1,"substrate-heavy / mass-light","balanced"))</f>
        <v/>
      </c>
      <c r="Z109">
        <f>IF(F109="","",H109-IFERROR(VLOOKUP(A109, Observed_Lookup!A:G, 7, FALSE),""))</f>
        <v/>
      </c>
      <c r="AA109">
        <f>IF(Z109="","",Z109*931.49410242)</f>
        <v/>
      </c>
      <c r="AB109">
        <f>8*(A109+IF(F109="",D109,G109))-17*(A109+IF(F109="",D109,G109))^(2/3)-(3/4)*A109*(A109-1)/(A109+IF(F109="",D109,G109))^(1/3)-22*(IF(F109="",D109,G109)-A109)^2/(A109+IF(F109="",D109,G109))+7*IF(AND(MOD(A109,2)=0,MOD(IF(F109="",D109,G109),2)=0),1,IF(AND(MOD(A109,2)=1,MOD(IF(F109="",D109,G109),2)=1),-1,0))/SQRT((A109+IF(F109="",D109,G109)))-(25/4)*IF(AND((A109/GCD(A109,IF(F109="",D109,G109)))=1,(IF(F109="",D109,G109)/GCD(A109,IF(F109="",D109,G109)))=1),0,1)</f>
        <v/>
      </c>
      <c r="AC109">
        <f>IF(AA109="","",AA109-AB109)</f>
        <v/>
      </c>
      <c r="AD109">
        <f>IF(AND(A109&lt;=83,A109&lt;&gt;43,A109&lt;&gt;61),"clock-stable","clock-boundary")</f>
        <v/>
      </c>
      <c r="AE109" t="inlineStr">
        <is>
          <t>engine_diff_from_observed</t>
        </is>
      </c>
      <c r="AF109" t="inlineStr">
        <is>
          <t>engine anchor Hs-315 differs from observed most-abundant Hs-277</t>
        </is>
      </c>
    </row>
    <row r="110">
      <c r="A110" t="n">
        <v>109</v>
      </c>
      <c r="B110" t="inlineStr">
        <is>
          <t>Mt</t>
        </is>
      </c>
      <c r="C110" t="inlineStr">
        <is>
          <t>Meitnerium</t>
        </is>
      </c>
      <c r="D110">
        <f>A110 + INT(A110 * INT((A110-1)/12) / 12)</f>
        <v/>
      </c>
      <c r="E110">
        <f>A110+D110</f>
        <v/>
      </c>
      <c r="F110">
        <f>VLOOKUP(A110, Observed_Lookup!A:G, 4, FALSE)</f>
        <v/>
      </c>
      <c r="G110">
        <f>VLOOKUP(A110, Observed_Lookup!A:G, 5, FALSE)</f>
        <v/>
      </c>
      <c r="H110">
        <f>VLOOKUP(A110, Observed_Lookup!A:G, 6, FALSE)</f>
        <v/>
      </c>
      <c r="I110">
        <f>IF(F110="","",D110-G110)</f>
        <v/>
      </c>
      <c r="J110">
        <f>IF(F110="","",E110-H110)</f>
        <v/>
      </c>
      <c r="K110">
        <f>GCD(A110,D110)</f>
        <v/>
      </c>
      <c r="L110">
        <f>A110/K110</f>
        <v/>
      </c>
      <c r="M110">
        <f>D110/K110</f>
        <v/>
      </c>
      <c r="N110">
        <f>"("&amp;L110&amp;","&amp;M110&amp;")"</f>
        <v/>
      </c>
      <c r="O110">
        <f>(D110-A110)/E110</f>
        <v/>
      </c>
      <c r="P110">
        <f>V110/W110</f>
        <v/>
      </c>
      <c r="Q110">
        <f>A110</f>
        <v/>
      </c>
      <c r="R110">
        <f>D110</f>
        <v/>
      </c>
      <c r="S110">
        <f>A110</f>
        <v/>
      </c>
      <c r="T110">
        <f>2*A110+D110</f>
        <v/>
      </c>
      <c r="U110">
        <f>A110+2*D110</f>
        <v/>
      </c>
      <c r="V110">
        <f>8*(A110*(7117/768)+(D110-A110)*(1/64))</f>
        <v/>
      </c>
      <c r="W110">
        <f>4*E110*(7117/768)</f>
        <v/>
      </c>
      <c r="X110">
        <f>W110-V110</f>
        <v/>
      </c>
      <c r="Y110">
        <f>IF(P110&lt;1,"substrate-light / mass-heavy",IF(P110&gt;1,"substrate-heavy / mass-light","balanced"))</f>
        <v/>
      </c>
      <c r="Z110">
        <f>IF(F110="","",H110-IFERROR(VLOOKUP(A110, Observed_Lookup!A:G, 7, FALSE),""))</f>
        <v/>
      </c>
      <c r="AA110">
        <f>IF(Z110="","",Z110*931.49410242)</f>
        <v/>
      </c>
      <c r="AB110">
        <f>8*(A110+IF(F110="",D110,G110))-17*(A110+IF(F110="",D110,G110))^(2/3)-(3/4)*A110*(A110-1)/(A110+IF(F110="",D110,G110))^(1/3)-22*(IF(F110="",D110,G110)-A110)^2/(A110+IF(F110="",D110,G110))+7*IF(AND(MOD(A110,2)=0,MOD(IF(F110="",D110,G110),2)=0),1,IF(AND(MOD(A110,2)=1,MOD(IF(F110="",D110,G110),2)=1),-1,0))/SQRT((A110+IF(F110="",D110,G110)))-(25/4)*IF(AND((A110/GCD(A110,IF(F110="",D110,G110)))=1,(IF(F110="",D110,G110)/GCD(A110,IF(F110="",D110,G110)))=1),0,1)</f>
        <v/>
      </c>
      <c r="AC110">
        <f>IF(AA110="","",AA110-AB110)</f>
        <v/>
      </c>
      <c r="AD110">
        <f>IF(AND(A110&lt;=83,A110&lt;&gt;43,A110&lt;&gt;61),"clock-stable","clock-boundary")</f>
        <v/>
      </c>
      <c r="AE110" t="inlineStr">
        <is>
          <t>engine_diff_from_observed</t>
        </is>
      </c>
      <c r="AF110" t="inlineStr">
        <is>
          <t>engine anchor Mt-218 differs from observed most-abundant Mt-278</t>
        </is>
      </c>
    </row>
    <row r="111">
      <c r="A111" t="n">
        <v>110</v>
      </c>
      <c r="B111" t="inlineStr">
        <is>
          <t>Ds</t>
        </is>
      </c>
      <c r="C111" t="inlineStr">
        <is>
          <t>Darmstadtium</t>
        </is>
      </c>
      <c r="D111">
        <f>A111 + INT(A111 * INT((A111-1)/12) / 12)</f>
        <v/>
      </c>
      <c r="E111">
        <f>A111+D111</f>
        <v/>
      </c>
      <c r="F111">
        <f>VLOOKUP(A111, Observed_Lookup!A:G, 4, FALSE)</f>
        <v/>
      </c>
      <c r="G111">
        <f>VLOOKUP(A111, Observed_Lookup!A:G, 5, FALSE)</f>
        <v/>
      </c>
      <c r="H111">
        <f>VLOOKUP(A111, Observed_Lookup!A:G, 6, FALSE)</f>
        <v/>
      </c>
      <c r="I111">
        <f>IF(F111="","",D111-G111)</f>
        <v/>
      </c>
      <c r="J111">
        <f>IF(F111="","",E111-H111)</f>
        <v/>
      </c>
      <c r="K111">
        <f>GCD(A111,D111)</f>
        <v/>
      </c>
      <c r="L111">
        <f>A111/K111</f>
        <v/>
      </c>
      <c r="M111">
        <f>D111/K111</f>
        <v/>
      </c>
      <c r="N111">
        <f>"("&amp;L111&amp;","&amp;M111&amp;")"</f>
        <v/>
      </c>
      <c r="O111">
        <f>(D111-A111)/E111</f>
        <v/>
      </c>
      <c r="P111">
        <f>V111/W111</f>
        <v/>
      </c>
      <c r="Q111">
        <f>A111</f>
        <v/>
      </c>
      <c r="R111">
        <f>D111</f>
        <v/>
      </c>
      <c r="S111">
        <f>A111</f>
        <v/>
      </c>
      <c r="T111">
        <f>2*A111+D111</f>
        <v/>
      </c>
      <c r="U111">
        <f>A111+2*D111</f>
        <v/>
      </c>
      <c r="V111">
        <f>8*(A111*(7117/768)+(D111-A111)*(1/64))</f>
        <v/>
      </c>
      <c r="W111">
        <f>4*E111*(7117/768)</f>
        <v/>
      </c>
      <c r="X111">
        <f>W111-V111</f>
        <v/>
      </c>
      <c r="Y111">
        <f>IF(P111&lt;1,"substrate-light / mass-heavy",IF(P111&gt;1,"substrate-heavy / mass-light","balanced"))</f>
        <v/>
      </c>
      <c r="Z111">
        <f>IF(F111="","",H111-IFERROR(VLOOKUP(A111, Observed_Lookup!A:G, 7, FALSE),""))</f>
        <v/>
      </c>
      <c r="AA111">
        <f>IF(Z111="","",Z111*931.49410242)</f>
        <v/>
      </c>
      <c r="AB111">
        <f>8*(A111+IF(F111="",D111,G111))-17*(A111+IF(F111="",D111,G111))^(2/3)-(3/4)*A111*(A111-1)/(A111+IF(F111="",D111,G111))^(1/3)-22*(IF(F111="",D111,G111)-A111)^2/(A111+IF(F111="",D111,G111))+7*IF(AND(MOD(A111,2)=0,MOD(IF(F111="",D111,G111),2)=0),1,IF(AND(MOD(A111,2)=1,MOD(IF(F111="",D111,G111),2)=1),-1,0))/SQRT((A111+IF(F111="",D111,G111)))-(25/4)*IF(AND((A111/GCD(A111,IF(F111="",D111,G111)))=1,(IF(F111="",D111,G111)/GCD(A111,IF(F111="",D111,G111)))=1),0,1)</f>
        <v/>
      </c>
      <c r="AC111">
        <f>IF(AA111="","",AA111-AB111)</f>
        <v/>
      </c>
      <c r="AD111">
        <f>IF(AND(A111&lt;=83,A111&lt;&gt;43,A111&lt;&gt;61),"clock-stable","clock-boundary")</f>
        <v/>
      </c>
      <c r="AE111" t="inlineStr">
        <is>
          <t>engine_diff_from_observed</t>
        </is>
      </c>
      <c r="AF111" t="inlineStr">
        <is>
          <t>engine anchor Ds-229 differs from observed most-abundant Ds-281</t>
        </is>
      </c>
    </row>
    <row r="112">
      <c r="A112" t="n">
        <v>111</v>
      </c>
      <c r="B112" t="inlineStr">
        <is>
          <t>Rg</t>
        </is>
      </c>
      <c r="C112" t="inlineStr">
        <is>
          <t>Roentgenium</t>
        </is>
      </c>
      <c r="D112">
        <f>A112 + INT(A112 * INT((A112-1)/12) / 12)</f>
        <v/>
      </c>
      <c r="E112">
        <f>A112+D112</f>
        <v/>
      </c>
      <c r="F112">
        <f>VLOOKUP(A112, Observed_Lookup!A:G, 4, FALSE)</f>
        <v/>
      </c>
      <c r="G112">
        <f>VLOOKUP(A112, Observed_Lookup!A:G, 5, FALSE)</f>
        <v/>
      </c>
      <c r="H112">
        <f>VLOOKUP(A112, Observed_Lookup!A:G, 6, FALSE)</f>
        <v/>
      </c>
      <c r="I112">
        <f>IF(F112="","",D112-G112)</f>
        <v/>
      </c>
      <c r="J112">
        <f>IF(F112="","",E112-H112)</f>
        <v/>
      </c>
      <c r="K112">
        <f>GCD(A112,D112)</f>
        <v/>
      </c>
      <c r="L112">
        <f>A112/K112</f>
        <v/>
      </c>
      <c r="M112">
        <f>D112/K112</f>
        <v/>
      </c>
      <c r="N112">
        <f>"("&amp;L112&amp;","&amp;M112&amp;")"</f>
        <v/>
      </c>
      <c r="O112">
        <f>(D112-A112)/E112</f>
        <v/>
      </c>
      <c r="P112">
        <f>V112/W112</f>
        <v/>
      </c>
      <c r="Q112">
        <f>A112</f>
        <v/>
      </c>
      <c r="R112">
        <f>D112</f>
        <v/>
      </c>
      <c r="S112">
        <f>A112</f>
        <v/>
      </c>
      <c r="T112">
        <f>2*A112+D112</f>
        <v/>
      </c>
      <c r="U112">
        <f>A112+2*D112</f>
        <v/>
      </c>
      <c r="V112">
        <f>8*(A112*(7117/768)+(D112-A112)*(1/64))</f>
        <v/>
      </c>
      <c r="W112">
        <f>4*E112*(7117/768)</f>
        <v/>
      </c>
      <c r="X112">
        <f>W112-V112</f>
        <v/>
      </c>
      <c r="Y112">
        <f>IF(P112&lt;1,"substrate-light / mass-heavy",IF(P112&gt;1,"substrate-heavy / mass-light","balanced"))</f>
        <v/>
      </c>
      <c r="Z112">
        <f>IF(F112="","",H112-IFERROR(VLOOKUP(A112, Observed_Lookup!A:G, 7, FALSE),""))</f>
        <v/>
      </c>
      <c r="AA112">
        <f>IF(Z112="","",Z112*931.49410242)</f>
        <v/>
      </c>
      <c r="AB112">
        <f>8*(A112+IF(F112="",D112,G112))-17*(A112+IF(F112="",D112,G112))^(2/3)-(3/4)*A112*(A112-1)/(A112+IF(F112="",D112,G112))^(1/3)-22*(IF(F112="",D112,G112)-A112)^2/(A112+IF(F112="",D112,G112))+7*IF(AND(MOD(A112,2)=0,MOD(IF(F112="",D112,G112),2)=0),1,IF(AND(MOD(A112,2)=1,MOD(IF(F112="",D112,G112),2)=1),-1,0))/SQRT((A112+IF(F112="",D112,G112)))-(25/4)*IF(AND((A112/GCD(A112,IF(F112="",D112,G112)))=1,(IF(F112="",D112,G112)/GCD(A112,IF(F112="",D112,G112)))=1),0,1)</f>
        <v/>
      </c>
      <c r="AC112">
        <f>IF(AA112="","",AA112-AB112)</f>
        <v/>
      </c>
      <c r="AD112">
        <f>IF(AND(A112&lt;=83,A112&lt;&gt;43,A112&lt;&gt;61),"clock-stable","clock-boundary")</f>
        <v/>
      </c>
      <c r="AE112" t="inlineStr">
        <is>
          <t>engine_diff_from_observed</t>
        </is>
      </c>
      <c r="AF112" t="inlineStr">
        <is>
          <t>engine anchor Rg-240 differs from observed most-abundant Rg-282</t>
        </is>
      </c>
    </row>
    <row r="113">
      <c r="A113" t="n">
        <v>112</v>
      </c>
      <c r="B113" t="inlineStr">
        <is>
          <t>Cn</t>
        </is>
      </c>
      <c r="C113" t="inlineStr">
        <is>
          <t>Copernicium</t>
        </is>
      </c>
      <c r="D113">
        <f>A113 + INT(A113 * INT((A113-1)/12) / 12)</f>
        <v/>
      </c>
      <c r="E113">
        <f>A113+D113</f>
        <v/>
      </c>
      <c r="F113">
        <f>VLOOKUP(A113, Observed_Lookup!A:G, 4, FALSE)</f>
        <v/>
      </c>
      <c r="G113">
        <f>VLOOKUP(A113, Observed_Lookup!A:G, 5, FALSE)</f>
        <v/>
      </c>
      <c r="H113">
        <f>VLOOKUP(A113, Observed_Lookup!A:G, 6, FALSE)</f>
        <v/>
      </c>
      <c r="I113">
        <f>IF(F113="","",D113-G113)</f>
        <v/>
      </c>
      <c r="J113">
        <f>IF(F113="","",E113-H113)</f>
        <v/>
      </c>
      <c r="K113">
        <f>GCD(A113,D113)</f>
        <v/>
      </c>
      <c r="L113">
        <f>A113/K113</f>
        <v/>
      </c>
      <c r="M113">
        <f>D113/K113</f>
        <v/>
      </c>
      <c r="N113">
        <f>"("&amp;L113&amp;","&amp;M113&amp;")"</f>
        <v/>
      </c>
      <c r="O113">
        <f>(D113-A113)/E113</f>
        <v/>
      </c>
      <c r="P113">
        <f>V113/W113</f>
        <v/>
      </c>
      <c r="Q113">
        <f>A113</f>
        <v/>
      </c>
      <c r="R113">
        <f>D113</f>
        <v/>
      </c>
      <c r="S113">
        <f>A113</f>
        <v/>
      </c>
      <c r="T113">
        <f>2*A113+D113</f>
        <v/>
      </c>
      <c r="U113">
        <f>A113+2*D113</f>
        <v/>
      </c>
      <c r="V113">
        <f>8*(A113*(7117/768)+(D113-A113)*(1/64))</f>
        <v/>
      </c>
      <c r="W113">
        <f>4*E113*(7117/768)</f>
        <v/>
      </c>
      <c r="X113">
        <f>W113-V113</f>
        <v/>
      </c>
      <c r="Y113">
        <f>IF(P113&lt;1,"substrate-light / mass-heavy",IF(P113&gt;1,"substrate-heavy / mass-light","balanced"))</f>
        <v/>
      </c>
      <c r="Z113">
        <f>IF(F113="","",H113-IFERROR(VLOOKUP(A113, Observed_Lookup!A:G, 7, FALSE),""))</f>
        <v/>
      </c>
      <c r="AA113">
        <f>IF(Z113="","",Z113*931.49410242)</f>
        <v/>
      </c>
      <c r="AB113">
        <f>8*(A113+IF(F113="",D113,G113))-17*(A113+IF(F113="",D113,G113))^(2/3)-(3/4)*A113*(A113-1)/(A113+IF(F113="",D113,G113))^(1/3)-22*(IF(F113="",D113,G113)-A113)^2/(A113+IF(F113="",D113,G113))+7*IF(AND(MOD(A113,2)=0,MOD(IF(F113="",D113,G113),2)=0),1,IF(AND(MOD(A113,2)=1,MOD(IF(F113="",D113,G113),2)=1),-1,0))/SQRT((A113+IF(F113="",D113,G113)))-(25/4)*IF(AND((A113/GCD(A113,IF(F113="",D113,G113)))=1,(IF(F113="",D113,G113)/GCD(A113,IF(F113="",D113,G113)))=1),0,1)</f>
        <v/>
      </c>
      <c r="AC113">
        <f>IF(AA113="","",AA113-AB113)</f>
        <v/>
      </c>
      <c r="AD113">
        <f>IF(AND(A113&lt;=83,A113&lt;&gt;43,A113&lt;&gt;61),"clock-stable","clock-boundary")</f>
        <v/>
      </c>
      <c r="AE113" t="inlineStr">
        <is>
          <t>engine_diff_from_observed</t>
        </is>
      </c>
      <c r="AF113" t="inlineStr">
        <is>
          <t>engine anchor Cn-252 differs from observed most-abundant Cn-285</t>
        </is>
      </c>
    </row>
    <row r="114">
      <c r="A114" t="n">
        <v>113</v>
      </c>
      <c r="B114" t="inlineStr">
        <is>
          <t>Nh</t>
        </is>
      </c>
      <c r="C114" t="inlineStr">
        <is>
          <t>Nihonium</t>
        </is>
      </c>
      <c r="D114">
        <f>A114 + INT(A114 * INT((A114-1)/12) / 12)</f>
        <v/>
      </c>
      <c r="E114">
        <f>A114+D114</f>
        <v/>
      </c>
      <c r="F114">
        <f>VLOOKUP(A114, Observed_Lookup!A:G, 4, FALSE)</f>
        <v/>
      </c>
      <c r="G114">
        <f>VLOOKUP(A114, Observed_Lookup!A:G, 5, FALSE)</f>
        <v/>
      </c>
      <c r="H114">
        <f>VLOOKUP(A114, Observed_Lookup!A:G, 6, FALSE)</f>
        <v/>
      </c>
      <c r="I114">
        <f>IF(F114="","",D114-G114)</f>
        <v/>
      </c>
      <c r="J114">
        <f>IF(F114="","",E114-H114)</f>
        <v/>
      </c>
      <c r="K114">
        <f>GCD(A114,D114)</f>
        <v/>
      </c>
      <c r="L114">
        <f>A114/K114</f>
        <v/>
      </c>
      <c r="M114">
        <f>D114/K114</f>
        <v/>
      </c>
      <c r="N114">
        <f>"("&amp;L114&amp;","&amp;M114&amp;")"</f>
        <v/>
      </c>
      <c r="O114">
        <f>(D114-A114)/E114</f>
        <v/>
      </c>
      <c r="P114">
        <f>V114/W114</f>
        <v/>
      </c>
      <c r="Q114">
        <f>A114</f>
        <v/>
      </c>
      <c r="R114">
        <f>D114</f>
        <v/>
      </c>
      <c r="S114">
        <f>A114</f>
        <v/>
      </c>
      <c r="T114">
        <f>2*A114+D114</f>
        <v/>
      </c>
      <c r="U114">
        <f>A114+2*D114</f>
        <v/>
      </c>
      <c r="V114">
        <f>8*(A114*(7117/768)+(D114-A114)*(1/64))</f>
        <v/>
      </c>
      <c r="W114">
        <f>4*E114*(7117/768)</f>
        <v/>
      </c>
      <c r="X114">
        <f>W114-V114</f>
        <v/>
      </c>
      <c r="Y114">
        <f>IF(P114&lt;1,"substrate-light / mass-heavy",IF(P114&gt;1,"substrate-heavy / mass-light","balanced"))</f>
        <v/>
      </c>
      <c r="Z114">
        <f>IF(F114="","",H114-IFERROR(VLOOKUP(A114, Observed_Lookup!A:G, 7, FALSE),""))</f>
        <v/>
      </c>
      <c r="AA114">
        <f>IF(Z114="","",Z114*931.49410242)</f>
        <v/>
      </c>
      <c r="AB114">
        <f>8*(A114+IF(F114="",D114,G114))-17*(A114+IF(F114="",D114,G114))^(2/3)-(3/4)*A114*(A114-1)/(A114+IF(F114="",D114,G114))^(1/3)-22*(IF(F114="",D114,G114)-A114)^2/(A114+IF(F114="",D114,G114))+7*IF(AND(MOD(A114,2)=0,MOD(IF(F114="",D114,G114),2)=0),1,IF(AND(MOD(A114,2)=1,MOD(IF(F114="",D114,G114),2)=1),-1,0))/SQRT((A114+IF(F114="",D114,G114)))-(25/4)*IF(AND((A114/GCD(A114,IF(F114="",D114,G114)))=1,(IF(F114="",D114,G114)/GCD(A114,IF(F114="",D114,G114)))=1),0,1)</f>
        <v/>
      </c>
      <c r="AC114">
        <f>IF(AA114="","",AA114-AB114)</f>
        <v/>
      </c>
      <c r="AD114">
        <f>IF(AND(A114&lt;=83,A114&lt;&gt;43,A114&lt;&gt;61),"clock-stable","clock-boundary")</f>
        <v/>
      </c>
      <c r="AE114" t="inlineStr">
        <is>
          <t>engine_diff_from_observed</t>
        </is>
      </c>
      <c r="AF114" t="inlineStr">
        <is>
          <t>engine anchor Nh-263 differs from observed most-abundant Nh-286</t>
        </is>
      </c>
    </row>
    <row r="115">
      <c r="A115" t="n">
        <v>114</v>
      </c>
      <c r="B115" t="inlineStr">
        <is>
          <t>Fl</t>
        </is>
      </c>
      <c r="C115" t="inlineStr">
        <is>
          <t>Flerovium</t>
        </is>
      </c>
      <c r="D115">
        <f>A115 + INT(A115 * INT((A115-1)/12) / 12)</f>
        <v/>
      </c>
      <c r="E115">
        <f>A115+D115</f>
        <v/>
      </c>
      <c r="F115">
        <f>VLOOKUP(A115, Observed_Lookup!A:G, 4, FALSE)</f>
        <v/>
      </c>
      <c r="G115">
        <f>VLOOKUP(A115, Observed_Lookup!A:G, 5, FALSE)</f>
        <v/>
      </c>
      <c r="H115">
        <f>VLOOKUP(A115, Observed_Lookup!A:G, 6, FALSE)</f>
        <v/>
      </c>
      <c r="I115">
        <f>IF(F115="","",D115-G115)</f>
        <v/>
      </c>
      <c r="J115">
        <f>IF(F115="","",E115-H115)</f>
        <v/>
      </c>
      <c r="K115">
        <f>GCD(A115,D115)</f>
        <v/>
      </c>
      <c r="L115">
        <f>A115/K115</f>
        <v/>
      </c>
      <c r="M115">
        <f>D115/K115</f>
        <v/>
      </c>
      <c r="N115">
        <f>"("&amp;L115&amp;","&amp;M115&amp;")"</f>
        <v/>
      </c>
      <c r="O115">
        <f>(D115-A115)/E115</f>
        <v/>
      </c>
      <c r="P115">
        <f>V115/W115</f>
        <v/>
      </c>
      <c r="Q115">
        <f>A115</f>
        <v/>
      </c>
      <c r="R115">
        <f>D115</f>
        <v/>
      </c>
      <c r="S115">
        <f>A115</f>
        <v/>
      </c>
      <c r="T115">
        <f>2*A115+D115</f>
        <v/>
      </c>
      <c r="U115">
        <f>A115+2*D115</f>
        <v/>
      </c>
      <c r="V115">
        <f>8*(A115*(7117/768)+(D115-A115)*(1/64))</f>
        <v/>
      </c>
      <c r="W115">
        <f>4*E115*(7117/768)</f>
        <v/>
      </c>
      <c r="X115">
        <f>W115-V115</f>
        <v/>
      </c>
      <c r="Y115">
        <f>IF(P115&lt;1,"substrate-light / mass-heavy",IF(P115&gt;1,"substrate-heavy / mass-light","balanced"))</f>
        <v/>
      </c>
      <c r="Z115">
        <f>IF(F115="","",H115-IFERROR(VLOOKUP(A115, Observed_Lookup!A:G, 7, FALSE),""))</f>
        <v/>
      </c>
      <c r="AA115">
        <f>IF(Z115="","",Z115*931.49410242)</f>
        <v/>
      </c>
      <c r="AB115">
        <f>8*(A115+IF(F115="",D115,G115))-17*(A115+IF(F115="",D115,G115))^(2/3)-(3/4)*A115*(A115-1)/(A115+IF(F115="",D115,G115))^(1/3)-22*(IF(F115="",D115,G115)-A115)^2/(A115+IF(F115="",D115,G115))+7*IF(AND(MOD(A115,2)=0,MOD(IF(F115="",D115,G115),2)=0),1,IF(AND(MOD(A115,2)=1,MOD(IF(F115="",D115,G115),2)=1),-1,0))/SQRT((A115+IF(F115="",D115,G115)))-(25/4)*IF(AND((A115/GCD(A115,IF(F115="",D115,G115)))=1,(IF(F115="",D115,G115)/GCD(A115,IF(F115="",D115,G115)))=1),0,1)</f>
        <v/>
      </c>
      <c r="AC115">
        <f>IF(AA115="","",AA115-AB115)</f>
        <v/>
      </c>
      <c r="AD115">
        <f>IF(AND(A115&lt;=83,A115&lt;&gt;43,A115&lt;&gt;61),"clock-stable","clock-boundary")</f>
        <v/>
      </c>
      <c r="AE115" t="inlineStr">
        <is>
          <t>engine_diff_from_observed</t>
        </is>
      </c>
      <c r="AF115" t="inlineStr">
        <is>
          <t>engine anchor Fl-275 differs from observed most-abundant Fl-289</t>
        </is>
      </c>
    </row>
    <row r="116">
      <c r="A116" t="n">
        <v>115</v>
      </c>
      <c r="B116" t="inlineStr">
        <is>
          <t>Mc</t>
        </is>
      </c>
      <c r="C116" t="inlineStr">
        <is>
          <t>Moscovium</t>
        </is>
      </c>
      <c r="D116">
        <f>A116 + INT(A116 * INT((A116-1)/12) / 12)</f>
        <v/>
      </c>
      <c r="E116">
        <f>A116+D116</f>
        <v/>
      </c>
      <c r="F116">
        <f>VLOOKUP(A116, Observed_Lookup!A:G, 4, FALSE)</f>
        <v/>
      </c>
      <c r="G116">
        <f>VLOOKUP(A116, Observed_Lookup!A:G, 5, FALSE)</f>
        <v/>
      </c>
      <c r="H116">
        <f>VLOOKUP(A116, Observed_Lookup!A:G, 6, FALSE)</f>
        <v/>
      </c>
      <c r="I116">
        <f>IF(F116="","",D116-G116)</f>
        <v/>
      </c>
      <c r="J116">
        <f>IF(F116="","",E116-H116)</f>
        <v/>
      </c>
      <c r="K116">
        <f>GCD(A116,D116)</f>
        <v/>
      </c>
      <c r="L116">
        <f>A116/K116</f>
        <v/>
      </c>
      <c r="M116">
        <f>D116/K116</f>
        <v/>
      </c>
      <c r="N116">
        <f>"("&amp;L116&amp;","&amp;M116&amp;")"</f>
        <v/>
      </c>
      <c r="O116">
        <f>(D116-A116)/E116</f>
        <v/>
      </c>
      <c r="P116">
        <f>V116/W116</f>
        <v/>
      </c>
      <c r="Q116">
        <f>A116</f>
        <v/>
      </c>
      <c r="R116">
        <f>D116</f>
        <v/>
      </c>
      <c r="S116">
        <f>A116</f>
        <v/>
      </c>
      <c r="T116">
        <f>2*A116+D116</f>
        <v/>
      </c>
      <c r="U116">
        <f>A116+2*D116</f>
        <v/>
      </c>
      <c r="V116">
        <f>8*(A116*(7117/768)+(D116-A116)*(1/64))</f>
        <v/>
      </c>
      <c r="W116">
        <f>4*E116*(7117/768)</f>
        <v/>
      </c>
      <c r="X116">
        <f>W116-V116</f>
        <v/>
      </c>
      <c r="Y116">
        <f>IF(P116&lt;1,"substrate-light / mass-heavy",IF(P116&gt;1,"substrate-heavy / mass-light","balanced"))</f>
        <v/>
      </c>
      <c r="Z116">
        <f>IF(F116="","",H116-IFERROR(VLOOKUP(A116, Observed_Lookup!A:G, 7, FALSE),""))</f>
        <v/>
      </c>
      <c r="AA116">
        <f>IF(Z116="","",Z116*931.49410242)</f>
        <v/>
      </c>
      <c r="AB116">
        <f>8*(A116+IF(F116="",D116,G116))-17*(A116+IF(F116="",D116,G116))^(2/3)-(3/4)*A116*(A116-1)/(A116+IF(F116="",D116,G116))^(1/3)-22*(IF(F116="",D116,G116)-A116)^2/(A116+IF(F116="",D116,G116))+7*IF(AND(MOD(A116,2)=0,MOD(IF(F116="",D116,G116),2)=0),1,IF(AND(MOD(A116,2)=1,MOD(IF(F116="",D116,G116),2)=1),-1,0))/SQRT((A116+IF(F116="",D116,G116)))-(25/4)*IF(AND((A116/GCD(A116,IF(F116="",D116,G116)))=1,(IF(F116="",D116,G116)/GCD(A116,IF(F116="",D116,G116)))=1),0,1)</f>
        <v/>
      </c>
      <c r="AC116">
        <f>IF(AA116="","",AA116-AB116)</f>
        <v/>
      </c>
      <c r="AD116">
        <f>IF(AND(A116&lt;=83,A116&lt;&gt;43,A116&lt;&gt;61),"clock-stable","clock-boundary")</f>
        <v/>
      </c>
      <c r="AE116" t="inlineStr">
        <is>
          <t>engine_diff_from_observed</t>
        </is>
      </c>
      <c r="AF116" t="inlineStr">
        <is>
          <t>engine anchor Mc-287 differs from observed most-abundant Mc-290</t>
        </is>
      </c>
    </row>
    <row r="117">
      <c r="A117" t="n">
        <v>116</v>
      </c>
      <c r="B117" t="inlineStr">
        <is>
          <t>Lv</t>
        </is>
      </c>
      <c r="C117" t="inlineStr">
        <is>
          <t>Livermorium</t>
        </is>
      </c>
      <c r="D117">
        <f>A117 + INT(A117 * INT((A117-1)/12) / 12)</f>
        <v/>
      </c>
      <c r="E117">
        <f>A117+D117</f>
        <v/>
      </c>
      <c r="F117">
        <f>VLOOKUP(A117, Observed_Lookup!A:G, 4, FALSE)</f>
        <v/>
      </c>
      <c r="G117">
        <f>VLOOKUP(A117, Observed_Lookup!A:G, 5, FALSE)</f>
        <v/>
      </c>
      <c r="H117">
        <f>VLOOKUP(A117, Observed_Lookup!A:G, 6, FALSE)</f>
        <v/>
      </c>
      <c r="I117">
        <f>IF(F117="","",D117-G117)</f>
        <v/>
      </c>
      <c r="J117">
        <f>IF(F117="","",E117-H117)</f>
        <v/>
      </c>
      <c r="K117">
        <f>GCD(A117,D117)</f>
        <v/>
      </c>
      <c r="L117">
        <f>A117/K117</f>
        <v/>
      </c>
      <c r="M117">
        <f>D117/K117</f>
        <v/>
      </c>
      <c r="N117">
        <f>"("&amp;L117&amp;","&amp;M117&amp;")"</f>
        <v/>
      </c>
      <c r="O117">
        <f>(D117-A117)/E117</f>
        <v/>
      </c>
      <c r="P117">
        <f>V117/W117</f>
        <v/>
      </c>
      <c r="Q117">
        <f>A117</f>
        <v/>
      </c>
      <c r="R117">
        <f>D117</f>
        <v/>
      </c>
      <c r="S117">
        <f>A117</f>
        <v/>
      </c>
      <c r="T117">
        <f>2*A117+D117</f>
        <v/>
      </c>
      <c r="U117">
        <f>A117+2*D117</f>
        <v/>
      </c>
      <c r="V117">
        <f>8*(A117*(7117/768)+(D117-A117)*(1/64))</f>
        <v/>
      </c>
      <c r="W117">
        <f>4*E117*(7117/768)</f>
        <v/>
      </c>
      <c r="X117">
        <f>W117-V117</f>
        <v/>
      </c>
      <c r="Y117">
        <f>IF(P117&lt;1,"substrate-light / mass-heavy",IF(P117&gt;1,"substrate-heavy / mass-light","balanced"))</f>
        <v/>
      </c>
      <c r="Z117">
        <f>IF(F117="","",H117-IFERROR(VLOOKUP(A117, Observed_Lookup!A:G, 7, FALSE),""))</f>
        <v/>
      </c>
      <c r="AA117">
        <f>IF(Z117="","",Z117*931.49410242)</f>
        <v/>
      </c>
      <c r="AB117">
        <f>8*(A117+IF(F117="",D117,G117))-17*(A117+IF(F117="",D117,G117))^(2/3)-(3/4)*A117*(A117-1)/(A117+IF(F117="",D117,G117))^(1/3)-22*(IF(F117="",D117,G117)-A117)^2/(A117+IF(F117="",D117,G117))+7*IF(AND(MOD(A117,2)=0,MOD(IF(F117="",D117,G117),2)=0),1,IF(AND(MOD(A117,2)=1,MOD(IF(F117="",D117,G117),2)=1),-1,0))/SQRT((A117+IF(F117="",D117,G117)))-(25/4)*IF(AND((A117/GCD(A117,IF(F117="",D117,G117)))=1,(IF(F117="",D117,G117)/GCD(A117,IF(F117="",D117,G117)))=1),0,1)</f>
        <v/>
      </c>
      <c r="AC117">
        <f>IF(AA117="","",AA117-AB117)</f>
        <v/>
      </c>
      <c r="AD117">
        <f>IF(AND(A117&lt;=83,A117&lt;&gt;43,A117&lt;&gt;61),"clock-stable","clock-boundary")</f>
        <v/>
      </c>
      <c r="AE117" t="inlineStr">
        <is>
          <t>engine_diff_from_observed</t>
        </is>
      </c>
      <c r="AF117" t="inlineStr">
        <is>
          <t>engine anchor Lv-299 differs from observed most-abundant Lv-293</t>
        </is>
      </c>
    </row>
    <row r="118">
      <c r="A118" t="n">
        <v>117</v>
      </c>
      <c r="B118" t="inlineStr">
        <is>
          <t>Ts</t>
        </is>
      </c>
      <c r="C118" t="inlineStr">
        <is>
          <t>Tennessine</t>
        </is>
      </c>
      <c r="D118">
        <f>A118 + INT(A118 * INT((A118-1)/12) / 12)</f>
        <v/>
      </c>
      <c r="E118">
        <f>A118+D118</f>
        <v/>
      </c>
      <c r="F118">
        <f>VLOOKUP(A118, Observed_Lookup!A:G, 4, FALSE)</f>
        <v/>
      </c>
      <c r="G118">
        <f>VLOOKUP(A118, Observed_Lookup!A:G, 5, FALSE)</f>
        <v/>
      </c>
      <c r="H118">
        <f>VLOOKUP(A118, Observed_Lookup!A:G, 6, FALSE)</f>
        <v/>
      </c>
      <c r="I118">
        <f>IF(F118="","",D118-G118)</f>
        <v/>
      </c>
      <c r="J118">
        <f>IF(F118="","",E118-H118)</f>
        <v/>
      </c>
      <c r="K118">
        <f>GCD(A118,D118)</f>
        <v/>
      </c>
      <c r="L118">
        <f>A118/K118</f>
        <v/>
      </c>
      <c r="M118">
        <f>D118/K118</f>
        <v/>
      </c>
      <c r="N118">
        <f>"("&amp;L118&amp;","&amp;M118&amp;")"</f>
        <v/>
      </c>
      <c r="O118">
        <f>(D118-A118)/E118</f>
        <v/>
      </c>
      <c r="P118">
        <f>V118/W118</f>
        <v/>
      </c>
      <c r="Q118">
        <f>A118</f>
        <v/>
      </c>
      <c r="R118">
        <f>D118</f>
        <v/>
      </c>
      <c r="S118">
        <f>A118</f>
        <v/>
      </c>
      <c r="T118">
        <f>2*A118+D118</f>
        <v/>
      </c>
      <c r="U118">
        <f>A118+2*D118</f>
        <v/>
      </c>
      <c r="V118">
        <f>8*(A118*(7117/768)+(D118-A118)*(1/64))</f>
        <v/>
      </c>
      <c r="W118">
        <f>4*E118*(7117/768)</f>
        <v/>
      </c>
      <c r="X118">
        <f>W118-V118</f>
        <v/>
      </c>
      <c r="Y118">
        <f>IF(P118&lt;1,"substrate-light / mass-heavy",IF(P118&gt;1,"substrate-heavy / mass-light","balanced"))</f>
        <v/>
      </c>
      <c r="Z118">
        <f>IF(F118="","",H118-IFERROR(VLOOKUP(A118, Observed_Lookup!A:G, 7, FALSE),""))</f>
        <v/>
      </c>
      <c r="AA118">
        <f>IF(Z118="","",Z118*931.49410242)</f>
        <v/>
      </c>
      <c r="AB118">
        <f>8*(A118+IF(F118="",D118,G118))-17*(A118+IF(F118="",D118,G118))^(2/3)-(3/4)*A118*(A118-1)/(A118+IF(F118="",D118,G118))^(1/3)-22*(IF(F118="",D118,G118)-A118)^2/(A118+IF(F118="",D118,G118))+7*IF(AND(MOD(A118,2)=0,MOD(IF(F118="",D118,G118),2)=0),1,IF(AND(MOD(A118,2)=1,MOD(IF(F118="",D118,G118),2)=1),-1,0))/SQRT((A118+IF(F118="",D118,G118)))-(25/4)*IF(AND((A118/GCD(A118,IF(F118="",D118,G118)))=1,(IF(F118="",D118,G118)/GCD(A118,IF(F118="",D118,G118)))=1),0,1)</f>
        <v/>
      </c>
      <c r="AC118">
        <f>IF(AA118="","",AA118-AB118)</f>
        <v/>
      </c>
      <c r="AD118">
        <f>IF(AND(A118&lt;=83,A118&lt;&gt;43,A118&lt;&gt;61),"clock-stable","clock-boundary")</f>
        <v/>
      </c>
      <c r="AE118" t="inlineStr">
        <is>
          <t>engine_diff_from_observed</t>
        </is>
      </c>
      <c r="AF118" t="inlineStr">
        <is>
          <t>engine anchor Ts-312 differs from observed most-abundant Ts-294</t>
        </is>
      </c>
    </row>
    <row r="119">
      <c r="A119" t="n">
        <v>118</v>
      </c>
      <c r="B119" t="inlineStr">
        <is>
          <t>Og</t>
        </is>
      </c>
      <c r="C119" t="inlineStr">
        <is>
          <t>Oganesson</t>
        </is>
      </c>
      <c r="D119">
        <f>A119 + INT(A119 * INT((A119-1)/12) / 12)</f>
        <v/>
      </c>
      <c r="E119">
        <f>A119+D119</f>
        <v/>
      </c>
      <c r="F119">
        <f>VLOOKUP(A119, Observed_Lookup!A:G, 4, FALSE)</f>
        <v/>
      </c>
      <c r="G119">
        <f>VLOOKUP(A119, Observed_Lookup!A:G, 5, FALSE)</f>
        <v/>
      </c>
      <c r="H119">
        <f>VLOOKUP(A119, Observed_Lookup!A:G, 6, FALSE)</f>
        <v/>
      </c>
      <c r="I119">
        <f>IF(F119="","",D119-G119)</f>
        <v/>
      </c>
      <c r="J119">
        <f>IF(F119="","",E119-H119)</f>
        <v/>
      </c>
      <c r="K119">
        <f>GCD(A119,D119)</f>
        <v/>
      </c>
      <c r="L119">
        <f>A119/K119</f>
        <v/>
      </c>
      <c r="M119">
        <f>D119/K119</f>
        <v/>
      </c>
      <c r="N119">
        <f>"("&amp;L119&amp;","&amp;M119&amp;")"</f>
        <v/>
      </c>
      <c r="O119">
        <f>(D119-A119)/E119</f>
        <v/>
      </c>
      <c r="P119">
        <f>V119/W119</f>
        <v/>
      </c>
      <c r="Q119">
        <f>A119</f>
        <v/>
      </c>
      <c r="R119">
        <f>D119</f>
        <v/>
      </c>
      <c r="S119">
        <f>A119</f>
        <v/>
      </c>
      <c r="T119">
        <f>2*A119+D119</f>
        <v/>
      </c>
      <c r="U119">
        <f>A119+2*D119</f>
        <v/>
      </c>
      <c r="V119">
        <f>8*(A119*(7117/768)+(D119-A119)*(1/64))</f>
        <v/>
      </c>
      <c r="W119">
        <f>4*E119*(7117/768)</f>
        <v/>
      </c>
      <c r="X119">
        <f>W119-V119</f>
        <v/>
      </c>
      <c r="Y119">
        <f>IF(P119&lt;1,"substrate-light / mass-heavy",IF(P119&gt;1,"substrate-heavy / mass-light","balanced"))</f>
        <v/>
      </c>
      <c r="Z119">
        <f>IF(F119="","",H119-IFERROR(VLOOKUP(A119, Observed_Lookup!A:G, 7, FALSE),""))</f>
        <v/>
      </c>
      <c r="AA119">
        <f>IF(Z119="","",Z119*931.49410242)</f>
        <v/>
      </c>
      <c r="AB119">
        <f>8*(A119+IF(F119="",D119,G119))-17*(A119+IF(F119="",D119,G119))^(2/3)-(3/4)*A119*(A119-1)/(A119+IF(F119="",D119,G119))^(1/3)-22*(IF(F119="",D119,G119)-A119)^2/(A119+IF(F119="",D119,G119))+7*IF(AND(MOD(A119,2)=0,MOD(IF(F119="",D119,G119),2)=0),1,IF(AND(MOD(A119,2)=1,MOD(IF(F119="",D119,G119),2)=1),-1,0))/SQRT((A119+IF(F119="",D119,G119)))-(25/4)*IF(AND((A119/GCD(A119,IF(F119="",D119,G119)))=1,(IF(F119="",D119,G119)/GCD(A119,IF(F119="",D119,G119)))=1),0,1)</f>
        <v/>
      </c>
      <c r="AC119">
        <f>IF(AA119="","",AA119-AB119)</f>
        <v/>
      </c>
      <c r="AD119">
        <f>IF(AND(A119&lt;=83,A119&lt;&gt;43,A119&lt;&gt;61),"clock-stable","clock-boundary")</f>
        <v/>
      </c>
      <c r="AE119" t="inlineStr">
        <is>
          <t>engine_diff_from_observed</t>
        </is>
      </c>
      <c r="AF119" t="inlineStr">
        <is>
          <t>engine anchor Og-324 differs from observed most-abundant Og-294</t>
        </is>
      </c>
    </row>
    <row r="120">
      <c r="A120" t="n">
        <v>119</v>
      </c>
      <c r="B120" t="inlineStr">
        <is>
          <t>Uue</t>
        </is>
      </c>
      <c r="C120" t="inlineStr">
        <is>
          <t>Ununennium</t>
        </is>
      </c>
      <c r="D120">
        <f>A120 + INT(A120 * INT((A120-1)/12) / 12)</f>
        <v/>
      </c>
      <c r="E120">
        <f>A120+D120</f>
        <v/>
      </c>
      <c r="F120">
        <f>VLOOKUP(A120, Observed_Lookup!A:G, 4, FALSE)</f>
        <v/>
      </c>
      <c r="G120">
        <f>VLOOKUP(A120, Observed_Lookup!A:G, 5, FALSE)</f>
        <v/>
      </c>
      <c r="H120">
        <f>VLOOKUP(A120, Observed_Lookup!A:G, 6, FALSE)</f>
        <v/>
      </c>
      <c r="I120">
        <f>IF(F120="","",D120-G120)</f>
        <v/>
      </c>
      <c r="J120">
        <f>IF(F120="","",E120-H120)</f>
        <v/>
      </c>
      <c r="K120">
        <f>GCD(A120,D120)</f>
        <v/>
      </c>
      <c r="L120">
        <f>A120/K120</f>
        <v/>
      </c>
      <c r="M120">
        <f>D120/K120</f>
        <v/>
      </c>
      <c r="N120">
        <f>"("&amp;L120&amp;","&amp;M120&amp;")"</f>
        <v/>
      </c>
      <c r="O120">
        <f>(D120-A120)/E120</f>
        <v/>
      </c>
      <c r="P120">
        <f>V120/W120</f>
        <v/>
      </c>
      <c r="Q120">
        <f>A120</f>
        <v/>
      </c>
      <c r="R120">
        <f>D120</f>
        <v/>
      </c>
      <c r="S120">
        <f>A120</f>
        <v/>
      </c>
      <c r="T120">
        <f>2*A120+D120</f>
        <v/>
      </c>
      <c r="U120">
        <f>A120+2*D120</f>
        <v/>
      </c>
      <c r="V120">
        <f>8*(A120*(7117/768)+(D120-A120)*(1/64))</f>
        <v/>
      </c>
      <c r="W120">
        <f>4*E120*(7117/768)</f>
        <v/>
      </c>
      <c r="X120">
        <f>W120-V120</f>
        <v/>
      </c>
      <c r="Y120">
        <f>IF(P120&lt;1,"substrate-light / mass-heavy",IF(P120&gt;1,"substrate-heavy / mass-light","balanced"))</f>
        <v/>
      </c>
      <c r="Z120">
        <f>IF(F120="","",H120-IFERROR(VLOOKUP(A120, Observed_Lookup!A:G, 7, FALSE),""))</f>
        <v/>
      </c>
      <c r="AA120">
        <f>IF(Z120="","",Z120*931.49410242)</f>
        <v/>
      </c>
      <c r="AB120">
        <f>8*(A120+IF(F120="",D120,G120))-17*(A120+IF(F120="",D120,G120))^(2/3)-(3/4)*A120*(A120-1)/(A120+IF(F120="",D120,G120))^(1/3)-22*(IF(F120="",D120,G120)-A120)^2/(A120+IF(F120="",D120,G120))+7*IF(AND(MOD(A120,2)=0,MOD(IF(F120="",D120,G120),2)=0),1,IF(AND(MOD(A120,2)=1,MOD(IF(F120="",D120,G120),2)=1),-1,0))/SQRT((A120+IF(F120="",D120,G120)))-(25/4)*IF(AND((A120/GCD(A120,IF(F120="",D120,G120)))=1,(IF(F120="",D120,G120)/GCD(A120,IF(F120="",D120,G120)))=1),0,1)</f>
        <v/>
      </c>
      <c r="AC120">
        <f>IF(AA120="","",AA120-AB120)</f>
        <v/>
      </c>
      <c r="AD120">
        <f>IF(AND(A120&lt;=83,A120&lt;&gt;43,A120&lt;&gt;61),"clock-stable","clock-boundary")</f>
        <v/>
      </c>
      <c r="AE120" t="inlineStr">
        <is>
          <t>frontier_prediction</t>
        </is>
      </c>
      <c r="AF120" t="inlineStr">
        <is>
          <t>SAM frontier (Z=119..126), no observed isotope; engine output Z=119, N=218, A=337</t>
        </is>
      </c>
    </row>
    <row r="121">
      <c r="A121" t="n">
        <v>120</v>
      </c>
      <c r="B121" t="inlineStr">
        <is>
          <t>Ubn</t>
        </is>
      </c>
      <c r="C121" t="inlineStr">
        <is>
          <t>Unbinilium</t>
        </is>
      </c>
      <c r="D121">
        <f>A121 + INT(A121 * INT((A121-1)/12) / 12)</f>
        <v/>
      </c>
      <c r="E121">
        <f>A121+D121</f>
        <v/>
      </c>
      <c r="F121">
        <f>VLOOKUP(A121, Observed_Lookup!A:G, 4, FALSE)</f>
        <v/>
      </c>
      <c r="G121">
        <f>VLOOKUP(A121, Observed_Lookup!A:G, 5, FALSE)</f>
        <v/>
      </c>
      <c r="H121">
        <f>VLOOKUP(A121, Observed_Lookup!A:G, 6, FALSE)</f>
        <v/>
      </c>
      <c r="I121">
        <f>IF(F121="","",D121-G121)</f>
        <v/>
      </c>
      <c r="J121">
        <f>IF(F121="","",E121-H121)</f>
        <v/>
      </c>
      <c r="K121">
        <f>GCD(A121,D121)</f>
        <v/>
      </c>
      <c r="L121">
        <f>A121/K121</f>
        <v/>
      </c>
      <c r="M121">
        <f>D121/K121</f>
        <v/>
      </c>
      <c r="N121">
        <f>"("&amp;L121&amp;","&amp;M121&amp;")"</f>
        <v/>
      </c>
      <c r="O121">
        <f>(D121-A121)/E121</f>
        <v/>
      </c>
      <c r="P121">
        <f>V121/W121</f>
        <v/>
      </c>
      <c r="Q121">
        <f>A121</f>
        <v/>
      </c>
      <c r="R121">
        <f>D121</f>
        <v/>
      </c>
      <c r="S121">
        <f>A121</f>
        <v/>
      </c>
      <c r="T121">
        <f>2*A121+D121</f>
        <v/>
      </c>
      <c r="U121">
        <f>A121+2*D121</f>
        <v/>
      </c>
      <c r="V121">
        <f>8*(A121*(7117/768)+(D121-A121)*(1/64))</f>
        <v/>
      </c>
      <c r="W121">
        <f>4*E121*(7117/768)</f>
        <v/>
      </c>
      <c r="X121">
        <f>W121-V121</f>
        <v/>
      </c>
      <c r="Y121">
        <f>IF(P121&lt;1,"substrate-light / mass-heavy",IF(P121&gt;1,"substrate-heavy / mass-light","balanced"))</f>
        <v/>
      </c>
      <c r="Z121">
        <f>IF(F121="","",H121-IFERROR(VLOOKUP(A121, Observed_Lookup!A:G, 7, FALSE),""))</f>
        <v/>
      </c>
      <c r="AA121">
        <f>IF(Z121="","",Z121*931.49410242)</f>
        <v/>
      </c>
      <c r="AB121">
        <f>8*(A121+IF(F121="",D121,G121))-17*(A121+IF(F121="",D121,G121))^(2/3)-(3/4)*A121*(A121-1)/(A121+IF(F121="",D121,G121))^(1/3)-22*(IF(F121="",D121,G121)-A121)^2/(A121+IF(F121="",D121,G121))+7*IF(AND(MOD(A121,2)=0,MOD(IF(F121="",D121,G121),2)=0),1,IF(AND(MOD(A121,2)=1,MOD(IF(F121="",D121,G121),2)=1),-1,0))/SQRT((A121+IF(F121="",D121,G121)))-(25/4)*IF(AND((A121/GCD(A121,IF(F121="",D121,G121)))=1,(IF(F121="",D121,G121)/GCD(A121,IF(F121="",D121,G121)))=1),0,1)</f>
        <v/>
      </c>
      <c r="AC121">
        <f>IF(AA121="","",AA121-AB121)</f>
        <v/>
      </c>
      <c r="AD121">
        <f>IF(AND(A121&lt;=83,A121&lt;&gt;43,A121&lt;&gt;61),"clock-stable","clock-boundary")</f>
        <v/>
      </c>
      <c r="AE121" t="inlineStr">
        <is>
          <t>frontier_prediction</t>
        </is>
      </c>
      <c r="AF121" t="inlineStr">
        <is>
          <t>SAM frontier (Z=119..126), no observed isotope; engine output Z=120, N=230, A=350</t>
        </is>
      </c>
    </row>
    <row r="122">
      <c r="A122" t="n">
        <v>121</v>
      </c>
      <c r="B122" t="inlineStr">
        <is>
          <t>Ubu</t>
        </is>
      </c>
      <c r="C122" t="inlineStr">
        <is>
          <t>Unbiunium</t>
        </is>
      </c>
      <c r="D122">
        <f>A122 + INT(A122 * INT((A122-1)/12) / 12)</f>
        <v/>
      </c>
      <c r="E122">
        <f>A122+D122</f>
        <v/>
      </c>
      <c r="F122">
        <f>VLOOKUP(A122, Observed_Lookup!A:G, 4, FALSE)</f>
        <v/>
      </c>
      <c r="G122">
        <f>VLOOKUP(A122, Observed_Lookup!A:G, 5, FALSE)</f>
        <v/>
      </c>
      <c r="H122">
        <f>VLOOKUP(A122, Observed_Lookup!A:G, 6, FALSE)</f>
        <v/>
      </c>
      <c r="I122">
        <f>IF(F122="","",D122-G122)</f>
        <v/>
      </c>
      <c r="J122">
        <f>IF(F122="","",E122-H122)</f>
        <v/>
      </c>
      <c r="K122">
        <f>GCD(A122,D122)</f>
        <v/>
      </c>
      <c r="L122">
        <f>A122/K122</f>
        <v/>
      </c>
      <c r="M122">
        <f>D122/K122</f>
        <v/>
      </c>
      <c r="N122">
        <f>"("&amp;L122&amp;","&amp;M122&amp;")"</f>
        <v/>
      </c>
      <c r="O122">
        <f>(D122-A122)/E122</f>
        <v/>
      </c>
      <c r="P122">
        <f>V122/W122</f>
        <v/>
      </c>
      <c r="Q122">
        <f>A122</f>
        <v/>
      </c>
      <c r="R122">
        <f>D122</f>
        <v/>
      </c>
      <c r="S122">
        <f>A122</f>
        <v/>
      </c>
      <c r="T122">
        <f>2*A122+D122</f>
        <v/>
      </c>
      <c r="U122">
        <f>A122+2*D122</f>
        <v/>
      </c>
      <c r="V122">
        <f>8*(A122*(7117/768)+(D122-A122)*(1/64))</f>
        <v/>
      </c>
      <c r="W122">
        <f>4*E122*(7117/768)</f>
        <v/>
      </c>
      <c r="X122">
        <f>W122-V122</f>
        <v/>
      </c>
      <c r="Y122">
        <f>IF(P122&lt;1,"substrate-light / mass-heavy",IF(P122&gt;1,"substrate-heavy / mass-light","balanced"))</f>
        <v/>
      </c>
      <c r="Z122">
        <f>IF(F122="","",H122-IFERROR(VLOOKUP(A122, Observed_Lookup!A:G, 7, FALSE),""))</f>
        <v/>
      </c>
      <c r="AA122">
        <f>IF(Z122="","",Z122*931.49410242)</f>
        <v/>
      </c>
      <c r="AB122">
        <f>8*(A122+IF(F122="",D122,G122))-17*(A122+IF(F122="",D122,G122))^(2/3)-(3/4)*A122*(A122-1)/(A122+IF(F122="",D122,G122))^(1/3)-22*(IF(F122="",D122,G122)-A122)^2/(A122+IF(F122="",D122,G122))+7*IF(AND(MOD(A122,2)=0,MOD(IF(F122="",D122,G122),2)=0),1,IF(AND(MOD(A122,2)=1,MOD(IF(F122="",D122,G122),2)=1),-1,0))/SQRT((A122+IF(F122="",D122,G122)))-(25/4)*IF(AND((A122/GCD(A122,IF(F122="",D122,G122)))=1,(IF(F122="",D122,G122)/GCD(A122,IF(F122="",D122,G122)))=1),0,1)</f>
        <v/>
      </c>
      <c r="AC122">
        <f>IF(AA122="","",AA122-AB122)</f>
        <v/>
      </c>
      <c r="AD122">
        <f>IF(AND(A122&lt;=83,A122&lt;&gt;43,A122&lt;&gt;61),"clock-stable","clock-boundary")</f>
        <v/>
      </c>
      <c r="AE122" t="inlineStr">
        <is>
          <t>frontier_prediction</t>
        </is>
      </c>
      <c r="AF122" t="inlineStr">
        <is>
          <t>SAM frontier (Z=119..126), no observed isotope; engine output Z=121, N=121, A=242</t>
        </is>
      </c>
    </row>
    <row r="123">
      <c r="A123" t="n">
        <v>122</v>
      </c>
      <c r="B123" t="inlineStr">
        <is>
          <t>Ubb</t>
        </is>
      </c>
      <c r="C123" t="inlineStr">
        <is>
          <t>Unbibium</t>
        </is>
      </c>
      <c r="D123">
        <f>A123 + INT(A123 * INT((A123-1)/12) / 12)</f>
        <v/>
      </c>
      <c r="E123">
        <f>A123+D123</f>
        <v/>
      </c>
      <c r="F123">
        <f>VLOOKUP(A123, Observed_Lookup!A:G, 4, FALSE)</f>
        <v/>
      </c>
      <c r="G123">
        <f>VLOOKUP(A123, Observed_Lookup!A:G, 5, FALSE)</f>
        <v/>
      </c>
      <c r="H123">
        <f>VLOOKUP(A123, Observed_Lookup!A:G, 6, FALSE)</f>
        <v/>
      </c>
      <c r="I123">
        <f>IF(F123="","",D123-G123)</f>
        <v/>
      </c>
      <c r="J123">
        <f>IF(F123="","",E123-H123)</f>
        <v/>
      </c>
      <c r="K123">
        <f>GCD(A123,D123)</f>
        <v/>
      </c>
      <c r="L123">
        <f>A123/K123</f>
        <v/>
      </c>
      <c r="M123">
        <f>D123/K123</f>
        <v/>
      </c>
      <c r="N123">
        <f>"("&amp;L123&amp;","&amp;M123&amp;")"</f>
        <v/>
      </c>
      <c r="O123">
        <f>(D123-A123)/E123</f>
        <v/>
      </c>
      <c r="P123">
        <f>V123/W123</f>
        <v/>
      </c>
      <c r="Q123">
        <f>A123</f>
        <v/>
      </c>
      <c r="R123">
        <f>D123</f>
        <v/>
      </c>
      <c r="S123">
        <f>A123</f>
        <v/>
      </c>
      <c r="T123">
        <f>2*A123+D123</f>
        <v/>
      </c>
      <c r="U123">
        <f>A123+2*D123</f>
        <v/>
      </c>
      <c r="V123">
        <f>8*(A123*(7117/768)+(D123-A123)*(1/64))</f>
        <v/>
      </c>
      <c r="W123">
        <f>4*E123*(7117/768)</f>
        <v/>
      </c>
      <c r="X123">
        <f>W123-V123</f>
        <v/>
      </c>
      <c r="Y123">
        <f>IF(P123&lt;1,"substrate-light / mass-heavy",IF(P123&gt;1,"substrate-heavy / mass-light","balanced"))</f>
        <v/>
      </c>
      <c r="Z123">
        <f>IF(F123="","",H123-IFERROR(VLOOKUP(A123, Observed_Lookup!A:G, 7, FALSE),""))</f>
        <v/>
      </c>
      <c r="AA123">
        <f>IF(Z123="","",Z123*931.49410242)</f>
        <v/>
      </c>
      <c r="AB123">
        <f>8*(A123+IF(F123="",D123,G123))-17*(A123+IF(F123="",D123,G123))^(2/3)-(3/4)*A123*(A123-1)/(A123+IF(F123="",D123,G123))^(1/3)-22*(IF(F123="",D123,G123)-A123)^2/(A123+IF(F123="",D123,G123))+7*IF(AND(MOD(A123,2)=0,MOD(IF(F123="",D123,G123),2)=0),1,IF(AND(MOD(A123,2)=1,MOD(IF(F123="",D123,G123),2)=1),-1,0))/SQRT((A123+IF(F123="",D123,G123)))-(25/4)*IF(AND((A123/GCD(A123,IF(F123="",D123,G123)))=1,(IF(F123="",D123,G123)/GCD(A123,IF(F123="",D123,G123)))=1),0,1)</f>
        <v/>
      </c>
      <c r="AC123">
        <f>IF(AA123="","",AA123-AB123)</f>
        <v/>
      </c>
      <c r="AD123">
        <f>IF(AND(A123&lt;=83,A123&lt;&gt;43,A123&lt;&gt;61),"clock-stable","clock-boundary")</f>
        <v/>
      </c>
      <c r="AE123" t="inlineStr">
        <is>
          <t>frontier_prediction</t>
        </is>
      </c>
      <c r="AF123" t="inlineStr">
        <is>
          <t>SAM frontier (Z=119..126), no observed isotope; engine output Z=122, N=132, A=254</t>
        </is>
      </c>
    </row>
    <row r="124">
      <c r="A124" t="n">
        <v>123</v>
      </c>
      <c r="B124" t="inlineStr">
        <is>
          <t>Ubt</t>
        </is>
      </c>
      <c r="C124" t="inlineStr">
        <is>
          <t>Unbitrium</t>
        </is>
      </c>
      <c r="D124">
        <f>A124 + INT(A124 * INT((A124-1)/12) / 12)</f>
        <v/>
      </c>
      <c r="E124">
        <f>A124+D124</f>
        <v/>
      </c>
      <c r="F124">
        <f>VLOOKUP(A124, Observed_Lookup!A:G, 4, FALSE)</f>
        <v/>
      </c>
      <c r="G124">
        <f>VLOOKUP(A124, Observed_Lookup!A:G, 5, FALSE)</f>
        <v/>
      </c>
      <c r="H124">
        <f>VLOOKUP(A124, Observed_Lookup!A:G, 6, FALSE)</f>
        <v/>
      </c>
      <c r="I124">
        <f>IF(F124="","",D124-G124)</f>
        <v/>
      </c>
      <c r="J124">
        <f>IF(F124="","",E124-H124)</f>
        <v/>
      </c>
      <c r="K124">
        <f>GCD(A124,D124)</f>
        <v/>
      </c>
      <c r="L124">
        <f>A124/K124</f>
        <v/>
      </c>
      <c r="M124">
        <f>D124/K124</f>
        <v/>
      </c>
      <c r="N124">
        <f>"("&amp;L124&amp;","&amp;M124&amp;")"</f>
        <v/>
      </c>
      <c r="O124">
        <f>(D124-A124)/E124</f>
        <v/>
      </c>
      <c r="P124">
        <f>V124/W124</f>
        <v/>
      </c>
      <c r="Q124">
        <f>A124</f>
        <v/>
      </c>
      <c r="R124">
        <f>D124</f>
        <v/>
      </c>
      <c r="S124">
        <f>A124</f>
        <v/>
      </c>
      <c r="T124">
        <f>2*A124+D124</f>
        <v/>
      </c>
      <c r="U124">
        <f>A124+2*D124</f>
        <v/>
      </c>
      <c r="V124">
        <f>8*(A124*(7117/768)+(D124-A124)*(1/64))</f>
        <v/>
      </c>
      <c r="W124">
        <f>4*E124*(7117/768)</f>
        <v/>
      </c>
      <c r="X124">
        <f>W124-V124</f>
        <v/>
      </c>
      <c r="Y124">
        <f>IF(P124&lt;1,"substrate-light / mass-heavy",IF(P124&gt;1,"substrate-heavy / mass-light","balanced"))</f>
        <v/>
      </c>
      <c r="Z124">
        <f>IF(F124="","",H124-IFERROR(VLOOKUP(A124, Observed_Lookup!A:G, 7, FALSE),""))</f>
        <v/>
      </c>
      <c r="AA124">
        <f>IF(Z124="","",Z124*931.49410242)</f>
        <v/>
      </c>
      <c r="AB124">
        <f>8*(A124+IF(F124="",D124,G124))-17*(A124+IF(F124="",D124,G124))^(2/3)-(3/4)*A124*(A124-1)/(A124+IF(F124="",D124,G124))^(1/3)-22*(IF(F124="",D124,G124)-A124)^2/(A124+IF(F124="",D124,G124))+7*IF(AND(MOD(A124,2)=0,MOD(IF(F124="",D124,G124),2)=0),1,IF(AND(MOD(A124,2)=1,MOD(IF(F124="",D124,G124),2)=1),-1,0))/SQRT((A124+IF(F124="",D124,G124)))-(25/4)*IF(AND((A124/GCD(A124,IF(F124="",D124,G124)))=1,(IF(F124="",D124,G124)/GCD(A124,IF(F124="",D124,G124)))=1),0,1)</f>
        <v/>
      </c>
      <c r="AC124">
        <f>IF(AA124="","",AA124-AB124)</f>
        <v/>
      </c>
      <c r="AD124">
        <f>IF(AND(A124&lt;=83,A124&lt;&gt;43,A124&lt;&gt;61),"clock-stable","clock-boundary")</f>
        <v/>
      </c>
      <c r="AE124" t="inlineStr">
        <is>
          <t>frontier_prediction</t>
        </is>
      </c>
      <c r="AF124" t="inlineStr">
        <is>
          <t>SAM frontier (Z=119..126), no observed isotope; engine output Z=123, N=143, A=266</t>
        </is>
      </c>
    </row>
    <row r="125">
      <c r="A125" t="n">
        <v>124</v>
      </c>
      <c r="B125" t="inlineStr">
        <is>
          <t>Ubq</t>
        </is>
      </c>
      <c r="C125" t="inlineStr">
        <is>
          <t>Unbiquadium</t>
        </is>
      </c>
      <c r="D125">
        <f>A125 + INT(A125 * INT((A125-1)/12) / 12)</f>
        <v/>
      </c>
      <c r="E125">
        <f>A125+D125</f>
        <v/>
      </c>
      <c r="F125">
        <f>VLOOKUP(A125, Observed_Lookup!A:G, 4, FALSE)</f>
        <v/>
      </c>
      <c r="G125">
        <f>VLOOKUP(A125, Observed_Lookup!A:G, 5, FALSE)</f>
        <v/>
      </c>
      <c r="H125">
        <f>VLOOKUP(A125, Observed_Lookup!A:G, 6, FALSE)</f>
        <v/>
      </c>
      <c r="I125">
        <f>IF(F125="","",D125-G125)</f>
        <v/>
      </c>
      <c r="J125">
        <f>IF(F125="","",E125-H125)</f>
        <v/>
      </c>
      <c r="K125">
        <f>GCD(A125,D125)</f>
        <v/>
      </c>
      <c r="L125">
        <f>A125/K125</f>
        <v/>
      </c>
      <c r="M125">
        <f>D125/K125</f>
        <v/>
      </c>
      <c r="N125">
        <f>"("&amp;L125&amp;","&amp;M125&amp;")"</f>
        <v/>
      </c>
      <c r="O125">
        <f>(D125-A125)/E125</f>
        <v/>
      </c>
      <c r="P125">
        <f>V125/W125</f>
        <v/>
      </c>
      <c r="Q125">
        <f>A125</f>
        <v/>
      </c>
      <c r="R125">
        <f>D125</f>
        <v/>
      </c>
      <c r="S125">
        <f>A125</f>
        <v/>
      </c>
      <c r="T125">
        <f>2*A125+D125</f>
        <v/>
      </c>
      <c r="U125">
        <f>A125+2*D125</f>
        <v/>
      </c>
      <c r="V125">
        <f>8*(A125*(7117/768)+(D125-A125)*(1/64))</f>
        <v/>
      </c>
      <c r="W125">
        <f>4*E125*(7117/768)</f>
        <v/>
      </c>
      <c r="X125">
        <f>W125-V125</f>
        <v/>
      </c>
      <c r="Y125">
        <f>IF(P125&lt;1,"substrate-light / mass-heavy",IF(P125&gt;1,"substrate-heavy / mass-light","balanced"))</f>
        <v/>
      </c>
      <c r="Z125">
        <f>IF(F125="","",H125-IFERROR(VLOOKUP(A125, Observed_Lookup!A:G, 7, FALSE),""))</f>
        <v/>
      </c>
      <c r="AA125">
        <f>IF(Z125="","",Z125*931.49410242)</f>
        <v/>
      </c>
      <c r="AB125">
        <f>8*(A125+IF(F125="",D125,G125))-17*(A125+IF(F125="",D125,G125))^(2/3)-(3/4)*A125*(A125-1)/(A125+IF(F125="",D125,G125))^(1/3)-22*(IF(F125="",D125,G125)-A125)^2/(A125+IF(F125="",D125,G125))+7*IF(AND(MOD(A125,2)=0,MOD(IF(F125="",D125,G125),2)=0),1,IF(AND(MOD(A125,2)=1,MOD(IF(F125="",D125,G125),2)=1),-1,0))/SQRT((A125+IF(F125="",D125,G125)))-(25/4)*IF(AND((A125/GCD(A125,IF(F125="",D125,G125)))=1,(IF(F125="",D125,G125)/GCD(A125,IF(F125="",D125,G125)))=1),0,1)</f>
        <v/>
      </c>
      <c r="AC125">
        <f>IF(AA125="","",AA125-AB125)</f>
        <v/>
      </c>
      <c r="AD125">
        <f>IF(AND(A125&lt;=83,A125&lt;&gt;43,A125&lt;&gt;61),"clock-stable","clock-boundary")</f>
        <v/>
      </c>
      <c r="AE125" t="inlineStr">
        <is>
          <t>frontier_prediction</t>
        </is>
      </c>
      <c r="AF125" t="inlineStr">
        <is>
          <t>SAM frontier (Z=119..126), no observed isotope; engine output Z=124, N=155, A=279</t>
        </is>
      </c>
    </row>
    <row r="126">
      <c r="A126" t="n">
        <v>125</v>
      </c>
      <c r="B126" t="inlineStr">
        <is>
          <t>Ubp</t>
        </is>
      </c>
      <c r="C126" t="inlineStr">
        <is>
          <t>Unbipentium</t>
        </is>
      </c>
      <c r="D126">
        <f>A126 + INT(A126 * INT((A126-1)/12) / 12)</f>
        <v/>
      </c>
      <c r="E126">
        <f>A126+D126</f>
        <v/>
      </c>
      <c r="F126">
        <f>VLOOKUP(A126, Observed_Lookup!A:G, 4, FALSE)</f>
        <v/>
      </c>
      <c r="G126">
        <f>VLOOKUP(A126, Observed_Lookup!A:G, 5, FALSE)</f>
        <v/>
      </c>
      <c r="H126">
        <f>VLOOKUP(A126, Observed_Lookup!A:G, 6, FALSE)</f>
        <v/>
      </c>
      <c r="I126">
        <f>IF(F126="","",D126-G126)</f>
        <v/>
      </c>
      <c r="J126">
        <f>IF(F126="","",E126-H126)</f>
        <v/>
      </c>
      <c r="K126">
        <f>GCD(A126,D126)</f>
        <v/>
      </c>
      <c r="L126">
        <f>A126/K126</f>
        <v/>
      </c>
      <c r="M126">
        <f>D126/K126</f>
        <v/>
      </c>
      <c r="N126">
        <f>"("&amp;L126&amp;","&amp;M126&amp;")"</f>
        <v/>
      </c>
      <c r="O126">
        <f>(D126-A126)/E126</f>
        <v/>
      </c>
      <c r="P126">
        <f>V126/W126</f>
        <v/>
      </c>
      <c r="Q126">
        <f>A126</f>
        <v/>
      </c>
      <c r="R126">
        <f>D126</f>
        <v/>
      </c>
      <c r="S126">
        <f>A126</f>
        <v/>
      </c>
      <c r="T126">
        <f>2*A126+D126</f>
        <v/>
      </c>
      <c r="U126">
        <f>A126+2*D126</f>
        <v/>
      </c>
      <c r="V126">
        <f>8*(A126*(7117/768)+(D126-A126)*(1/64))</f>
        <v/>
      </c>
      <c r="W126">
        <f>4*E126*(7117/768)</f>
        <v/>
      </c>
      <c r="X126">
        <f>W126-V126</f>
        <v/>
      </c>
      <c r="Y126">
        <f>IF(P126&lt;1,"substrate-light / mass-heavy",IF(P126&gt;1,"substrate-heavy / mass-light","balanced"))</f>
        <v/>
      </c>
      <c r="Z126">
        <f>IF(F126="","",H126-IFERROR(VLOOKUP(A126, Observed_Lookup!A:G, 7, FALSE),""))</f>
        <v/>
      </c>
      <c r="AA126">
        <f>IF(Z126="","",Z126*931.49410242)</f>
        <v/>
      </c>
      <c r="AB126">
        <f>8*(A126+IF(F126="",D126,G126))-17*(A126+IF(F126="",D126,G126))^(2/3)-(3/4)*A126*(A126-1)/(A126+IF(F126="",D126,G126))^(1/3)-22*(IF(F126="",D126,G126)-A126)^2/(A126+IF(F126="",D126,G126))+7*IF(AND(MOD(A126,2)=0,MOD(IF(F126="",D126,G126),2)=0),1,IF(AND(MOD(A126,2)=1,MOD(IF(F126="",D126,G126),2)=1),-1,0))/SQRT((A126+IF(F126="",D126,G126)))-(25/4)*IF(AND((A126/GCD(A126,IF(F126="",D126,G126)))=1,(IF(F126="",D126,G126)/GCD(A126,IF(F126="",D126,G126)))=1),0,1)</f>
        <v/>
      </c>
      <c r="AC126">
        <f>IF(AA126="","",AA126-AB126)</f>
        <v/>
      </c>
      <c r="AD126">
        <f>IF(AND(A126&lt;=83,A126&lt;&gt;43,A126&lt;&gt;61),"clock-stable","clock-boundary")</f>
        <v/>
      </c>
      <c r="AE126" t="inlineStr">
        <is>
          <t>frontier_prediction</t>
        </is>
      </c>
      <c r="AF126" t="inlineStr">
        <is>
          <t>SAM frontier (Z=119..126), no observed isotope; engine output Z=125, N=166, A=291</t>
        </is>
      </c>
    </row>
    <row r="127">
      <c r="A127" t="n">
        <v>126</v>
      </c>
      <c r="B127" t="inlineStr">
        <is>
          <t>Ubh</t>
        </is>
      </c>
      <c r="C127" t="inlineStr">
        <is>
          <t>Unbihexium</t>
        </is>
      </c>
      <c r="D127">
        <f>A127 + INT(A127 * INT((A127-1)/12) / 12)</f>
        <v/>
      </c>
      <c r="E127">
        <f>A127+D127</f>
        <v/>
      </c>
      <c r="F127">
        <f>VLOOKUP(A127, Observed_Lookup!A:G, 4, FALSE)</f>
        <v/>
      </c>
      <c r="G127">
        <f>VLOOKUP(A127, Observed_Lookup!A:G, 5, FALSE)</f>
        <v/>
      </c>
      <c r="H127">
        <f>VLOOKUP(A127, Observed_Lookup!A:G, 6, FALSE)</f>
        <v/>
      </c>
      <c r="I127">
        <f>IF(F127="","",D127-G127)</f>
        <v/>
      </c>
      <c r="J127">
        <f>IF(F127="","",E127-H127)</f>
        <v/>
      </c>
      <c r="K127">
        <f>GCD(A127,D127)</f>
        <v/>
      </c>
      <c r="L127">
        <f>A127/K127</f>
        <v/>
      </c>
      <c r="M127">
        <f>D127/K127</f>
        <v/>
      </c>
      <c r="N127">
        <f>"("&amp;L127&amp;","&amp;M127&amp;")"</f>
        <v/>
      </c>
      <c r="O127">
        <f>(D127-A127)/E127</f>
        <v/>
      </c>
      <c r="P127">
        <f>V127/W127</f>
        <v/>
      </c>
      <c r="Q127">
        <f>A127</f>
        <v/>
      </c>
      <c r="R127">
        <f>D127</f>
        <v/>
      </c>
      <c r="S127">
        <f>A127</f>
        <v/>
      </c>
      <c r="T127">
        <f>2*A127+D127</f>
        <v/>
      </c>
      <c r="U127">
        <f>A127+2*D127</f>
        <v/>
      </c>
      <c r="V127">
        <f>8*(A127*(7117/768)+(D127-A127)*(1/64))</f>
        <v/>
      </c>
      <c r="W127">
        <f>4*E127*(7117/768)</f>
        <v/>
      </c>
      <c r="X127">
        <f>W127-V127</f>
        <v/>
      </c>
      <c r="Y127">
        <f>IF(P127&lt;1,"substrate-light / mass-heavy",IF(P127&gt;1,"substrate-heavy / mass-light","balanced"))</f>
        <v/>
      </c>
      <c r="Z127">
        <f>IF(F127="","",H127-IFERROR(VLOOKUP(A127, Observed_Lookup!A:G, 7, FALSE),""))</f>
        <v/>
      </c>
      <c r="AA127">
        <f>IF(Z127="","",Z127*931.49410242)</f>
        <v/>
      </c>
      <c r="AB127">
        <f>8*(A127+IF(F127="",D127,G127))-17*(A127+IF(F127="",D127,G127))^(2/3)-(3/4)*A127*(A127-1)/(A127+IF(F127="",D127,G127))^(1/3)-22*(IF(F127="",D127,G127)-A127)^2/(A127+IF(F127="",D127,G127))+7*IF(AND(MOD(A127,2)=0,MOD(IF(F127="",D127,G127),2)=0),1,IF(AND(MOD(A127,2)=1,MOD(IF(F127="",D127,G127),2)=1),-1,0))/SQRT((A127+IF(F127="",D127,G127)))-(25/4)*IF(AND((A127/GCD(A127,IF(F127="",D127,G127)))=1,(IF(F127="",D127,G127)/GCD(A127,IF(F127="",D127,G127)))=1),0,1)</f>
        <v/>
      </c>
      <c r="AC127">
        <f>IF(AA127="","",AA127-AB127)</f>
        <v/>
      </c>
      <c r="AD127">
        <f>IF(AND(A127&lt;=83,A127&lt;&gt;43,A127&lt;&gt;61),"clock-stable","clock-boundary")</f>
        <v/>
      </c>
      <c r="AE127" t="inlineStr">
        <is>
          <t>frontier_prediction</t>
        </is>
      </c>
      <c r="AF127" t="inlineStr">
        <is>
          <t>SAM frontier (Z=119..126), no observed isotope; engine output Z=126, N=178, A=304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R</t>
        </is>
      </c>
      <c r="B2" t="n">
        <v>12</v>
      </c>
      <c r="C2" t="inlineStr">
        <is>
          <t>radix (substrate route shape)</t>
        </is>
      </c>
    </row>
    <row r="3">
      <c r="A3" t="inlineStr">
        <is>
          <t>D</t>
        </is>
      </c>
      <c r="B3" t="n">
        <v>3</v>
      </c>
      <c r="C3" t="inlineStr">
        <is>
          <t>substrate dimension</t>
        </is>
      </c>
    </row>
    <row r="4">
      <c r="A4" t="inlineStr">
        <is>
          <t>S</t>
        </is>
      </c>
      <c r="B4" t="n">
        <v>8</v>
      </c>
      <c r="C4" t="inlineStr">
        <is>
          <t>split inventory shape (octet)</t>
        </is>
      </c>
    </row>
    <row r="5">
      <c r="A5" t="inlineStr">
        <is>
          <t>alpha_H</t>
        </is>
      </c>
      <c r="B5" t="n">
        <v>2</v>
      </c>
      <c r="C5" t="inlineStr">
        <is>
          <t>partition algebra generator</t>
        </is>
      </c>
    </row>
    <row r="6">
      <c r="A6" t="inlineStr">
        <is>
          <t>Theta</t>
        </is>
      </c>
      <c r="B6" t="n">
        <v>18</v>
      </c>
      <c r="C6" t="inlineStr">
        <is>
          <t>overlap shape (alpha_H * D^2)</t>
        </is>
      </c>
    </row>
    <row r="7">
      <c r="A7" t="inlineStr">
        <is>
          <t>F</t>
        </is>
      </c>
      <c r="B7" t="n">
        <v>81</v>
      </c>
      <c r="C7" t="inlineStr">
        <is>
          <t>face shape (D^4)</t>
        </is>
      </c>
    </row>
    <row r="8">
      <c r="A8" t="inlineStr">
        <is>
          <t>M</t>
        </is>
      </c>
      <c r="B8" t="n">
        <v>126</v>
      </c>
      <c r="C8" t="inlineStr">
        <is>
          <t>retained matter-support shape</t>
        </is>
      </c>
    </row>
    <row r="9">
      <c r="A9" t="inlineStr">
        <is>
          <t>L</t>
        </is>
      </c>
      <c r="B9" t="n">
        <v>162</v>
      </c>
      <c r="C9" t="inlineStr">
        <is>
          <t>closed carrier ledger</t>
        </is>
      </c>
    </row>
    <row r="10">
      <c r="A10" t="inlineStr">
        <is>
          <t>kappa_num</t>
        </is>
      </c>
      <c r="B10" t="n">
        <v>7117</v>
      </c>
      <c r="C10" t="inlineStr">
        <is>
          <t>kappa numerator (7117/768)</t>
        </is>
      </c>
    </row>
    <row r="11">
      <c r="A11" t="inlineStr">
        <is>
          <t>kappa_den</t>
        </is>
      </c>
      <c r="B11" t="n">
        <v>768</v>
      </c>
      <c r="C11" t="inlineStr">
        <is>
          <t>kappa denominator</t>
        </is>
      </c>
    </row>
    <row r="12">
      <c r="A12" t="inlineStr">
        <is>
          <t>g_num</t>
        </is>
      </c>
      <c r="B12" t="n">
        <v>1</v>
      </c>
      <c r="C12" t="inlineStr">
        <is>
          <t>g numerator (1/64)</t>
        </is>
      </c>
    </row>
    <row r="13">
      <c r="A13" t="inlineStr">
        <is>
          <t>g_den</t>
        </is>
      </c>
      <c r="B13" t="n">
        <v>64</v>
      </c>
      <c r="C13" t="inlineStr">
        <is>
          <t>g denominator</t>
        </is>
      </c>
    </row>
    <row r="14">
      <c r="A14" t="inlineStr">
        <is>
          <t>mu_Q_num</t>
        </is>
      </c>
      <c r="B14" t="n">
        <v>192</v>
      </c>
      <c r="C14" t="inlineStr">
        <is>
          <t>mu_Q numerator (192/7117)</t>
        </is>
      </c>
    </row>
    <row r="15">
      <c r="A15" t="inlineStr">
        <is>
          <t>mu_Q_den</t>
        </is>
      </c>
      <c r="B15" t="n">
        <v>7117</v>
      </c>
      <c r="C15" t="inlineStr">
        <is>
          <t>mu_Q denominator</t>
        </is>
      </c>
    </row>
    <row r="16">
      <c r="A16" t="inlineStr">
        <is>
          <t>U_TO_MEV</t>
        </is>
      </c>
      <c r="B16" t="n">
        <v>931.49410242</v>
      </c>
      <c r="C16" t="inlineStr">
        <is>
          <t>CODATA atomic mass unit in MeV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observed_isotope</t>
        </is>
      </c>
      <c r="E1" s="1" t="inlineStr">
        <is>
          <t>N_observed</t>
        </is>
      </c>
      <c r="F1" s="1" t="inlineStr">
        <is>
          <t>A_observed</t>
        </is>
      </c>
      <c r="G1" s="1" t="inlineStr">
        <is>
          <t>m_obs_u</t>
        </is>
      </c>
    </row>
    <row r="2">
      <c r="A2" t="n">
        <v>1</v>
      </c>
      <c r="B2" t="inlineStr">
        <is>
          <t>H</t>
        </is>
      </c>
      <c r="C2" t="inlineStr">
        <is>
          <t>Hydrogen</t>
        </is>
      </c>
      <c r="D2" t="inlineStr">
        <is>
          <t>H-1</t>
        </is>
      </c>
      <c r="E2" t="n">
        <v>0</v>
      </c>
      <c r="F2" t="n">
        <v>1</v>
      </c>
      <c r="G2" t="n">
        <v>1.00782503207</v>
      </c>
    </row>
    <row r="3">
      <c r="A3" t="n">
        <v>2</v>
      </c>
      <c r="B3" t="inlineStr">
        <is>
          <t>He</t>
        </is>
      </c>
      <c r="C3" t="inlineStr">
        <is>
          <t>Helium</t>
        </is>
      </c>
      <c r="D3" t="inlineStr">
        <is>
          <t>He-4</t>
        </is>
      </c>
      <c r="E3" t="n">
        <v>2</v>
      </c>
      <c r="F3" t="n">
        <v>4</v>
      </c>
      <c r="G3" t="n">
        <v>4.002603254</v>
      </c>
    </row>
    <row r="4">
      <c r="A4" t="n">
        <v>3</v>
      </c>
      <c r="B4" t="inlineStr">
        <is>
          <t>Li</t>
        </is>
      </c>
      <c r="C4" t="inlineStr">
        <is>
          <t>Lithium</t>
        </is>
      </c>
      <c r="D4" t="inlineStr">
        <is>
          <t>Li-7</t>
        </is>
      </c>
      <c r="E4" t="n">
        <v>4</v>
      </c>
      <c r="F4" t="n">
        <v>7</v>
      </c>
      <c r="G4" t="n">
        <v>7.016003434</v>
      </c>
    </row>
    <row r="5">
      <c r="A5" t="n">
        <v>4</v>
      </c>
      <c r="B5" t="inlineStr">
        <is>
          <t>Be</t>
        </is>
      </c>
      <c r="C5" t="inlineStr">
        <is>
          <t>Beryllium</t>
        </is>
      </c>
      <c r="D5" t="inlineStr">
        <is>
          <t>Be-9</t>
        </is>
      </c>
      <c r="E5" t="n">
        <v>5</v>
      </c>
      <c r="F5" t="n">
        <v>9</v>
      </c>
      <c r="G5" t="n">
        <v>9.012183065</v>
      </c>
    </row>
    <row r="6">
      <c r="A6" t="n">
        <v>5</v>
      </c>
      <c r="B6" t="inlineStr">
        <is>
          <t>B</t>
        </is>
      </c>
      <c r="C6" t="inlineStr">
        <is>
          <t>Boron</t>
        </is>
      </c>
      <c r="D6" t="inlineStr">
        <is>
          <t>B-11</t>
        </is>
      </c>
      <c r="E6" t="n">
        <v>6</v>
      </c>
      <c r="F6" t="n">
        <v>11</v>
      </c>
      <c r="G6" t="n">
        <v>11.009305364</v>
      </c>
    </row>
    <row r="7">
      <c r="A7" t="n">
        <v>6</v>
      </c>
      <c r="B7" t="inlineStr">
        <is>
          <t>C</t>
        </is>
      </c>
      <c r="C7" t="inlineStr">
        <is>
          <t>Carbon</t>
        </is>
      </c>
      <c r="D7" t="inlineStr">
        <is>
          <t>C-12</t>
        </is>
      </c>
      <c r="E7" t="n">
        <v>6</v>
      </c>
      <c r="F7" t="n">
        <v>12</v>
      </c>
      <c r="G7" t="n">
        <v>12</v>
      </c>
    </row>
    <row r="8">
      <c r="A8" t="n">
        <v>7</v>
      </c>
      <c r="B8" t="inlineStr">
        <is>
          <t>N</t>
        </is>
      </c>
      <c r="C8" t="inlineStr">
        <is>
          <t>Nitrogen</t>
        </is>
      </c>
      <c r="D8" t="inlineStr">
        <is>
          <t>N-14</t>
        </is>
      </c>
      <c r="E8" t="n">
        <v>7</v>
      </c>
      <c r="F8" t="n">
        <v>14</v>
      </c>
      <c r="G8" t="n">
        <v>14.003074004</v>
      </c>
    </row>
    <row r="9">
      <c r="A9" t="n">
        <v>8</v>
      </c>
      <c r="B9" t="inlineStr">
        <is>
          <t>O</t>
        </is>
      </c>
      <c r="C9" t="inlineStr">
        <is>
          <t>Oxygen</t>
        </is>
      </c>
      <c r="D9" t="inlineStr">
        <is>
          <t>O-16</t>
        </is>
      </c>
      <c r="E9" t="n">
        <v>8</v>
      </c>
      <c r="F9" t="n">
        <v>16</v>
      </c>
      <c r="G9" t="n">
        <v>15.99491462</v>
      </c>
    </row>
    <row r="10">
      <c r="A10" t="n">
        <v>9</v>
      </c>
      <c r="B10" t="inlineStr">
        <is>
          <t>F</t>
        </is>
      </c>
      <c r="C10" t="inlineStr">
        <is>
          <t>Fluorine</t>
        </is>
      </c>
      <c r="D10" t="inlineStr">
        <is>
          <t>F-19</t>
        </is>
      </c>
      <c r="E10" t="n">
        <v>10</v>
      </c>
      <c r="F10" t="n">
        <v>19</v>
      </c>
      <c r="G10" t="n">
        <v>18.998403163</v>
      </c>
    </row>
    <row r="11">
      <c r="A11" t="n">
        <v>10</v>
      </c>
      <c r="B11" t="inlineStr">
        <is>
          <t>Ne</t>
        </is>
      </c>
      <c r="C11" t="inlineStr">
        <is>
          <t>Neon</t>
        </is>
      </c>
      <c r="D11" t="inlineStr">
        <is>
          <t>Ne-20</t>
        </is>
      </c>
      <c r="E11" t="n">
        <v>10</v>
      </c>
      <c r="F11" t="n">
        <v>20</v>
      </c>
      <c r="G11" t="n">
        <v>19.992440176</v>
      </c>
    </row>
    <row r="12">
      <c r="A12" t="n">
        <v>11</v>
      </c>
      <c r="B12" t="inlineStr">
        <is>
          <t>Na</t>
        </is>
      </c>
      <c r="C12" t="inlineStr">
        <is>
          <t>Sodium</t>
        </is>
      </c>
      <c r="D12" t="inlineStr">
        <is>
          <t>Na-23</t>
        </is>
      </c>
      <c r="E12" t="n">
        <v>12</v>
      </c>
      <c r="F12" t="n">
        <v>23</v>
      </c>
      <c r="G12" t="n">
        <v>22.989769282</v>
      </c>
    </row>
    <row r="13">
      <c r="A13" t="n">
        <v>12</v>
      </c>
      <c r="B13" t="inlineStr">
        <is>
          <t>Mg</t>
        </is>
      </c>
      <c r="C13" t="inlineStr">
        <is>
          <t>Magnesium</t>
        </is>
      </c>
      <c r="D13" t="inlineStr">
        <is>
          <t>Mg-24</t>
        </is>
      </c>
      <c r="E13" t="n">
        <v>12</v>
      </c>
      <c r="F13" t="n">
        <v>24</v>
      </c>
      <c r="G13" t="n">
        <v>23.985041697</v>
      </c>
    </row>
    <row r="14">
      <c r="A14" t="n">
        <v>13</v>
      </c>
      <c r="B14" t="inlineStr">
        <is>
          <t>Al</t>
        </is>
      </c>
      <c r="C14" t="inlineStr">
        <is>
          <t>Aluminum</t>
        </is>
      </c>
      <c r="D14" t="inlineStr">
        <is>
          <t>Al-27</t>
        </is>
      </c>
      <c r="E14" t="n">
        <v>14</v>
      </c>
      <c r="F14" t="n">
        <v>27</v>
      </c>
      <c r="G14" t="n">
        <v>26.981538531</v>
      </c>
    </row>
    <row r="15">
      <c r="A15" t="n">
        <v>14</v>
      </c>
      <c r="B15" t="inlineStr">
        <is>
          <t>Si</t>
        </is>
      </c>
      <c r="C15" t="inlineStr">
        <is>
          <t>Silicon</t>
        </is>
      </c>
      <c r="D15" t="inlineStr">
        <is>
          <t>Si-28</t>
        </is>
      </c>
      <c r="E15" t="n">
        <v>14</v>
      </c>
      <c r="F15" t="n">
        <v>28</v>
      </c>
      <c r="G15" t="n">
        <v>27.976926535</v>
      </c>
    </row>
    <row r="16">
      <c r="A16" t="n">
        <v>15</v>
      </c>
      <c r="B16" t="inlineStr">
        <is>
          <t>P</t>
        </is>
      </c>
      <c r="C16" t="inlineStr">
        <is>
          <t>Phosphorus</t>
        </is>
      </c>
      <c r="D16" t="inlineStr">
        <is>
          <t>P-31</t>
        </is>
      </c>
      <c r="E16" t="n">
        <v>16</v>
      </c>
      <c r="F16" t="n">
        <v>31</v>
      </c>
      <c r="G16" t="n">
        <v>30.973761998</v>
      </c>
    </row>
    <row r="17">
      <c r="A17" t="n">
        <v>16</v>
      </c>
      <c r="B17" t="inlineStr">
        <is>
          <t>S</t>
        </is>
      </c>
      <c r="C17" t="inlineStr">
        <is>
          <t>Sulfur</t>
        </is>
      </c>
      <c r="D17" t="inlineStr">
        <is>
          <t>S-32</t>
        </is>
      </c>
      <c r="E17" t="n">
        <v>16</v>
      </c>
      <c r="F17" t="n">
        <v>32</v>
      </c>
      <c r="G17" t="n">
        <v>31.972071174</v>
      </c>
    </row>
    <row r="18">
      <c r="A18" t="n">
        <v>17</v>
      </c>
      <c r="B18" t="inlineStr">
        <is>
          <t>Cl</t>
        </is>
      </c>
      <c r="C18" t="inlineStr">
        <is>
          <t>Chlorine</t>
        </is>
      </c>
      <c r="D18" t="inlineStr">
        <is>
          <t>Cl-35</t>
        </is>
      </c>
      <c r="E18" t="n">
        <v>18</v>
      </c>
      <c r="F18" t="n">
        <v>35</v>
      </c>
      <c r="G18" t="n">
        <v>34.968852682</v>
      </c>
    </row>
    <row r="19">
      <c r="A19" t="n">
        <v>18</v>
      </c>
      <c r="B19" t="inlineStr">
        <is>
          <t>Ar</t>
        </is>
      </c>
      <c r="C19" t="inlineStr">
        <is>
          <t>Argon</t>
        </is>
      </c>
      <c r="D19" t="inlineStr">
        <is>
          <t>Ar-40</t>
        </is>
      </c>
      <c r="E19" t="n">
        <v>22</v>
      </c>
      <c r="F19" t="n">
        <v>40</v>
      </c>
      <c r="G19" t="n">
        <v>39.962383123</v>
      </c>
    </row>
    <row r="20">
      <c r="A20" t="n">
        <v>19</v>
      </c>
      <c r="B20" t="inlineStr">
        <is>
          <t>K</t>
        </is>
      </c>
      <c r="C20" t="inlineStr">
        <is>
          <t>Potassium</t>
        </is>
      </c>
      <c r="D20" t="inlineStr">
        <is>
          <t>K-39</t>
        </is>
      </c>
      <c r="E20" t="n">
        <v>20</v>
      </c>
      <c r="F20" t="n">
        <v>39</v>
      </c>
      <c r="G20" t="n">
        <v>38.963706679</v>
      </c>
    </row>
    <row r="21">
      <c r="A21" t="n">
        <v>20</v>
      </c>
      <c r="B21" t="inlineStr">
        <is>
          <t>Ca</t>
        </is>
      </c>
      <c r="C21" t="inlineStr">
        <is>
          <t>Calcium</t>
        </is>
      </c>
      <c r="D21" t="inlineStr">
        <is>
          <t>Ca-40</t>
        </is>
      </c>
      <c r="E21" t="n">
        <v>20</v>
      </c>
      <c r="F21" t="n">
        <v>40</v>
      </c>
      <c r="G21" t="n">
        <v>39.962590866</v>
      </c>
    </row>
    <row r="22">
      <c r="A22" t="n">
        <v>21</v>
      </c>
      <c r="B22" t="inlineStr">
        <is>
          <t>Sc</t>
        </is>
      </c>
      <c r="C22" t="inlineStr">
        <is>
          <t>Scandium</t>
        </is>
      </c>
      <c r="D22" t="inlineStr">
        <is>
          <t>Sc-45</t>
        </is>
      </c>
      <c r="E22" t="n">
        <v>24</v>
      </c>
      <c r="F22" t="n">
        <v>45</v>
      </c>
      <c r="G22" t="n">
        <v>44.955908275</v>
      </c>
    </row>
    <row r="23">
      <c r="A23" t="n">
        <v>22</v>
      </c>
      <c r="B23" t="inlineStr">
        <is>
          <t>Ti</t>
        </is>
      </c>
      <c r="C23" t="inlineStr">
        <is>
          <t>Titanium</t>
        </is>
      </c>
      <c r="D23" t="inlineStr">
        <is>
          <t>Ti-48</t>
        </is>
      </c>
      <c r="E23" t="n">
        <v>26</v>
      </c>
      <c r="F23" t="n">
        <v>48</v>
      </c>
      <c r="G23" t="n">
        <v>47.94794198</v>
      </c>
    </row>
    <row r="24">
      <c r="A24" t="n">
        <v>23</v>
      </c>
      <c r="B24" t="inlineStr">
        <is>
          <t>V</t>
        </is>
      </c>
      <c r="C24" t="inlineStr">
        <is>
          <t>Vanadium</t>
        </is>
      </c>
      <c r="D24" t="inlineStr">
        <is>
          <t>V-51</t>
        </is>
      </c>
      <c r="E24" t="n">
        <v>28</v>
      </c>
      <c r="F24" t="n">
        <v>51</v>
      </c>
      <c r="G24" t="n">
        <v>50.943957009</v>
      </c>
    </row>
    <row r="25">
      <c r="A25" t="n">
        <v>24</v>
      </c>
      <c r="B25" t="inlineStr">
        <is>
          <t>Cr</t>
        </is>
      </c>
      <c r="C25" t="inlineStr">
        <is>
          <t>Chromium</t>
        </is>
      </c>
      <c r="D25" t="inlineStr">
        <is>
          <t>Cr-52</t>
        </is>
      </c>
      <c r="E25" t="n">
        <v>28</v>
      </c>
      <c r="F25" t="n">
        <v>52</v>
      </c>
      <c r="G25" t="n">
        <v>51.940506231</v>
      </c>
    </row>
    <row r="26">
      <c r="A26" t="n">
        <v>25</v>
      </c>
      <c r="B26" t="inlineStr">
        <is>
          <t>Mn</t>
        </is>
      </c>
      <c r="C26" t="inlineStr">
        <is>
          <t>Manganese</t>
        </is>
      </c>
      <c r="D26" t="inlineStr">
        <is>
          <t>Mn-55</t>
        </is>
      </c>
      <c r="E26" t="n">
        <v>30</v>
      </c>
      <c r="F26" t="n">
        <v>55</v>
      </c>
      <c r="G26" t="n">
        <v>54.938043191</v>
      </c>
    </row>
    <row r="27">
      <c r="A27" t="n">
        <v>26</v>
      </c>
      <c r="B27" t="inlineStr">
        <is>
          <t>Fe</t>
        </is>
      </c>
      <c r="C27" t="inlineStr">
        <is>
          <t>Iron</t>
        </is>
      </c>
      <c r="D27" t="inlineStr">
        <is>
          <t>Fe-56</t>
        </is>
      </c>
      <c r="E27" t="n">
        <v>30</v>
      </c>
      <c r="F27" t="n">
        <v>56</v>
      </c>
      <c r="G27" t="n">
        <v>55.934936326</v>
      </c>
    </row>
    <row r="28">
      <c r="A28" t="n">
        <v>27</v>
      </c>
      <c r="B28" t="inlineStr">
        <is>
          <t>Co</t>
        </is>
      </c>
      <c r="C28" t="inlineStr">
        <is>
          <t>Cobalt</t>
        </is>
      </c>
      <c r="D28" t="inlineStr">
        <is>
          <t>Co-59</t>
        </is>
      </c>
      <c r="E28" t="n">
        <v>32</v>
      </c>
      <c r="F28" t="n">
        <v>59</v>
      </c>
      <c r="G28" t="n">
        <v>58.933194288</v>
      </c>
    </row>
    <row r="29">
      <c r="A29" t="n">
        <v>28</v>
      </c>
      <c r="B29" t="inlineStr">
        <is>
          <t>Ni</t>
        </is>
      </c>
      <c r="C29" t="inlineStr">
        <is>
          <t>Nickel</t>
        </is>
      </c>
      <c r="D29" t="inlineStr">
        <is>
          <t>Ni-58</t>
        </is>
      </c>
      <c r="E29" t="n">
        <v>30</v>
      </c>
      <c r="F29" t="n">
        <v>58</v>
      </c>
      <c r="G29" t="n">
        <v>57.935342414</v>
      </c>
    </row>
    <row r="30">
      <c r="A30" t="n">
        <v>29</v>
      </c>
      <c r="B30" t="inlineStr">
        <is>
          <t>Cu</t>
        </is>
      </c>
      <c r="C30" t="inlineStr">
        <is>
          <t>Copper</t>
        </is>
      </c>
      <c r="D30" t="inlineStr">
        <is>
          <t>Cu-63</t>
        </is>
      </c>
      <c r="E30" t="n">
        <v>34</v>
      </c>
      <c r="F30" t="n">
        <v>63</v>
      </c>
      <c r="G30" t="n">
        <v>62.929597212</v>
      </c>
    </row>
    <row r="31">
      <c r="A31" t="n">
        <v>30</v>
      </c>
      <c r="B31" t="inlineStr">
        <is>
          <t>Zn</t>
        </is>
      </c>
      <c r="C31" t="inlineStr">
        <is>
          <t>Zinc</t>
        </is>
      </c>
      <c r="D31" t="inlineStr">
        <is>
          <t>Zn-64</t>
        </is>
      </c>
      <c r="E31" t="n">
        <v>34</v>
      </c>
      <c r="F31" t="n">
        <v>64</v>
      </c>
      <c r="G31" t="n">
        <v>63.929142013</v>
      </c>
    </row>
    <row r="32">
      <c r="A32" t="n">
        <v>31</v>
      </c>
      <c r="B32" t="inlineStr">
        <is>
          <t>Ga</t>
        </is>
      </c>
      <c r="C32" t="inlineStr">
        <is>
          <t>Gallium</t>
        </is>
      </c>
      <c r="D32" t="inlineStr">
        <is>
          <t>Ga-69</t>
        </is>
      </c>
      <c r="E32" t="n">
        <v>38</v>
      </c>
      <c r="F32" t="n">
        <v>69</v>
      </c>
      <c r="G32" t="n">
        <v>68.925573594</v>
      </c>
    </row>
    <row r="33">
      <c r="A33" t="n">
        <v>32</v>
      </c>
      <c r="B33" t="inlineStr">
        <is>
          <t>Ge</t>
        </is>
      </c>
      <c r="C33" t="inlineStr">
        <is>
          <t>Germanium</t>
        </is>
      </c>
      <c r="D33" t="inlineStr">
        <is>
          <t>Ge-74</t>
        </is>
      </c>
      <c r="E33" t="n">
        <v>42</v>
      </c>
      <c r="F33" t="n">
        <v>74</v>
      </c>
      <c r="G33" t="n">
        <v>73.921177761</v>
      </c>
    </row>
    <row r="34">
      <c r="A34" t="n">
        <v>33</v>
      </c>
      <c r="B34" t="inlineStr">
        <is>
          <t>As</t>
        </is>
      </c>
      <c r="C34" t="inlineStr">
        <is>
          <t>Arsenic</t>
        </is>
      </c>
      <c r="D34" t="inlineStr">
        <is>
          <t>As-75</t>
        </is>
      </c>
      <c r="E34" t="n">
        <v>42</v>
      </c>
      <c r="F34" t="n">
        <v>75</v>
      </c>
      <c r="G34" t="n">
        <v>74.921594562</v>
      </c>
    </row>
    <row r="35">
      <c r="A35" t="n">
        <v>34</v>
      </c>
      <c r="B35" t="inlineStr">
        <is>
          <t>Se</t>
        </is>
      </c>
      <c r="C35" t="inlineStr">
        <is>
          <t>Selenium</t>
        </is>
      </c>
      <c r="D35" t="inlineStr">
        <is>
          <t>Se-80</t>
        </is>
      </c>
      <c r="E35" t="n">
        <v>46</v>
      </c>
      <c r="F35" t="n">
        <v>80</v>
      </c>
      <c r="G35" t="n">
        <v>79.916521776</v>
      </c>
    </row>
    <row r="36">
      <c r="A36" t="n">
        <v>35</v>
      </c>
      <c r="B36" t="inlineStr">
        <is>
          <t>Br</t>
        </is>
      </c>
      <c r="C36" t="inlineStr">
        <is>
          <t>Bromine</t>
        </is>
      </c>
      <c r="D36" t="inlineStr">
        <is>
          <t>Br-79</t>
        </is>
      </c>
      <c r="E36" t="n">
        <v>44</v>
      </c>
      <c r="F36" t="n">
        <v>79</v>
      </c>
      <c r="G36" t="n">
        <v>78.918337601</v>
      </c>
    </row>
    <row r="37">
      <c r="A37" t="n">
        <v>36</v>
      </c>
      <c r="B37" t="inlineStr">
        <is>
          <t>Kr</t>
        </is>
      </c>
      <c r="C37" t="inlineStr">
        <is>
          <t>Krypton</t>
        </is>
      </c>
      <c r="D37" t="inlineStr">
        <is>
          <t>Kr-84</t>
        </is>
      </c>
      <c r="E37" t="n">
        <v>48</v>
      </c>
      <c r="F37" t="n">
        <v>84</v>
      </c>
      <c r="G37" t="n">
        <v>83.911497728</v>
      </c>
    </row>
    <row r="38">
      <c r="A38" t="n">
        <v>37</v>
      </c>
      <c r="B38" t="inlineStr">
        <is>
          <t>Rb</t>
        </is>
      </c>
      <c r="C38" t="inlineStr">
        <is>
          <t>Rubidium</t>
        </is>
      </c>
      <c r="D38" t="inlineStr">
        <is>
          <t>Rb-85</t>
        </is>
      </c>
      <c r="E38" t="n">
        <v>48</v>
      </c>
      <c r="F38" t="n">
        <v>85</v>
      </c>
      <c r="G38" t="n">
        <v>84.911789738</v>
      </c>
    </row>
    <row r="39">
      <c r="A39" t="n">
        <v>38</v>
      </c>
      <c r="B39" t="inlineStr">
        <is>
          <t>Sr</t>
        </is>
      </c>
      <c r="C39" t="inlineStr">
        <is>
          <t>Strontium</t>
        </is>
      </c>
      <c r="D39" t="inlineStr">
        <is>
          <t>Sr-88</t>
        </is>
      </c>
      <c r="E39" t="n">
        <v>50</v>
      </c>
      <c r="F39" t="n">
        <v>88</v>
      </c>
      <c r="G39" t="n">
        <v>87.905612257</v>
      </c>
    </row>
    <row r="40">
      <c r="A40" t="n">
        <v>39</v>
      </c>
      <c r="B40" t="inlineStr">
        <is>
          <t>Y</t>
        </is>
      </c>
      <c r="C40" t="inlineStr">
        <is>
          <t>Yttrium</t>
        </is>
      </c>
      <c r="D40" t="inlineStr">
        <is>
          <t>Y-89</t>
        </is>
      </c>
      <c r="E40" t="n">
        <v>50</v>
      </c>
      <c r="F40" t="n">
        <v>89</v>
      </c>
      <c r="G40" t="n">
        <v>88.90583804000001</v>
      </c>
    </row>
    <row r="41">
      <c r="A41" t="n">
        <v>40</v>
      </c>
      <c r="B41" t="inlineStr">
        <is>
          <t>Zr</t>
        </is>
      </c>
      <c r="C41" t="inlineStr">
        <is>
          <t>Zirconium</t>
        </is>
      </c>
      <c r="D41" t="inlineStr">
        <is>
          <t>Zr-90</t>
        </is>
      </c>
      <c r="E41" t="n">
        <v>50</v>
      </c>
      <c r="F41" t="n">
        <v>90</v>
      </c>
      <c r="G41" t="n">
        <v>89.904698755</v>
      </c>
    </row>
    <row r="42">
      <c r="A42" t="n">
        <v>41</v>
      </c>
      <c r="B42" t="inlineStr">
        <is>
          <t>Nb</t>
        </is>
      </c>
      <c r="C42" t="inlineStr">
        <is>
          <t>Niobium</t>
        </is>
      </c>
      <c r="D42" t="inlineStr">
        <is>
          <t>Nb-93</t>
        </is>
      </c>
      <c r="E42" t="n">
        <v>52</v>
      </c>
      <c r="F42" t="n">
        <v>93</v>
      </c>
      <c r="G42" t="n">
        <v>92.90637301300001</v>
      </c>
    </row>
    <row r="43">
      <c r="A43" t="n">
        <v>42</v>
      </c>
      <c r="B43" t="inlineStr">
        <is>
          <t>Mo</t>
        </is>
      </c>
      <c r="C43" t="inlineStr">
        <is>
          <t>Molybdenum</t>
        </is>
      </c>
      <c r="D43" t="inlineStr">
        <is>
          <t>Mo-98</t>
        </is>
      </c>
      <c r="E43" t="n">
        <v>56</v>
      </c>
      <c r="F43" t="n">
        <v>98</v>
      </c>
      <c r="G43" t="n">
        <v>97.90540448199999</v>
      </c>
    </row>
    <row r="44">
      <c r="A44" t="n">
        <v>43</v>
      </c>
      <c r="B44" t="inlineStr">
        <is>
          <t>Tc</t>
        </is>
      </c>
      <c r="C44" t="inlineStr">
        <is>
          <t>Technetium</t>
        </is>
      </c>
      <c r="D44" t="inlineStr">
        <is>
          <t>Tc-98</t>
        </is>
      </c>
      <c r="E44" t="n">
        <v>55</v>
      </c>
      <c r="F44" t="n">
        <v>98</v>
      </c>
      <c r="G44" t="n">
        <v>97.907212</v>
      </c>
    </row>
    <row r="45">
      <c r="A45" t="n">
        <v>44</v>
      </c>
      <c r="B45" t="inlineStr">
        <is>
          <t>Ru</t>
        </is>
      </c>
      <c r="C45" t="inlineStr">
        <is>
          <t>Ruthenium</t>
        </is>
      </c>
      <c r="D45" t="inlineStr">
        <is>
          <t>Ru-102</t>
        </is>
      </c>
      <c r="E45" t="n">
        <v>58</v>
      </c>
      <c r="F45" t="n">
        <v>102</v>
      </c>
      <c r="G45" t="n">
        <v>101.904344096</v>
      </c>
    </row>
    <row r="46">
      <c r="A46" t="n">
        <v>45</v>
      </c>
      <c r="B46" t="inlineStr">
        <is>
          <t>Rh</t>
        </is>
      </c>
      <c r="C46" t="inlineStr">
        <is>
          <t>Rhodium</t>
        </is>
      </c>
      <c r="D46" t="inlineStr">
        <is>
          <t>Rh-103</t>
        </is>
      </c>
      <c r="E46" t="n">
        <v>58</v>
      </c>
      <c r="F46" t="n">
        <v>103</v>
      </c>
      <c r="G46" t="n">
        <v>102.905498401</v>
      </c>
    </row>
    <row r="47">
      <c r="A47" t="n">
        <v>46</v>
      </c>
      <c r="B47" t="inlineStr">
        <is>
          <t>Pd</t>
        </is>
      </c>
      <c r="C47" t="inlineStr">
        <is>
          <t>Palladium</t>
        </is>
      </c>
      <c r="D47" t="inlineStr">
        <is>
          <t>Pd-106</t>
        </is>
      </c>
      <c r="E47" t="n">
        <v>60</v>
      </c>
      <c r="F47" t="n">
        <v>106</v>
      </c>
      <c r="G47" t="n">
        <v>105.903480287</v>
      </c>
    </row>
    <row r="48">
      <c r="A48" t="n">
        <v>47</v>
      </c>
      <c r="B48" t="inlineStr">
        <is>
          <t>Ag</t>
        </is>
      </c>
      <c r="C48" t="inlineStr">
        <is>
          <t>Silver</t>
        </is>
      </c>
      <c r="D48" t="inlineStr">
        <is>
          <t>Ag-107</t>
        </is>
      </c>
      <c r="E48" t="n">
        <v>60</v>
      </c>
      <c r="F48" t="n">
        <v>107</v>
      </c>
      <c r="G48" t="n">
        <v>106.905091509</v>
      </c>
    </row>
    <row r="49">
      <c r="A49" t="n">
        <v>48</v>
      </c>
      <c r="B49" t="inlineStr">
        <is>
          <t>Cd</t>
        </is>
      </c>
      <c r="C49" t="inlineStr">
        <is>
          <t>Cadmium</t>
        </is>
      </c>
      <c r="D49" t="inlineStr">
        <is>
          <t>Cd-114</t>
        </is>
      </c>
      <c r="E49" t="n">
        <v>66</v>
      </c>
      <c r="F49" t="n">
        <v>114</v>
      </c>
      <c r="G49" t="n">
        <v>113.903365352</v>
      </c>
    </row>
    <row r="50">
      <c r="A50" t="n">
        <v>49</v>
      </c>
      <c r="B50" t="inlineStr">
        <is>
          <t>In</t>
        </is>
      </c>
      <c r="C50" t="inlineStr">
        <is>
          <t>Indium</t>
        </is>
      </c>
      <c r="D50" t="inlineStr">
        <is>
          <t>In-115</t>
        </is>
      </c>
      <c r="E50" t="n">
        <v>66</v>
      </c>
      <c r="F50" t="n">
        <v>115</v>
      </c>
      <c r="G50" t="n">
        <v>114.903878773</v>
      </c>
    </row>
    <row r="51">
      <c r="A51" t="n">
        <v>50</v>
      </c>
      <c r="B51" t="inlineStr">
        <is>
          <t>Sn</t>
        </is>
      </c>
      <c r="C51" t="inlineStr">
        <is>
          <t>Tin</t>
        </is>
      </c>
      <c r="D51" t="inlineStr">
        <is>
          <t>Sn-120</t>
        </is>
      </c>
      <c r="E51" t="n">
        <v>70</v>
      </c>
      <c r="F51" t="n">
        <v>120</v>
      </c>
      <c r="G51" t="n">
        <v>119.902201634</v>
      </c>
    </row>
    <row r="52">
      <c r="A52" t="n">
        <v>51</v>
      </c>
      <c r="B52" t="inlineStr">
        <is>
          <t>Sb</t>
        </is>
      </c>
      <c r="C52" t="inlineStr">
        <is>
          <t>Antimony</t>
        </is>
      </c>
      <c r="D52" t="inlineStr">
        <is>
          <t>Sb-121</t>
        </is>
      </c>
      <c r="E52" t="n">
        <v>70</v>
      </c>
      <c r="F52" t="n">
        <v>121</v>
      </c>
      <c r="G52" t="n">
        <v>120.903811966</v>
      </c>
    </row>
    <row r="53">
      <c r="A53" t="n">
        <v>52</v>
      </c>
      <c r="B53" t="inlineStr">
        <is>
          <t>Te</t>
        </is>
      </c>
      <c r="C53" t="inlineStr">
        <is>
          <t>Tellurium</t>
        </is>
      </c>
      <c r="D53" t="inlineStr">
        <is>
          <t>Te-130</t>
        </is>
      </c>
      <c r="E53" t="n">
        <v>78</v>
      </c>
      <c r="F53" t="n">
        <v>130</v>
      </c>
      <c r="G53" t="n">
        <v>129.906222748</v>
      </c>
    </row>
    <row r="54">
      <c r="A54" t="n">
        <v>53</v>
      </c>
      <c r="B54" t="inlineStr">
        <is>
          <t>I</t>
        </is>
      </c>
      <c r="C54" t="inlineStr">
        <is>
          <t>Iodine</t>
        </is>
      </c>
      <c r="D54" t="inlineStr">
        <is>
          <t>I-127</t>
        </is>
      </c>
      <c r="E54" t="n">
        <v>74</v>
      </c>
      <c r="F54" t="n">
        <v>127</v>
      </c>
      <c r="G54" t="n">
        <v>126.904471838</v>
      </c>
    </row>
    <row r="55">
      <c r="A55" t="n">
        <v>54</v>
      </c>
      <c r="B55" t="inlineStr">
        <is>
          <t>Xe</t>
        </is>
      </c>
      <c r="C55" t="inlineStr">
        <is>
          <t>Xenon</t>
        </is>
      </c>
      <c r="D55" t="inlineStr">
        <is>
          <t>Xe-132</t>
        </is>
      </c>
      <c r="E55" t="n">
        <v>78</v>
      </c>
      <c r="F55" t="n">
        <v>132</v>
      </c>
      <c r="G55" t="n">
        <v>131.90415508</v>
      </c>
    </row>
    <row r="56">
      <c r="A56" t="n">
        <v>55</v>
      </c>
      <c r="B56" t="inlineStr">
        <is>
          <t>Cs</t>
        </is>
      </c>
      <c r="C56" t="inlineStr">
        <is>
          <t>Cesium</t>
        </is>
      </c>
      <c r="D56" t="inlineStr">
        <is>
          <t>Cs-133</t>
        </is>
      </c>
      <c r="E56" t="n">
        <v>78</v>
      </c>
      <c r="F56" t="n">
        <v>133</v>
      </c>
      <c r="G56" t="n">
        <v>132.905451961</v>
      </c>
    </row>
    <row r="57">
      <c r="A57" t="n">
        <v>56</v>
      </c>
      <c r="B57" t="inlineStr">
        <is>
          <t>Ba</t>
        </is>
      </c>
      <c r="C57" t="inlineStr">
        <is>
          <t>Barium</t>
        </is>
      </c>
      <c r="D57" t="inlineStr">
        <is>
          <t>Ba-138</t>
        </is>
      </c>
      <c r="E57" t="n">
        <v>82</v>
      </c>
      <c r="F57" t="n">
        <v>138</v>
      </c>
      <c r="G57" t="n">
        <v>137.905247237</v>
      </c>
    </row>
    <row r="58">
      <c r="A58" t="n">
        <v>57</v>
      </c>
      <c r="B58" t="inlineStr">
        <is>
          <t>La</t>
        </is>
      </c>
      <c r="C58" t="inlineStr">
        <is>
          <t>Lanthanum</t>
        </is>
      </c>
      <c r="D58" t="inlineStr">
        <is>
          <t>La-139</t>
        </is>
      </c>
      <c r="E58" t="n">
        <v>82</v>
      </c>
      <c r="F58" t="n">
        <v>139</v>
      </c>
      <c r="G58" t="n">
        <v>138.906356275</v>
      </c>
    </row>
    <row r="59">
      <c r="A59" t="n">
        <v>58</v>
      </c>
      <c r="B59" t="inlineStr">
        <is>
          <t>Ce</t>
        </is>
      </c>
      <c r="C59" t="inlineStr">
        <is>
          <t>Cerium</t>
        </is>
      </c>
      <c r="D59" t="inlineStr">
        <is>
          <t>Ce-140</t>
        </is>
      </c>
      <c r="E59" t="n">
        <v>82</v>
      </c>
      <c r="F59" t="n">
        <v>140</v>
      </c>
      <c r="G59" t="n">
        <v>139.905443127</v>
      </c>
    </row>
    <row r="60">
      <c r="A60" t="n">
        <v>59</v>
      </c>
      <c r="B60" t="inlineStr">
        <is>
          <t>Pr</t>
        </is>
      </c>
      <c r="C60" t="inlineStr">
        <is>
          <t>Praseodymium</t>
        </is>
      </c>
      <c r="D60" t="inlineStr">
        <is>
          <t>Pr-141</t>
        </is>
      </c>
      <c r="E60" t="n">
        <v>82</v>
      </c>
      <c r="F60" t="n">
        <v>141</v>
      </c>
      <c r="G60" t="n">
        <v>140.907657568</v>
      </c>
    </row>
    <row r="61">
      <c r="A61" t="n">
        <v>60</v>
      </c>
      <c r="B61" t="inlineStr">
        <is>
          <t>Nd</t>
        </is>
      </c>
      <c r="C61" t="inlineStr">
        <is>
          <t>Neodymium</t>
        </is>
      </c>
      <c r="D61" t="inlineStr">
        <is>
          <t>Nd-142</t>
        </is>
      </c>
      <c r="E61" t="n">
        <v>82</v>
      </c>
      <c r="F61" t="n">
        <v>142</v>
      </c>
      <c r="G61" t="n">
        <v>141.907728824</v>
      </c>
    </row>
    <row r="62">
      <c r="A62" t="n">
        <v>61</v>
      </c>
      <c r="B62" t="inlineStr">
        <is>
          <t>Pm</t>
        </is>
      </c>
      <c r="C62" t="inlineStr">
        <is>
          <t>Promethium</t>
        </is>
      </c>
      <c r="D62" t="inlineStr">
        <is>
          <t>Pm-145</t>
        </is>
      </c>
      <c r="E62" t="n">
        <v>84</v>
      </c>
      <c r="F62" t="n">
        <v>145</v>
      </c>
      <c r="G62" t="n">
        <v>144.912755748</v>
      </c>
    </row>
    <row r="63">
      <c r="A63" t="n">
        <v>62</v>
      </c>
      <c r="B63" t="inlineStr">
        <is>
          <t>Sm</t>
        </is>
      </c>
      <c r="C63" t="inlineStr">
        <is>
          <t>Samarium</t>
        </is>
      </c>
      <c r="D63" t="inlineStr">
        <is>
          <t>Sm-152</t>
        </is>
      </c>
      <c r="E63" t="n">
        <v>90</v>
      </c>
      <c r="F63" t="n">
        <v>152</v>
      </c>
      <c r="G63" t="n">
        <v>151.919739019</v>
      </c>
    </row>
    <row r="64">
      <c r="A64" t="n">
        <v>63</v>
      </c>
      <c r="B64" t="inlineStr">
        <is>
          <t>Eu</t>
        </is>
      </c>
      <c r="C64" t="inlineStr">
        <is>
          <t>Europium</t>
        </is>
      </c>
      <c r="D64" t="inlineStr">
        <is>
          <t>Eu-153</t>
        </is>
      </c>
      <c r="E64" t="n">
        <v>90</v>
      </c>
      <c r="F64" t="n">
        <v>153</v>
      </c>
      <c r="G64" t="n">
        <v>152.921237403</v>
      </c>
    </row>
    <row r="65">
      <c r="A65" t="n">
        <v>64</v>
      </c>
      <c r="B65" t="inlineStr">
        <is>
          <t>Gd</t>
        </is>
      </c>
      <c r="C65" t="inlineStr">
        <is>
          <t>Gadolinium</t>
        </is>
      </c>
      <c r="D65" t="inlineStr">
        <is>
          <t>Gd-158</t>
        </is>
      </c>
      <c r="E65" t="n">
        <v>94</v>
      </c>
      <c r="F65" t="n">
        <v>158</v>
      </c>
      <c r="G65" t="n">
        <v>157.924112349</v>
      </c>
    </row>
    <row r="66">
      <c r="A66" t="n">
        <v>65</v>
      </c>
      <c r="B66" t="inlineStr">
        <is>
          <t>Tb</t>
        </is>
      </c>
      <c r="C66" t="inlineStr">
        <is>
          <t>Terbium</t>
        </is>
      </c>
      <c r="D66" t="inlineStr">
        <is>
          <t>Tb-159</t>
        </is>
      </c>
      <c r="E66" t="n">
        <v>94</v>
      </c>
      <c r="F66" t="n">
        <v>159</v>
      </c>
      <c r="G66" t="n">
        <v>158.925354133</v>
      </c>
    </row>
    <row r="67">
      <c r="A67" t="n">
        <v>66</v>
      </c>
      <c r="B67" t="inlineStr">
        <is>
          <t>Dy</t>
        </is>
      </c>
      <c r="C67" t="inlineStr">
        <is>
          <t>Dysprosium</t>
        </is>
      </c>
      <c r="D67" t="inlineStr">
        <is>
          <t>Dy-164</t>
        </is>
      </c>
      <c r="E67" t="n">
        <v>98</v>
      </c>
      <c r="F67" t="n">
        <v>164</v>
      </c>
      <c r="G67" t="n">
        <v>163.929181874</v>
      </c>
    </row>
    <row r="68">
      <c r="A68" t="n">
        <v>67</v>
      </c>
      <c r="B68" t="inlineStr">
        <is>
          <t>Ho</t>
        </is>
      </c>
      <c r="C68" t="inlineStr">
        <is>
          <t>Holmium</t>
        </is>
      </c>
      <c r="D68" t="inlineStr">
        <is>
          <t>Ho-165</t>
        </is>
      </c>
      <c r="E68" t="n">
        <v>98</v>
      </c>
      <c r="F68" t="n">
        <v>165</v>
      </c>
      <c r="G68" t="n">
        <v>164.930328835</v>
      </c>
    </row>
    <row r="69">
      <c r="A69" t="n">
        <v>68</v>
      </c>
      <c r="B69" t="inlineStr">
        <is>
          <t>Er</t>
        </is>
      </c>
      <c r="C69" t="inlineStr">
        <is>
          <t>Erbium</t>
        </is>
      </c>
      <c r="D69" t="inlineStr">
        <is>
          <t>Er-166</t>
        </is>
      </c>
      <c r="E69" t="n">
        <v>98</v>
      </c>
      <c r="F69" t="n">
        <v>166</v>
      </c>
      <c r="G69" t="n">
        <v>165.930299323</v>
      </c>
    </row>
    <row r="70">
      <c r="A70" t="n">
        <v>69</v>
      </c>
      <c r="B70" t="inlineStr">
        <is>
          <t>Tm</t>
        </is>
      </c>
      <c r="C70" t="inlineStr">
        <is>
          <t>Thulium</t>
        </is>
      </c>
      <c r="D70" t="inlineStr">
        <is>
          <t>Tm-169</t>
        </is>
      </c>
      <c r="E70" t="n">
        <v>100</v>
      </c>
      <c r="F70" t="n">
        <v>169</v>
      </c>
      <c r="G70" t="n">
        <v>168.934217954</v>
      </c>
    </row>
    <row r="71">
      <c r="A71" t="n">
        <v>70</v>
      </c>
      <c r="B71" t="inlineStr">
        <is>
          <t>Yb</t>
        </is>
      </c>
      <c r="C71" t="inlineStr">
        <is>
          <t>Ytterbium</t>
        </is>
      </c>
      <c r="D71" t="inlineStr">
        <is>
          <t>Yb-174</t>
        </is>
      </c>
      <c r="E71" t="n">
        <v>104</v>
      </c>
      <c r="F71" t="n">
        <v>174</v>
      </c>
      <c r="G71" t="n">
        <v>173.938866437</v>
      </c>
    </row>
    <row r="72">
      <c r="A72" t="n">
        <v>71</v>
      </c>
      <c r="B72" t="inlineStr">
        <is>
          <t>Lu</t>
        </is>
      </c>
      <c r="C72" t="inlineStr">
        <is>
          <t>Lutetium</t>
        </is>
      </c>
      <c r="D72" t="inlineStr">
        <is>
          <t>Lu-175</t>
        </is>
      </c>
      <c r="E72" t="n">
        <v>104</v>
      </c>
      <c r="F72" t="n">
        <v>175</v>
      </c>
      <c r="G72" t="n">
        <v>174.940775191</v>
      </c>
    </row>
    <row r="73">
      <c r="A73" t="n">
        <v>72</v>
      </c>
      <c r="B73" t="inlineStr">
        <is>
          <t>Hf</t>
        </is>
      </c>
      <c r="C73" t="inlineStr">
        <is>
          <t>Hafnium</t>
        </is>
      </c>
      <c r="D73" t="inlineStr">
        <is>
          <t>Hf-180</t>
        </is>
      </c>
      <c r="E73" t="n">
        <v>108</v>
      </c>
      <c r="F73" t="n">
        <v>180</v>
      </c>
      <c r="G73" t="n">
        <v>179.946559544</v>
      </c>
    </row>
    <row r="74">
      <c r="A74" t="n">
        <v>73</v>
      </c>
      <c r="B74" t="inlineStr">
        <is>
          <t>Ta</t>
        </is>
      </c>
      <c r="C74" t="inlineStr">
        <is>
          <t>Tantalum</t>
        </is>
      </c>
      <c r="D74" t="inlineStr">
        <is>
          <t>Ta-181</t>
        </is>
      </c>
      <c r="E74" t="n">
        <v>108</v>
      </c>
      <c r="F74" t="n">
        <v>181</v>
      </c>
      <c r="G74" t="n">
        <v>180.947995763</v>
      </c>
    </row>
    <row r="75">
      <c r="A75" t="n">
        <v>74</v>
      </c>
      <c r="B75" t="inlineStr">
        <is>
          <t>W</t>
        </is>
      </c>
      <c r="C75" t="inlineStr">
        <is>
          <t>Tungsten</t>
        </is>
      </c>
      <c r="D75" t="inlineStr">
        <is>
          <t>W-184</t>
        </is>
      </c>
      <c r="E75" t="n">
        <v>110</v>
      </c>
      <c r="F75" t="n">
        <v>184</v>
      </c>
      <c r="G75" t="n">
        <v>183.950930929</v>
      </c>
    </row>
    <row r="76">
      <c r="A76" t="n">
        <v>75</v>
      </c>
      <c r="B76" t="inlineStr">
        <is>
          <t>Re</t>
        </is>
      </c>
      <c r="C76" t="inlineStr">
        <is>
          <t>Rhenium</t>
        </is>
      </c>
      <c r="D76" t="inlineStr">
        <is>
          <t>Re-187</t>
        </is>
      </c>
      <c r="E76" t="n">
        <v>112</v>
      </c>
      <c r="F76" t="n">
        <v>187</v>
      </c>
      <c r="G76" t="n">
        <v>186.955750787</v>
      </c>
    </row>
    <row r="77">
      <c r="A77" t="n">
        <v>76</v>
      </c>
      <c r="B77" t="inlineStr">
        <is>
          <t>Os</t>
        </is>
      </c>
      <c r="C77" t="inlineStr">
        <is>
          <t>Osmium</t>
        </is>
      </c>
      <c r="D77" t="inlineStr">
        <is>
          <t>Os-192</t>
        </is>
      </c>
      <c r="E77" t="n">
        <v>116</v>
      </c>
      <c r="F77" t="n">
        <v>192</v>
      </c>
      <c r="G77" t="n">
        <v>191.961477029</v>
      </c>
    </row>
    <row r="78">
      <c r="A78" t="n">
        <v>77</v>
      </c>
      <c r="B78" t="inlineStr">
        <is>
          <t>Ir</t>
        </is>
      </c>
      <c r="C78" t="inlineStr">
        <is>
          <t>Iridium</t>
        </is>
      </c>
      <c r="D78" t="inlineStr">
        <is>
          <t>Ir-193</t>
        </is>
      </c>
      <c r="E78" t="n">
        <v>116</v>
      </c>
      <c r="F78" t="n">
        <v>193</v>
      </c>
      <c r="G78" t="n">
        <v>192.962921552</v>
      </c>
    </row>
    <row r="79">
      <c r="A79" t="n">
        <v>78</v>
      </c>
      <c r="B79" t="inlineStr">
        <is>
          <t>Pt</t>
        </is>
      </c>
      <c r="C79" t="inlineStr">
        <is>
          <t>Platinum</t>
        </is>
      </c>
      <c r="D79" t="inlineStr">
        <is>
          <t>Pt-195</t>
        </is>
      </c>
      <c r="E79" t="n">
        <v>117</v>
      </c>
      <c r="F79" t="n">
        <v>195</v>
      </c>
      <c r="G79" t="n">
        <v>194.964791719</v>
      </c>
    </row>
    <row r="80">
      <c r="A80" t="n">
        <v>79</v>
      </c>
      <c r="B80" t="inlineStr">
        <is>
          <t>Au</t>
        </is>
      </c>
      <c r="C80" t="inlineStr">
        <is>
          <t>Gold</t>
        </is>
      </c>
      <c r="D80" t="inlineStr">
        <is>
          <t>Au-197</t>
        </is>
      </c>
      <c r="E80" t="n">
        <v>118</v>
      </c>
      <c r="F80" t="n">
        <v>197</v>
      </c>
      <c r="G80" t="n">
        <v>196.966568795</v>
      </c>
    </row>
    <row r="81">
      <c r="A81" t="n">
        <v>80</v>
      </c>
      <c r="B81" t="inlineStr">
        <is>
          <t>Hg</t>
        </is>
      </c>
      <c r="C81" t="inlineStr">
        <is>
          <t>Mercury</t>
        </is>
      </c>
      <c r="D81" t="inlineStr">
        <is>
          <t>Hg-202</t>
        </is>
      </c>
      <c r="E81" t="n">
        <v>122</v>
      </c>
      <c r="F81" t="n">
        <v>202</v>
      </c>
      <c r="G81" t="n">
        <v>201.970643011</v>
      </c>
    </row>
    <row r="82">
      <c r="A82" t="n">
        <v>81</v>
      </c>
      <c r="B82" t="inlineStr">
        <is>
          <t>Tl</t>
        </is>
      </c>
      <c r="C82" t="inlineStr">
        <is>
          <t>Thallium</t>
        </is>
      </c>
      <c r="D82" t="inlineStr">
        <is>
          <t>Tl-205</t>
        </is>
      </c>
      <c r="E82" t="n">
        <v>124</v>
      </c>
      <c r="F82" t="n">
        <v>205</v>
      </c>
      <c r="G82" t="n">
        <v>204.974427801</v>
      </c>
    </row>
    <row r="83">
      <c r="A83" t="n">
        <v>82</v>
      </c>
      <c r="B83" t="inlineStr">
        <is>
          <t>Pb</t>
        </is>
      </c>
      <c r="C83" t="inlineStr">
        <is>
          <t>Lead</t>
        </is>
      </c>
      <c r="D83" t="inlineStr">
        <is>
          <t>Pb-208</t>
        </is>
      </c>
      <c r="E83" t="n">
        <v>126</v>
      </c>
      <c r="F83" t="n">
        <v>208</v>
      </c>
      <c r="G83" t="n">
        <v>207.976652005</v>
      </c>
    </row>
    <row r="84">
      <c r="A84" t="n">
        <v>83</v>
      </c>
      <c r="B84" t="inlineStr">
        <is>
          <t>Bi</t>
        </is>
      </c>
      <c r="C84" t="inlineStr">
        <is>
          <t>Bismuth</t>
        </is>
      </c>
      <c r="D84" t="inlineStr">
        <is>
          <t>Bi-209</t>
        </is>
      </c>
      <c r="E84" t="n">
        <v>126</v>
      </c>
      <c r="F84" t="n">
        <v>209</v>
      </c>
      <c r="G84" t="n">
        <v>208.980398734</v>
      </c>
    </row>
    <row r="85">
      <c r="A85" t="n">
        <v>84</v>
      </c>
      <c r="B85" t="inlineStr">
        <is>
          <t>Po</t>
        </is>
      </c>
      <c r="C85" t="inlineStr">
        <is>
          <t>Polonium</t>
        </is>
      </c>
      <c r="D85" t="inlineStr">
        <is>
          <t>Po-209</t>
        </is>
      </c>
      <c r="E85" t="n">
        <v>125</v>
      </c>
      <c r="F85" t="n">
        <v>209</v>
      </c>
      <c r="G85" t="n">
        <v>208.98243042</v>
      </c>
    </row>
    <row r="86">
      <c r="A86" t="n">
        <v>85</v>
      </c>
      <c r="B86" t="inlineStr">
        <is>
          <t>At</t>
        </is>
      </c>
      <c r="C86" t="inlineStr">
        <is>
          <t>Astatine</t>
        </is>
      </c>
      <c r="D86" t="inlineStr">
        <is>
          <t>At-210</t>
        </is>
      </c>
      <c r="E86" t="n">
        <v>125</v>
      </c>
      <c r="F86" t="n">
        <v>210</v>
      </c>
      <c r="G86" t="n">
        <v>209.987147423</v>
      </c>
    </row>
    <row r="87">
      <c r="A87" t="n">
        <v>86</v>
      </c>
      <c r="B87" t="inlineStr">
        <is>
          <t>Rn</t>
        </is>
      </c>
      <c r="C87" t="inlineStr">
        <is>
          <t>Radon</t>
        </is>
      </c>
      <c r="D87" t="inlineStr">
        <is>
          <t>Rn-222</t>
        </is>
      </c>
      <c r="E87" t="n">
        <v>136</v>
      </c>
      <c r="F87" t="n">
        <v>222</v>
      </c>
      <c r="G87" t="n">
        <v>222.017577738</v>
      </c>
    </row>
    <row r="88">
      <c r="A88" t="n">
        <v>87</v>
      </c>
      <c r="B88" t="inlineStr">
        <is>
          <t>Fr</t>
        </is>
      </c>
      <c r="C88" t="inlineStr">
        <is>
          <t>Francium</t>
        </is>
      </c>
      <c r="D88" t="inlineStr">
        <is>
          <t>Fr-223</t>
        </is>
      </c>
      <c r="E88" t="n">
        <v>136</v>
      </c>
      <c r="F88" t="n">
        <v>223</v>
      </c>
      <c r="G88" t="n">
        <v>223.019734241</v>
      </c>
    </row>
    <row r="89">
      <c r="A89" t="n">
        <v>88</v>
      </c>
      <c r="B89" t="inlineStr">
        <is>
          <t>Ra</t>
        </is>
      </c>
      <c r="C89" t="inlineStr">
        <is>
          <t>Radium</t>
        </is>
      </c>
      <c r="D89" t="inlineStr">
        <is>
          <t>Ra-226</t>
        </is>
      </c>
      <c r="E89" t="n">
        <v>138</v>
      </c>
      <c r="F89" t="n">
        <v>226</v>
      </c>
      <c r="G89" t="n">
        <v>226.025409823</v>
      </c>
    </row>
    <row r="90">
      <c r="A90" t="n">
        <v>89</v>
      </c>
      <c r="B90" t="inlineStr">
        <is>
          <t>Ac</t>
        </is>
      </c>
      <c r="C90" t="inlineStr">
        <is>
          <t>Actinium</t>
        </is>
      </c>
      <c r="D90" t="inlineStr">
        <is>
          <t>Ac-227</t>
        </is>
      </c>
      <c r="E90" t="n">
        <v>138</v>
      </c>
      <c r="F90" t="n">
        <v>227</v>
      </c>
      <c r="G90" t="n">
        <v>227.027750526</v>
      </c>
    </row>
    <row r="91">
      <c r="A91" t="n">
        <v>90</v>
      </c>
      <c r="B91" t="inlineStr">
        <is>
          <t>Th</t>
        </is>
      </c>
      <c r="C91" t="inlineStr">
        <is>
          <t>Thorium</t>
        </is>
      </c>
      <c r="D91" t="inlineStr">
        <is>
          <t>Th-232</t>
        </is>
      </c>
      <c r="E91" t="n">
        <v>142</v>
      </c>
      <c r="F91" t="n">
        <v>232</v>
      </c>
      <c r="G91" t="n">
        <v>232.038055325</v>
      </c>
    </row>
    <row r="92">
      <c r="A92" t="n">
        <v>91</v>
      </c>
      <c r="B92" t="inlineStr">
        <is>
          <t>Pa</t>
        </is>
      </c>
      <c r="C92" t="inlineStr">
        <is>
          <t>Protactinium</t>
        </is>
      </c>
      <c r="D92" t="inlineStr">
        <is>
          <t>Pa-231</t>
        </is>
      </c>
      <c r="E92" t="n">
        <v>140</v>
      </c>
      <c r="F92" t="n">
        <v>231</v>
      </c>
      <c r="G92" t="n">
        <v>231.035884</v>
      </c>
    </row>
    <row r="93">
      <c r="A93" t="n">
        <v>92</v>
      </c>
      <c r="B93" t="inlineStr">
        <is>
          <t>U</t>
        </is>
      </c>
      <c r="C93" t="inlineStr">
        <is>
          <t>Uranium</t>
        </is>
      </c>
      <c r="D93" t="inlineStr">
        <is>
          <t>U-238</t>
        </is>
      </c>
      <c r="E93" t="n">
        <v>146</v>
      </c>
      <c r="F93" t="n">
        <v>238</v>
      </c>
      <c r="G93" t="n">
        <v>238.050788268</v>
      </c>
    </row>
    <row r="94">
      <c r="A94" t="n">
        <v>93</v>
      </c>
      <c r="B94" t="inlineStr">
        <is>
          <t>Np</t>
        </is>
      </c>
      <c r="C94" t="inlineStr">
        <is>
          <t>Neptunium</t>
        </is>
      </c>
      <c r="D94" t="inlineStr">
        <is>
          <t>Np-237</t>
        </is>
      </c>
      <c r="E94" t="n">
        <v>144</v>
      </c>
      <c r="F94" t="n">
        <v>237</v>
      </c>
      <c r="G94" t="n">
        <v>237.048173444</v>
      </c>
    </row>
    <row r="95">
      <c r="A95" t="n">
        <v>94</v>
      </c>
      <c r="B95" t="inlineStr">
        <is>
          <t>Pu</t>
        </is>
      </c>
      <c r="C95" t="inlineStr">
        <is>
          <t>Plutonium</t>
        </is>
      </c>
      <c r="D95" t="inlineStr">
        <is>
          <t>Pu-244</t>
        </is>
      </c>
      <c r="E95" t="n">
        <v>150</v>
      </c>
      <c r="F95" t="n">
        <v>244</v>
      </c>
      <c r="G95" t="n">
        <v>244.064198</v>
      </c>
    </row>
    <row r="96">
      <c r="A96" t="n">
        <v>95</v>
      </c>
      <c r="B96" t="inlineStr">
        <is>
          <t>Am</t>
        </is>
      </c>
      <c r="C96" t="inlineStr">
        <is>
          <t>Americium</t>
        </is>
      </c>
      <c r="D96" t="inlineStr">
        <is>
          <t>Am-243</t>
        </is>
      </c>
      <c r="E96" t="n">
        <v>148</v>
      </c>
      <c r="F96" t="n">
        <v>243</v>
      </c>
      <c r="G96" t="n">
        <v>243.06138</v>
      </c>
    </row>
    <row r="97">
      <c r="A97" t="n">
        <v>96</v>
      </c>
      <c r="B97" t="inlineStr">
        <is>
          <t>Cm</t>
        </is>
      </c>
      <c r="C97" t="inlineStr">
        <is>
          <t>Curium</t>
        </is>
      </c>
      <c r="D97" t="inlineStr">
        <is>
          <t>Cm-247</t>
        </is>
      </c>
      <c r="E97" t="n">
        <v>151</v>
      </c>
      <c r="F97" t="n">
        <v>247</v>
      </c>
      <c r="G97" t="n">
        <v>247.070353</v>
      </c>
    </row>
    <row r="98">
      <c r="A98" t="n">
        <v>97</v>
      </c>
      <c r="B98" t="inlineStr">
        <is>
          <t>Bk</t>
        </is>
      </c>
      <c r="C98" t="inlineStr">
        <is>
          <t>Berkelium</t>
        </is>
      </c>
      <c r="D98" t="inlineStr">
        <is>
          <t>Bk-247</t>
        </is>
      </c>
      <c r="E98" t="n">
        <v>150</v>
      </c>
      <c r="F98" t="n">
        <v>247</v>
      </c>
      <c r="G98" t="n">
        <v>247.070307</v>
      </c>
    </row>
    <row r="99">
      <c r="A99" t="n">
        <v>98</v>
      </c>
      <c r="B99" t="inlineStr">
        <is>
          <t>Cf</t>
        </is>
      </c>
      <c r="C99" t="inlineStr">
        <is>
          <t>Californium</t>
        </is>
      </c>
      <c r="D99" t="inlineStr">
        <is>
          <t>Cf-251</t>
        </is>
      </c>
      <c r="E99" t="n">
        <v>153</v>
      </c>
      <c r="F99" t="n">
        <v>251</v>
      </c>
      <c r="G99" t="n">
        <v>251.079588</v>
      </c>
    </row>
    <row r="100">
      <c r="A100" t="n">
        <v>99</v>
      </c>
      <c r="B100" t="inlineStr">
        <is>
          <t>Es</t>
        </is>
      </c>
      <c r="C100" t="inlineStr">
        <is>
          <t>Einsteinium</t>
        </is>
      </c>
      <c r="D100" t="inlineStr">
        <is>
          <t>Es-252</t>
        </is>
      </c>
      <c r="E100" t="n">
        <v>153</v>
      </c>
      <c r="F100" t="n">
        <v>252</v>
      </c>
      <c r="G100" t="n">
        <v>252.08298</v>
      </c>
    </row>
    <row r="101">
      <c r="A101" t="n">
        <v>100</v>
      </c>
      <c r="B101" t="inlineStr">
        <is>
          <t>Fm</t>
        </is>
      </c>
      <c r="C101" t="inlineStr">
        <is>
          <t>Fermium</t>
        </is>
      </c>
      <c r="D101" t="inlineStr">
        <is>
          <t>Fm-257</t>
        </is>
      </c>
      <c r="E101" t="n">
        <v>157</v>
      </c>
      <c r="F101" t="n">
        <v>257</v>
      </c>
      <c r="G101" t="n">
        <v>257.095106</v>
      </c>
    </row>
    <row r="102">
      <c r="A102" t="n">
        <v>101</v>
      </c>
      <c r="B102" t="inlineStr">
        <is>
          <t>Md</t>
        </is>
      </c>
      <c r="C102" t="inlineStr">
        <is>
          <t>Mendelevium</t>
        </is>
      </c>
      <c r="D102" t="inlineStr">
        <is>
          <t>Md-258</t>
        </is>
      </c>
      <c r="E102" t="n">
        <v>157</v>
      </c>
      <c r="F102" t="n">
        <v>258</v>
      </c>
      <c r="G102" t="n">
        <v>258.098431</v>
      </c>
    </row>
    <row r="103">
      <c r="A103" t="n">
        <v>102</v>
      </c>
      <c r="B103" t="inlineStr">
        <is>
          <t>No</t>
        </is>
      </c>
      <c r="C103" t="inlineStr">
        <is>
          <t>Nobelium</t>
        </is>
      </c>
      <c r="D103" t="inlineStr">
        <is>
          <t>No-259</t>
        </is>
      </c>
      <c r="E103" t="n">
        <v>157</v>
      </c>
      <c r="F103" t="n">
        <v>259</v>
      </c>
      <c r="G103" t="n">
        <v>259.10103</v>
      </c>
    </row>
    <row r="104">
      <c r="A104" t="n">
        <v>103</v>
      </c>
      <c r="B104" t="inlineStr">
        <is>
          <t>Lr</t>
        </is>
      </c>
      <c r="C104" t="inlineStr">
        <is>
          <t>Lawrencium</t>
        </is>
      </c>
      <c r="D104" t="inlineStr">
        <is>
          <t>Lr-266</t>
        </is>
      </c>
      <c r="E104" t="n">
        <v>163</v>
      </c>
      <c r="F104" t="n">
        <v>266</v>
      </c>
      <c r="G104" t="n">
        <v>266.11983</v>
      </c>
    </row>
    <row r="105">
      <c r="A105" t="n">
        <v>104</v>
      </c>
      <c r="B105" t="inlineStr">
        <is>
          <t>Rf</t>
        </is>
      </c>
      <c r="C105" t="inlineStr">
        <is>
          <t>Rutherfordium</t>
        </is>
      </c>
      <c r="D105" t="inlineStr">
        <is>
          <t>Rf-267</t>
        </is>
      </c>
      <c r="E105" t="n">
        <v>163</v>
      </c>
      <c r="F105" t="n">
        <v>267</v>
      </c>
      <c r="G105" t="n">
        <v>267.12179</v>
      </c>
    </row>
    <row r="106">
      <c r="A106" t="n">
        <v>105</v>
      </c>
      <c r="B106" t="inlineStr">
        <is>
          <t>Db</t>
        </is>
      </c>
      <c r="C106" t="inlineStr">
        <is>
          <t>Dubnium</t>
        </is>
      </c>
      <c r="D106" t="inlineStr">
        <is>
          <t>Db-268</t>
        </is>
      </c>
      <c r="E106" t="n">
        <v>163</v>
      </c>
      <c r="F106" t="n">
        <v>268</v>
      </c>
      <c r="G106" t="n">
        <v>268.12567</v>
      </c>
    </row>
    <row r="107">
      <c r="A107" t="n">
        <v>106</v>
      </c>
      <c r="B107" t="inlineStr">
        <is>
          <t>Sg</t>
        </is>
      </c>
      <c r="C107" t="inlineStr">
        <is>
          <t>Seaborgium</t>
        </is>
      </c>
      <c r="D107" t="inlineStr">
        <is>
          <t>Sg-269</t>
        </is>
      </c>
      <c r="E107" t="n">
        <v>163</v>
      </c>
      <c r="F107" t="n">
        <v>269</v>
      </c>
      <c r="G107" t="n">
        <v>269.12863</v>
      </c>
    </row>
    <row r="108">
      <c r="A108" t="n">
        <v>107</v>
      </c>
      <c r="B108" t="inlineStr">
        <is>
          <t>Bh</t>
        </is>
      </c>
      <c r="C108" t="inlineStr">
        <is>
          <t>Bohrium</t>
        </is>
      </c>
      <c r="D108" t="inlineStr">
        <is>
          <t>Bh-270</t>
        </is>
      </c>
      <c r="E108" t="n">
        <v>163</v>
      </c>
      <c r="F108" t="n">
        <v>270</v>
      </c>
      <c r="G108" t="n">
        <v>270.13336</v>
      </c>
    </row>
    <row r="109">
      <c r="A109" t="n">
        <v>108</v>
      </c>
      <c r="B109" t="inlineStr">
        <is>
          <t>Hs</t>
        </is>
      </c>
      <c r="C109" t="inlineStr">
        <is>
          <t>Hassium</t>
        </is>
      </c>
      <c r="D109" t="inlineStr">
        <is>
          <t>Hs-277</t>
        </is>
      </c>
      <c r="E109" t="n">
        <v>169</v>
      </c>
      <c r="F109" t="n">
        <v>277</v>
      </c>
      <c r="G109" t="n">
        <v>277.15199</v>
      </c>
    </row>
    <row r="110">
      <c r="A110" t="n">
        <v>109</v>
      </c>
      <c r="B110" t="inlineStr">
        <is>
          <t>Mt</t>
        </is>
      </c>
      <c r="C110" t="inlineStr">
        <is>
          <t>Meitnerium</t>
        </is>
      </c>
      <c r="D110" t="inlineStr">
        <is>
          <t>Mt-278</t>
        </is>
      </c>
      <c r="E110" t="n">
        <v>169</v>
      </c>
      <c r="F110" t="n">
        <v>278</v>
      </c>
      <c r="G110" t="n">
        <v>278.15631</v>
      </c>
    </row>
    <row r="111">
      <c r="A111" t="n">
        <v>110</v>
      </c>
      <c r="B111" t="inlineStr">
        <is>
          <t>Ds</t>
        </is>
      </c>
      <c r="C111" t="inlineStr">
        <is>
          <t>Darmstadtium</t>
        </is>
      </c>
      <c r="D111" t="inlineStr">
        <is>
          <t>Ds-281</t>
        </is>
      </c>
      <c r="E111" t="n">
        <v>171</v>
      </c>
      <c r="F111" t="n">
        <v>281</v>
      </c>
      <c r="G111" t="n">
        <v>281.16451</v>
      </c>
    </row>
    <row r="112">
      <c r="A112" t="n">
        <v>111</v>
      </c>
      <c r="B112" t="inlineStr">
        <is>
          <t>Rg</t>
        </is>
      </c>
      <c r="C112" t="inlineStr">
        <is>
          <t>Roentgenium</t>
        </is>
      </c>
      <c r="D112" t="inlineStr">
        <is>
          <t>Rg-282</t>
        </is>
      </c>
      <c r="E112" t="n">
        <v>171</v>
      </c>
      <c r="F112" t="n">
        <v>282</v>
      </c>
      <c r="G112" t="n">
        <v>282.16912</v>
      </c>
    </row>
    <row r="113">
      <c r="A113" t="n">
        <v>112</v>
      </c>
      <c r="B113" t="inlineStr">
        <is>
          <t>Cn</t>
        </is>
      </c>
      <c r="C113" t="inlineStr">
        <is>
          <t>Copernicium</t>
        </is>
      </c>
      <c r="D113" t="inlineStr">
        <is>
          <t>Cn-285</t>
        </is>
      </c>
      <c r="E113" t="n">
        <v>173</v>
      </c>
      <c r="F113" t="n">
        <v>285</v>
      </c>
      <c r="G113" t="n">
        <v>285.17712</v>
      </c>
    </row>
    <row r="114">
      <c r="A114" t="n">
        <v>113</v>
      </c>
      <c r="B114" t="inlineStr">
        <is>
          <t>Nh</t>
        </is>
      </c>
      <c r="C114" t="inlineStr">
        <is>
          <t>Nihonium</t>
        </is>
      </c>
      <c r="D114" t="inlineStr">
        <is>
          <t>Nh-286</t>
        </is>
      </c>
      <c r="E114" t="n">
        <v>173</v>
      </c>
      <c r="F114" t="n">
        <v>286</v>
      </c>
      <c r="G114" t="n">
        <v>286.18221</v>
      </c>
    </row>
    <row r="115">
      <c r="A115" t="n">
        <v>114</v>
      </c>
      <c r="B115" t="inlineStr">
        <is>
          <t>Fl</t>
        </is>
      </c>
      <c r="C115" t="inlineStr">
        <is>
          <t>Flerovium</t>
        </is>
      </c>
      <c r="D115" t="inlineStr">
        <is>
          <t>Fl-289</t>
        </is>
      </c>
      <c r="E115" t="n">
        <v>175</v>
      </c>
      <c r="F115" t="n">
        <v>289</v>
      </c>
      <c r="G115" t="n">
        <v>289.19042</v>
      </c>
    </row>
    <row r="116">
      <c r="A116" t="n">
        <v>115</v>
      </c>
      <c r="B116" t="inlineStr">
        <is>
          <t>Mc</t>
        </is>
      </c>
      <c r="C116" t="inlineStr">
        <is>
          <t>Moscovium</t>
        </is>
      </c>
      <c r="D116" t="inlineStr">
        <is>
          <t>Mc-290</t>
        </is>
      </c>
      <c r="E116" t="n">
        <v>175</v>
      </c>
      <c r="F116" t="n">
        <v>290</v>
      </c>
      <c r="G116" t="n">
        <v>290.19598</v>
      </c>
    </row>
    <row r="117">
      <c r="A117" t="n">
        <v>116</v>
      </c>
      <c r="B117" t="inlineStr">
        <is>
          <t>Lv</t>
        </is>
      </c>
      <c r="C117" t="inlineStr">
        <is>
          <t>Livermorium</t>
        </is>
      </c>
      <c r="D117" t="inlineStr">
        <is>
          <t>Lv-293</t>
        </is>
      </c>
      <c r="E117" t="n">
        <v>177</v>
      </c>
      <c r="F117" t="n">
        <v>293</v>
      </c>
      <c r="G117" t="n">
        <v>293.20449</v>
      </c>
    </row>
    <row r="118">
      <c r="A118" t="n">
        <v>117</v>
      </c>
      <c r="B118" t="inlineStr">
        <is>
          <t>Ts</t>
        </is>
      </c>
      <c r="C118" t="inlineStr">
        <is>
          <t>Tennessine</t>
        </is>
      </c>
      <c r="D118" t="inlineStr">
        <is>
          <t>Ts-294</t>
        </is>
      </c>
      <c r="E118" t="n">
        <v>177</v>
      </c>
      <c r="F118" t="n">
        <v>294</v>
      </c>
      <c r="G118" t="n">
        <v>294.21046</v>
      </c>
    </row>
    <row r="119">
      <c r="A119" t="n">
        <v>118</v>
      </c>
      <c r="B119" t="inlineStr">
        <is>
          <t>Og</t>
        </is>
      </c>
      <c r="C119" t="inlineStr">
        <is>
          <t>Oganesson</t>
        </is>
      </c>
      <c r="D119" t="inlineStr">
        <is>
          <t>Og-294</t>
        </is>
      </c>
      <c r="E119" t="n">
        <v>176</v>
      </c>
      <c r="F119" t="n">
        <v>294</v>
      </c>
      <c r="G119" t="n">
        <v>294.21392</v>
      </c>
    </row>
    <row r="120">
      <c r="A120" t="n">
        <v>119</v>
      </c>
      <c r="B120" t="inlineStr">
        <is>
          <t>Uue</t>
        </is>
      </c>
      <c r="C120" t="inlineStr">
        <is>
          <t>Ununennium</t>
        </is>
      </c>
      <c r="D120" t="inlineStr"/>
      <c r="E120" t="inlineStr"/>
      <c r="F120" t="inlineStr"/>
      <c r="G120" t="inlineStr"/>
    </row>
    <row r="121">
      <c r="A121" t="n">
        <v>120</v>
      </c>
      <c r="B121" t="inlineStr">
        <is>
          <t>Ubn</t>
        </is>
      </c>
      <c r="C121" t="inlineStr">
        <is>
          <t>Unbinilium</t>
        </is>
      </c>
      <c r="D121" t="inlineStr"/>
      <c r="E121" t="inlineStr"/>
      <c r="F121" t="inlineStr"/>
      <c r="G121" t="inlineStr"/>
    </row>
    <row r="122">
      <c r="A122" t="n">
        <v>121</v>
      </c>
      <c r="B122" t="inlineStr">
        <is>
          <t>Ubu</t>
        </is>
      </c>
      <c r="C122" t="inlineStr">
        <is>
          <t>Unbiunium</t>
        </is>
      </c>
      <c r="D122" t="inlineStr"/>
      <c r="E122" t="inlineStr"/>
      <c r="F122" t="inlineStr"/>
      <c r="G122" t="inlineStr"/>
    </row>
    <row r="123">
      <c r="A123" t="n">
        <v>122</v>
      </c>
      <c r="B123" t="inlineStr">
        <is>
          <t>Ubb</t>
        </is>
      </c>
      <c r="C123" t="inlineStr">
        <is>
          <t>Unbibium</t>
        </is>
      </c>
      <c r="D123" t="inlineStr"/>
      <c r="E123" t="inlineStr"/>
      <c r="F123" t="inlineStr"/>
      <c r="G123" t="inlineStr"/>
    </row>
    <row r="124">
      <c r="A124" t="n">
        <v>123</v>
      </c>
      <c r="B124" t="inlineStr">
        <is>
          <t>Ubt</t>
        </is>
      </c>
      <c r="C124" t="inlineStr">
        <is>
          <t>Unbitrium</t>
        </is>
      </c>
      <c r="D124" t="inlineStr"/>
      <c r="E124" t="inlineStr"/>
      <c r="F124" t="inlineStr"/>
      <c r="G124" t="inlineStr"/>
    </row>
    <row r="125">
      <c r="A125" t="n">
        <v>124</v>
      </c>
      <c r="B125" t="inlineStr">
        <is>
          <t>Ubq</t>
        </is>
      </c>
      <c r="C125" t="inlineStr">
        <is>
          <t>Unbiquadium</t>
        </is>
      </c>
      <c r="D125" t="inlineStr"/>
      <c r="E125" t="inlineStr"/>
      <c r="F125" t="inlineStr"/>
      <c r="G125" t="inlineStr"/>
    </row>
    <row r="126">
      <c r="A126" t="n">
        <v>125</v>
      </c>
      <c r="B126" t="inlineStr">
        <is>
          <t>Ubp</t>
        </is>
      </c>
      <c r="C126" t="inlineStr">
        <is>
          <t>Unbipentium</t>
        </is>
      </c>
      <c r="D126" t="inlineStr"/>
      <c r="E126" t="inlineStr"/>
      <c r="F126" t="inlineStr"/>
      <c r="G126" t="inlineStr"/>
    </row>
    <row r="127">
      <c r="A127" t="n">
        <v>126</v>
      </c>
      <c r="B127" t="inlineStr">
        <is>
          <t>Ubh</t>
        </is>
      </c>
      <c r="C127" t="inlineStr">
        <is>
          <t>Unbihexium</t>
        </is>
      </c>
      <c r="D127" t="inlineStr"/>
      <c r="E127" t="inlineStr"/>
      <c r="F127" t="inlineStr"/>
      <c r="G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2026-06-25T06:00:10Z</dcterms:created>
  <dcterms:modified xsi:type="dcterms:W3CDTF">2026-06-25T06:00:10Z</dcterms:modified>
</cp:coreProperties>
</file>