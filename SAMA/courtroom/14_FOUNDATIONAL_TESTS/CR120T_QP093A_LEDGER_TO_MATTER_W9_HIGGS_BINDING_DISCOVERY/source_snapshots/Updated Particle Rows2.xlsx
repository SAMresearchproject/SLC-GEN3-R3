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b337a535455ec21/Desktop/"/>
    </mc:Choice>
  </mc:AlternateContent>
  <xr:revisionPtr revIDLastSave="61" documentId="8_{CD74F414-37E8-4526-AB89-6E4E500CA95B}" xr6:coauthVersionLast="47" xr6:coauthVersionMax="47" xr10:uidLastSave="{347339BF-46E1-437F-822E-9B426DEAE01E}"/>
  <bookViews>
    <workbookView xWindow="-93" yWindow="-93" windowWidth="21131" windowHeight="11248" xr2:uid="{00000000-000D-0000-FFFF-FFFF00000000}"/>
  </bookViews>
  <sheets>
    <sheet name="Particle Stability Blocks" sheetId="2" r:id="rId1"/>
    <sheet name="M_native 12600 - 81 Row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3" i="2" l="1"/>
  <c r="AF3" i="3"/>
  <c r="AF4" i="3" s="1"/>
  <c r="AF2" i="3"/>
  <c r="AD131" i="2"/>
  <c r="O131" i="2"/>
  <c r="V131" i="2"/>
  <c r="S131" i="2"/>
  <c r="T343" i="2"/>
  <c r="S343" i="2"/>
  <c r="T131" i="2"/>
  <c r="W131" i="2"/>
  <c r="U131" i="2"/>
  <c r="F131" i="2"/>
  <c r="AH146" i="2"/>
  <c r="AG146" i="2"/>
  <c r="AF146" i="2"/>
  <c r="AH145" i="2"/>
  <c r="AG145" i="2"/>
  <c r="AF145" i="2"/>
  <c r="AH144" i="2"/>
  <c r="AG144" i="2"/>
  <c r="AF144" i="2"/>
  <c r="AH143" i="2"/>
  <c r="AG143" i="2"/>
  <c r="AF143" i="2"/>
  <c r="T132" i="2" l="1"/>
</calcChain>
</file>

<file path=xl/sharedStrings.xml><?xml version="1.0" encoding="utf-8"?>
<sst xmlns="http://schemas.openxmlformats.org/spreadsheetml/2006/main" count="6636" uniqueCount="1013">
  <si>
    <t>QP093A-0303</t>
  </si>
  <si>
    <t>candidate_id</t>
  </si>
  <si>
    <t>bin</t>
  </si>
  <si>
    <t>route_combination</t>
  </si>
  <si>
    <t>operator_class</t>
  </si>
  <si>
    <t>route_class</t>
  </si>
  <si>
    <t>partition_signature</t>
  </si>
  <si>
    <t>closure_depth</t>
  </si>
  <si>
    <t>q_sign</t>
  </si>
  <si>
    <t>q_abs</t>
  </si>
  <si>
    <t>native_charge_axis</t>
  </si>
  <si>
    <t>spin_or_hand_class</t>
  </si>
  <si>
    <t>color_or_owner_closure</t>
  </si>
  <si>
    <t>closure_status</t>
  </si>
  <si>
    <t>stability_status</t>
  </si>
  <si>
    <t>M_native</t>
  </si>
  <si>
    <t>surface_sign</t>
  </si>
  <si>
    <t>surface_depth</t>
  </si>
  <si>
    <t>surface_packet_address</t>
  </si>
  <si>
    <t>S_debit_or_credit</t>
  </si>
  <si>
    <t>M_observed_candidate</t>
  </si>
  <si>
    <t>qA_source_support</t>
  </si>
  <si>
    <t>tensor_carrier_support</t>
  </si>
  <si>
    <t>retained_write_support</t>
  </si>
  <si>
    <t>matter_row_allowed</t>
  </si>
  <si>
    <t>known_match</t>
  </si>
  <si>
    <t>promotion_status</t>
  </si>
  <si>
    <t>QP093A-0001</t>
  </si>
  <si>
    <t>stable_matter_rows</t>
  </si>
  <si>
    <t>plus_single_write[p=1,g=0]</t>
  </si>
  <si>
    <t>V4_1_SINGLE_WRITE</t>
  </si>
  <si>
    <t>single_write</t>
  </si>
  <si>
    <t>positive</t>
  </si>
  <si>
    <t>plus</t>
  </si>
  <si>
    <t>fermion_half_write</t>
  </si>
  <si>
    <t>owner_closed</t>
  </si>
  <si>
    <t>CLOSED_WRITE</t>
  </si>
  <si>
    <t>STABLE_MATTER_CANDIDATE</t>
  </si>
  <si>
    <t>zero_contact</t>
  </si>
  <si>
    <t>route_contact</t>
  </si>
  <si>
    <t>yes</t>
  </si>
  <si>
    <t>MATTER_ROW_ALLOWED_AFTER_SURFACE_GATE</t>
  </si>
  <si>
    <t>no</t>
  </si>
  <si>
    <t>QP093A-0002</t>
  </si>
  <si>
    <t>minus_single_write[p=1,g=0]</t>
  </si>
  <si>
    <t>negative</t>
  </si>
  <si>
    <t>minus</t>
  </si>
  <si>
    <t>QP093A-0003</t>
  </si>
  <si>
    <t>neutral_single_write[p=1,g=0]</t>
  </si>
  <si>
    <t>OUTER_BINARY_NEUTRAL</t>
  </si>
  <si>
    <t>outer_binary_neutral</t>
  </si>
  <si>
    <t>neutral</t>
  </si>
  <si>
    <t>STABLE_NEUTRAL_CANDIDATE</t>
  </si>
  <si>
    <t>QP093A-0004</t>
  </si>
  <si>
    <t>plus_single_write[p=2,g=0]</t>
  </si>
  <si>
    <t>QP093A-0005</t>
  </si>
  <si>
    <t>minus_single_write[p=2,g=0]</t>
  </si>
  <si>
    <t>QP093A-0006</t>
  </si>
  <si>
    <t>neutral_single_write[p=2,g=0]</t>
  </si>
  <si>
    <t>QP093A-0007</t>
  </si>
  <si>
    <t>plus_single_write[p=3,g=0]</t>
  </si>
  <si>
    <t>QP093A-0008</t>
  </si>
  <si>
    <t>minus_single_write[p=3,g=0]</t>
  </si>
  <si>
    <t>QP093A-0009</t>
  </si>
  <si>
    <t>neutral_single_write[p=3,g=0]</t>
  </si>
  <si>
    <t>QP093A-0010</t>
  </si>
  <si>
    <t>plus_single_write[p=4,g=0]</t>
  </si>
  <si>
    <t>QP093A-0011</t>
  </si>
  <si>
    <t>minus_single_write[p=4,g=0]</t>
  </si>
  <si>
    <t>QP093A-0012</t>
  </si>
  <si>
    <t>neutral_single_write[p=4,g=0]</t>
  </si>
  <si>
    <t>QP093A-0013</t>
  </si>
  <si>
    <t>plus_single_write[p=6,g=0]</t>
  </si>
  <si>
    <t>QP093A-0014</t>
  </si>
  <si>
    <t>minus_single_write[p=6,g=0]</t>
  </si>
  <si>
    <t>QP093A-0015</t>
  </si>
  <si>
    <t>neutral_single_write[p=6,g=0]</t>
  </si>
  <si>
    <t>QP093A-0016</t>
  </si>
  <si>
    <t>plus_single_write[p=8,g=0]</t>
  </si>
  <si>
    <t>QP093A-0017</t>
  </si>
  <si>
    <t>minus_single_write[p=8,g=0]</t>
  </si>
  <si>
    <t>QP093A-0018</t>
  </si>
  <si>
    <t>neutral_single_write[p=8,g=0]</t>
  </si>
  <si>
    <t>QP093A-0019</t>
  </si>
  <si>
    <t>plus_single_write[p=9,g=0]</t>
  </si>
  <si>
    <t>QP093A-0020</t>
  </si>
  <si>
    <t>minus_single_write[p=9,g=0]</t>
  </si>
  <si>
    <t>QP093A-0021</t>
  </si>
  <si>
    <t>neutral_single_write[p=9,g=0]</t>
  </si>
  <si>
    <t>QP093A-0022</t>
  </si>
  <si>
    <t>plus_single_write[p=12,g=0]</t>
  </si>
  <si>
    <t>QP093A-0023</t>
  </si>
  <si>
    <t>minus_single_write[p=12,g=0]</t>
  </si>
  <si>
    <t>QP093A-0024</t>
  </si>
  <si>
    <t>neutral_single_write[p=12,g=0]</t>
  </si>
  <si>
    <t>QP093A-0025</t>
  </si>
  <si>
    <t>plus_single_write[p=1,g=1]</t>
  </si>
  <si>
    <t>QP093A-0026</t>
  </si>
  <si>
    <t>minus_single_write[p=1,g=1]</t>
  </si>
  <si>
    <t>QP093A-0027</t>
  </si>
  <si>
    <t>neutral_single_write[p=1,g=1]</t>
  </si>
  <si>
    <t>QP093A-0028</t>
  </si>
  <si>
    <t>plus_single_write[p=2,g=1]</t>
  </si>
  <si>
    <t>QP093A-0029</t>
  </si>
  <si>
    <t>minus_single_write[p=2,g=1]</t>
  </si>
  <si>
    <t>QP093A-0030</t>
  </si>
  <si>
    <t>neutral_single_write[p=2,g=1]</t>
  </si>
  <si>
    <t>QP093A-0031</t>
  </si>
  <si>
    <t>plus_single_write[p=3,g=1]</t>
  </si>
  <si>
    <t>QP093A-0032</t>
  </si>
  <si>
    <t>minus_single_write[p=3,g=1]</t>
  </si>
  <si>
    <t>QP093A-0033</t>
  </si>
  <si>
    <t>neutral_single_write[p=3,g=1]</t>
  </si>
  <si>
    <t>QP093A-0034</t>
  </si>
  <si>
    <t>plus_single_write[p=4,g=1]</t>
  </si>
  <si>
    <t>QP093A-0035</t>
  </si>
  <si>
    <t>minus_single_write[p=4,g=1]</t>
  </si>
  <si>
    <t>QP093A-0036</t>
  </si>
  <si>
    <t>neutral_single_write[p=4,g=1]</t>
  </si>
  <si>
    <t>QP093A-0037</t>
  </si>
  <si>
    <t>plus_single_write[p=6,g=1]</t>
  </si>
  <si>
    <t>QP093A-0038</t>
  </si>
  <si>
    <t>minus_single_write[p=6,g=1]</t>
  </si>
  <si>
    <t>QP093A-0039</t>
  </si>
  <si>
    <t>neutral_single_write[p=6,g=1]</t>
  </si>
  <si>
    <t>QP093A-0040</t>
  </si>
  <si>
    <t>plus_single_write[p=8,g=1]</t>
  </si>
  <si>
    <t>QP093A-0041</t>
  </si>
  <si>
    <t>minus_single_write[p=8,g=1]</t>
  </si>
  <si>
    <t>QP093A-0042</t>
  </si>
  <si>
    <t>neutral_single_write[p=8,g=1]</t>
  </si>
  <si>
    <t>QP093A-0043</t>
  </si>
  <si>
    <t>plus_single_write[p=9,g=1]</t>
  </si>
  <si>
    <t>QP093A-0044</t>
  </si>
  <si>
    <t>minus_single_write[p=9,g=1]</t>
  </si>
  <si>
    <t>QP093A-0045</t>
  </si>
  <si>
    <t>neutral_single_write[p=9,g=1]</t>
  </si>
  <si>
    <t>QP093A-0046</t>
  </si>
  <si>
    <t>plus_single_write[p=12,g=1]</t>
  </si>
  <si>
    <t>QP093A-0047</t>
  </si>
  <si>
    <t>minus_single_write[p=12,g=1]</t>
  </si>
  <si>
    <t>QP093A-0048</t>
  </si>
  <si>
    <t>neutral_single_write[p=12,g=1]</t>
  </si>
  <si>
    <t>QP093A-0049</t>
  </si>
  <si>
    <t>plus_single_write[p=1,g=2]</t>
  </si>
  <si>
    <t>QP093A-0050</t>
  </si>
  <si>
    <t>minus_single_write[p=1,g=2]</t>
  </si>
  <si>
    <t>QP093A-0051</t>
  </si>
  <si>
    <t>neutral_single_write[p=1,g=2]</t>
  </si>
  <si>
    <t>QP093A-0052</t>
  </si>
  <si>
    <t>plus_single_write[p=2,g=2]</t>
  </si>
  <si>
    <t>QP093A-0053</t>
  </si>
  <si>
    <t>minus_single_write[p=2,g=2]</t>
  </si>
  <si>
    <t>QP093A-0054</t>
  </si>
  <si>
    <t>neutral_single_write[p=2,g=2]</t>
  </si>
  <si>
    <t>QP093A-0055</t>
  </si>
  <si>
    <t>plus_single_write[p=3,g=2]</t>
  </si>
  <si>
    <t>QP093A-0056</t>
  </si>
  <si>
    <t>minus_single_write[p=3,g=2]</t>
  </si>
  <si>
    <t>QP093A-0057</t>
  </si>
  <si>
    <t>neutral_single_write[p=3,g=2]</t>
  </si>
  <si>
    <t>QP093A-0058</t>
  </si>
  <si>
    <t>plus_single_write[p=4,g=2]</t>
  </si>
  <si>
    <t>QP093A-0059</t>
  </si>
  <si>
    <t>minus_single_write[p=4,g=2]</t>
  </si>
  <si>
    <t>QP093A-0060</t>
  </si>
  <si>
    <t>neutral_single_write[p=4,g=2]</t>
  </si>
  <si>
    <t>QP093A-0061</t>
  </si>
  <si>
    <t>plus_single_write[p=6,g=2]</t>
  </si>
  <si>
    <t>QP093A-0062</t>
  </si>
  <si>
    <t>minus_single_write[p=6,g=2]</t>
  </si>
  <si>
    <t>QP093A-0063</t>
  </si>
  <si>
    <t>neutral_single_write[p=6,g=2]</t>
  </si>
  <si>
    <t>QP093A-0064</t>
  </si>
  <si>
    <t>unstable_resonance_rows</t>
  </si>
  <si>
    <t>plus_single_write[p=8,g=2]</t>
  </si>
  <si>
    <t>QP093A-0065</t>
  </si>
  <si>
    <t>minus_single_write[p=8,g=2]</t>
  </si>
  <si>
    <t>QP093A-0066</t>
  </si>
  <si>
    <t>neutral_single_write[p=8,g=2]</t>
  </si>
  <si>
    <t>QP093A-0067</t>
  </si>
  <si>
    <t>plus_single_write[p=9,g=2]</t>
  </si>
  <si>
    <t>QP093A-0068</t>
  </si>
  <si>
    <t>minus_single_write[p=9,g=2]</t>
  </si>
  <si>
    <t>QP093A-0069</t>
  </si>
  <si>
    <t>neutral_single_write[p=9,g=2]</t>
  </si>
  <si>
    <t>QP093A-0070</t>
  </si>
  <si>
    <t>plus_single_write[p=12,g=2]</t>
  </si>
  <si>
    <t>QP093A-0071</t>
  </si>
  <si>
    <t>minus_single_write[p=12,g=2]</t>
  </si>
  <si>
    <t>QP093A-0072</t>
  </si>
  <si>
    <t>neutral_single_write[p=12,g=2]</t>
  </si>
  <si>
    <t>QP093A-0073</t>
  </si>
  <si>
    <t>antimatter_conjugate_rows</t>
  </si>
  <si>
    <t>anti(plus_single_write[p=1,g=0])</t>
  </si>
  <si>
    <t>conjugate_single_write</t>
  </si>
  <si>
    <t>conjugate_axis</t>
  </si>
  <si>
    <t>CLOSED_CONJUGATE_WRITE</t>
  </si>
  <si>
    <t>ANTIMATTER_STABLE_CONJUGATE</t>
  </si>
  <si>
    <t>negative_credit</t>
  </si>
  <si>
    <t>depth=0</t>
  </si>
  <si>
    <t>V4_1_SINGLE_WRITE|depth=0|q_abs=1</t>
  </si>
  <si>
    <t>ANTIMATTER_ROW_ALLOWED_AFTER_SURFACE_GATE</t>
  </si>
  <si>
    <t>QP093A-0074</t>
  </si>
  <si>
    <t>anti(minus_single_write[p=1,g=0])</t>
  </si>
  <si>
    <t>positive_debit</t>
  </si>
  <si>
    <t>QP093A-0075</t>
  </si>
  <si>
    <t>anti(plus_single_write[p=2,g=0])</t>
  </si>
  <si>
    <t>V4_1_SINGLE_WRITE|depth=0|q_abs=2</t>
  </si>
  <si>
    <t>QP093A-0076</t>
  </si>
  <si>
    <t>anti(minus_single_write[p=2,g=0])</t>
  </si>
  <si>
    <t>QP093A-0077</t>
  </si>
  <si>
    <t>anti(plus_single_write[p=3,g=0])</t>
  </si>
  <si>
    <t>V4_1_SINGLE_WRITE|depth=0|q_abs=3</t>
  </si>
  <si>
    <t>QP093A-0078</t>
  </si>
  <si>
    <t>anti(minus_single_write[p=3,g=0])</t>
  </si>
  <si>
    <t>QP093A-0079</t>
  </si>
  <si>
    <t>anti(plus_single_write[p=4,g=0])</t>
  </si>
  <si>
    <t>V4_1_SINGLE_WRITE|depth=0|q_abs=4</t>
  </si>
  <si>
    <t>QP093A-0080</t>
  </si>
  <si>
    <t>anti(minus_single_write[p=4,g=0])</t>
  </si>
  <si>
    <t>QP093A-0081</t>
  </si>
  <si>
    <t>anti(plus_single_write[p=6,g=0])</t>
  </si>
  <si>
    <t>V4_1_SINGLE_WRITE|depth=0|q_abs=6</t>
  </si>
  <si>
    <t>QP093A-0082</t>
  </si>
  <si>
    <t>anti(minus_single_write[p=6,g=0])</t>
  </si>
  <si>
    <t>QP093A-0083</t>
  </si>
  <si>
    <t>anti(plus_single_write[p=8,g=0])</t>
  </si>
  <si>
    <t>V4_1_SINGLE_WRITE|depth=0|q_abs=8</t>
  </si>
  <si>
    <t>QP093A-0084</t>
  </si>
  <si>
    <t>anti(minus_single_write[p=8,g=0])</t>
  </si>
  <si>
    <t>QP093A-0085</t>
  </si>
  <si>
    <t>anti(plus_single_write[p=9,g=0])</t>
  </si>
  <si>
    <t>V4_1_SINGLE_WRITE|depth=0|q_abs=9</t>
  </si>
  <si>
    <t>QP093A-0086</t>
  </si>
  <si>
    <t>anti(minus_single_write[p=9,g=0])</t>
  </si>
  <si>
    <t>QP093A-0087</t>
  </si>
  <si>
    <t>anti(plus_single_write[p=12,g=0])</t>
  </si>
  <si>
    <t>V4_1_SINGLE_WRITE|depth=0|q_abs=12</t>
  </si>
  <si>
    <t>QP093A-0088</t>
  </si>
  <si>
    <t>anti(minus_single_write[p=12,g=0])</t>
  </si>
  <si>
    <t>QP093A-0089</t>
  </si>
  <si>
    <t>anti(plus_single_write[p=1,g=1])</t>
  </si>
  <si>
    <t>depth=1</t>
  </si>
  <si>
    <t>V4_1_SINGLE_WRITE|depth=1|q_abs=1</t>
  </si>
  <si>
    <t>QP093A-0090</t>
  </si>
  <si>
    <t>anti(minus_single_write[p=1,g=1])</t>
  </si>
  <si>
    <t>QP093A-0091</t>
  </si>
  <si>
    <t>anti(plus_single_write[p=2,g=1])</t>
  </si>
  <si>
    <t>V4_1_SINGLE_WRITE|depth=1|q_abs=2</t>
  </si>
  <si>
    <t>QP093A-0092</t>
  </si>
  <si>
    <t>anti(minus_single_write[p=2,g=1])</t>
  </si>
  <si>
    <t>QP093A-0093</t>
  </si>
  <si>
    <t>anti(plus_single_write[p=3,g=1])</t>
  </si>
  <si>
    <t>V4_1_SINGLE_WRITE|depth=1|q_abs=3</t>
  </si>
  <si>
    <t>QP093A-0094</t>
  </si>
  <si>
    <t>anti(minus_single_write[p=3,g=1])</t>
  </si>
  <si>
    <t>QP093A-0095</t>
  </si>
  <si>
    <t>anti(plus_single_write[p=4,g=1])</t>
  </si>
  <si>
    <t>V4_1_SINGLE_WRITE|depth=1|q_abs=4</t>
  </si>
  <si>
    <t>QP093A-0096</t>
  </si>
  <si>
    <t>anti(minus_single_write[p=4,g=1])</t>
  </si>
  <si>
    <t>QP093A-0097</t>
  </si>
  <si>
    <t>anti(plus_single_write[p=6,g=1])</t>
  </si>
  <si>
    <t>V4_1_SINGLE_WRITE|depth=1|q_abs=6</t>
  </si>
  <si>
    <t>QP093A-0098</t>
  </si>
  <si>
    <t>anti(minus_single_write[p=6,g=1])</t>
  </si>
  <si>
    <t>QP093A-0099</t>
  </si>
  <si>
    <t>anti(plus_single_write[p=8,g=1])</t>
  </si>
  <si>
    <t>V4_1_SINGLE_WRITE|depth=1|q_abs=8</t>
  </si>
  <si>
    <t>QP093A-0100</t>
  </si>
  <si>
    <t>anti(minus_single_write[p=8,g=1])</t>
  </si>
  <si>
    <t>QP093A-0101</t>
  </si>
  <si>
    <t>anti(plus_single_write[p=9,g=1])</t>
  </si>
  <si>
    <t>V4_1_SINGLE_WRITE|depth=1|q_abs=9</t>
  </si>
  <si>
    <t>QP093A-0102</t>
  </si>
  <si>
    <t>anti(minus_single_write[p=9,g=1])</t>
  </si>
  <si>
    <t>QP093A-0103</t>
  </si>
  <si>
    <t>anti(plus_single_write[p=12,g=1])</t>
  </si>
  <si>
    <t>V4_1_SINGLE_WRITE|depth=1|q_abs=12</t>
  </si>
  <si>
    <t>QP093A-0104</t>
  </si>
  <si>
    <t>anti(minus_single_write[p=12,g=1])</t>
  </si>
  <si>
    <t>QP093A-0105</t>
  </si>
  <si>
    <t>anti(plus_single_write[p=1,g=2])</t>
  </si>
  <si>
    <t>depth=2</t>
  </si>
  <si>
    <t>V4_1_SINGLE_WRITE|depth=2|q_abs=1</t>
  </si>
  <si>
    <t>QP093A-0106</t>
  </si>
  <si>
    <t>anti(minus_single_write[p=1,g=2])</t>
  </si>
  <si>
    <t>QP093A-0107</t>
  </si>
  <si>
    <t>anti(plus_single_write[p=2,g=2])</t>
  </si>
  <si>
    <t>V4_1_SINGLE_WRITE|depth=2|q_abs=2</t>
  </si>
  <si>
    <t>QP093A-0108</t>
  </si>
  <si>
    <t>anti(minus_single_write[p=2,g=2])</t>
  </si>
  <si>
    <t>QP093A-0109</t>
  </si>
  <si>
    <t>anti(plus_single_write[p=3,g=2])</t>
  </si>
  <si>
    <t>V4_1_SINGLE_WRITE|depth=2|q_abs=3</t>
  </si>
  <si>
    <t>QP093A-0110</t>
  </si>
  <si>
    <t>anti(minus_single_write[p=3,g=2])</t>
  </si>
  <si>
    <t>QP093A-0111</t>
  </si>
  <si>
    <t>anti(plus_single_write[p=4,g=2])</t>
  </si>
  <si>
    <t>V4_1_SINGLE_WRITE|depth=2|q_abs=4</t>
  </si>
  <si>
    <t>QP093A-0112</t>
  </si>
  <si>
    <t>anti(minus_single_write[p=4,g=2])</t>
  </si>
  <si>
    <t>QP093A-0113</t>
  </si>
  <si>
    <t>anti(plus_single_write[p=6,g=2])</t>
  </si>
  <si>
    <t>V4_1_SINGLE_WRITE|depth=2|q_abs=6</t>
  </si>
  <si>
    <t>QP093A-0114</t>
  </si>
  <si>
    <t>anti(minus_single_write[p=6,g=2])</t>
  </si>
  <si>
    <t>QP093A-0115</t>
  </si>
  <si>
    <t>bound_composite_rows</t>
  </si>
  <si>
    <t>color_triad[1+1+1]</t>
  </si>
  <si>
    <t>GROUND_BARYON_3BODY</t>
  </si>
  <si>
    <t>three_owner_color_closure</t>
  </si>
  <si>
    <t>1+1+1</t>
  </si>
  <si>
    <t>triadic_charge_axis</t>
  </si>
  <si>
    <t>fermion_baryon_half_write</t>
  </si>
  <si>
    <t>color_owner_closed</t>
  </si>
  <si>
    <t>CLOSED_THREE_OWNER_WRITE</t>
  </si>
  <si>
    <t>BOUND_COLOR_CLOSED_STABLE_CANDIDATE</t>
  </si>
  <si>
    <t>GROUND_BARYON_3BODY|depth=0|q_abs=1</t>
  </si>
  <si>
    <t>BOUND_MATTER_ROW_ALLOWED</t>
  </si>
  <si>
    <t>QP093A-0116</t>
  </si>
  <si>
    <t>color_triad[1+1+2]</t>
  </si>
  <si>
    <t>OCTET_COMPOSITE</t>
  </si>
  <si>
    <t>1+1+2</t>
  </si>
  <si>
    <t>BOUND_COLOR_CLOSED_HEAVY_CANDIDATE</t>
  </si>
  <si>
    <t>depth=3</t>
  </si>
  <si>
    <t>OCTET_COMPOSITE|depth=3|q_abs=2</t>
  </si>
  <si>
    <t>QP093A-0117</t>
  </si>
  <si>
    <t>color_triad[1+1+3]</t>
  </si>
  <si>
    <t>1+1+3</t>
  </si>
  <si>
    <t>OCTET_COMPOSITE|depth=3|q_abs=0</t>
  </si>
  <si>
    <t>QP093A-0118</t>
  </si>
  <si>
    <t>color_triad[1+1+4]</t>
  </si>
  <si>
    <t>1+1+4</t>
  </si>
  <si>
    <t>QP093A-0119</t>
  </si>
  <si>
    <t>color_triad[1+1+6]</t>
  </si>
  <si>
    <t>1+1+6</t>
  </si>
  <si>
    <t>QP093A-0120</t>
  </si>
  <si>
    <t>color_triad[1+1+8]</t>
  </si>
  <si>
    <t>1+1+8</t>
  </si>
  <si>
    <t>QP093A-0121</t>
  </si>
  <si>
    <t>color_triad[1+1+9]</t>
  </si>
  <si>
    <t>1+1+9</t>
  </si>
  <si>
    <t>QP093A-0122</t>
  </si>
  <si>
    <t>color_triad[1+1+12]</t>
  </si>
  <si>
    <t>1+1+12</t>
  </si>
  <si>
    <t>QP093A-0123</t>
  </si>
  <si>
    <t>color_triad[1+2+2]</t>
  </si>
  <si>
    <t>1+2+2</t>
  </si>
  <si>
    <t>OCTET_COMPOSITE|depth=3|q_abs=1</t>
  </si>
  <si>
    <t>QP093A-0124</t>
  </si>
  <si>
    <t>color_triad[1+2+3]</t>
  </si>
  <si>
    <t>1+2+3</t>
  </si>
  <si>
    <t>QP093A-0125</t>
  </si>
  <si>
    <t>color_triad[1+2+4]</t>
  </si>
  <si>
    <t>1+2+4</t>
  </si>
  <si>
    <t>QP093A-0126</t>
  </si>
  <si>
    <t>color_triad[1+2+6]</t>
  </si>
  <si>
    <t>1+2+6</t>
  </si>
  <si>
    <t>QP093A-0127</t>
  </si>
  <si>
    <t>color_triad[1+2+8]</t>
  </si>
  <si>
    <t>1+2+8</t>
  </si>
  <si>
    <t>QP093A-0128</t>
  </si>
  <si>
    <t>color_triad[1+2+9]</t>
  </si>
  <si>
    <t>1+2+9</t>
  </si>
  <si>
    <t>QP093A-0129</t>
  </si>
  <si>
    <t>color_triad[1+2+12]</t>
  </si>
  <si>
    <t>1+2+12</t>
  </si>
  <si>
    <t>QP093A-0130</t>
  </si>
  <si>
    <t>color_triad[1+3+3]</t>
  </si>
  <si>
    <t>1+3+3</t>
  </si>
  <si>
    <t>QP093A-0131</t>
  </si>
  <si>
    <t>color_triad[1+3+4]</t>
  </si>
  <si>
    <t>1+3+4</t>
  </si>
  <si>
    <t>QP093A-0132</t>
  </si>
  <si>
    <t>color_triad[1+3+6]</t>
  </si>
  <si>
    <t>1+3+6</t>
  </si>
  <si>
    <t>QP093A-0133</t>
  </si>
  <si>
    <t>color_triad[1+3+8]</t>
  </si>
  <si>
    <t>1+3+8</t>
  </si>
  <si>
    <t>REJECT_NEGATIVE_OBSERVED_SURFACE</t>
  </si>
  <si>
    <t>REJECTED_FAKE_CLOSURE</t>
  </si>
  <si>
    <t>GROUND_BARYON_3BODY|depth=0|q_abs=0</t>
  </si>
  <si>
    <t>REJECTED_NEGATIVE_SURFACE</t>
  </si>
  <si>
    <t>QP093A-0134</t>
  </si>
  <si>
    <t>color_triad[1+3+9]</t>
  </si>
  <si>
    <t>1+3+9</t>
  </si>
  <si>
    <t>QP093A-0135</t>
  </si>
  <si>
    <t>color_triad[1+3+12]</t>
  </si>
  <si>
    <t>1+3+12</t>
  </si>
  <si>
    <t>QP093A-0136</t>
  </si>
  <si>
    <t>color_triad[1+4+4]</t>
  </si>
  <si>
    <t>1+4+4</t>
  </si>
  <si>
    <t>GROUND_BARYON_3BODY|depth=0|q_abs=2</t>
  </si>
  <si>
    <t>QP093A-0137</t>
  </si>
  <si>
    <t>color_triad[1+4+6]</t>
  </si>
  <si>
    <t>1+4+6</t>
  </si>
  <si>
    <t>OCTET_COMPOSITE|depth=3|q_abs=3</t>
  </si>
  <si>
    <t>QP093A-0138</t>
  </si>
  <si>
    <t>color_triad[1+4+8]</t>
  </si>
  <si>
    <t>1+4+8</t>
  </si>
  <si>
    <t>QP093A-0139</t>
  </si>
  <si>
    <t>color_triad[1+4+9]</t>
  </si>
  <si>
    <t>1+4+9</t>
  </si>
  <si>
    <t>QP093A-0140</t>
  </si>
  <si>
    <t>color_triad[1+4+12]</t>
  </si>
  <si>
    <t>1+4+12</t>
  </si>
  <si>
    <t>QP093A-0141</t>
  </si>
  <si>
    <t>color_triad[1+6+6]</t>
  </si>
  <si>
    <t>1+6+6</t>
  </si>
  <si>
    <t>OCTET_COMPOSITE|depth=3|q_abs=5</t>
  </si>
  <si>
    <t>QP093A-0142</t>
  </si>
  <si>
    <t>color_triad[1+6+8]</t>
  </si>
  <si>
    <t>1+6+8</t>
  </si>
  <si>
    <t>GROUND_BARYON_3BODY|depth=0|q_abs=3</t>
  </si>
  <si>
    <t>QP093A-0143</t>
  </si>
  <si>
    <t>color_triad[1+6+9]</t>
  </si>
  <si>
    <t>1+6+9</t>
  </si>
  <si>
    <t>QP093A-0144</t>
  </si>
  <si>
    <t>color_triad[1+6+12]</t>
  </si>
  <si>
    <t>1+6+12</t>
  </si>
  <si>
    <t>QP093A-0145</t>
  </si>
  <si>
    <t>color_triad[1+8+8]</t>
  </si>
  <si>
    <t>1+8+8</t>
  </si>
  <si>
    <t>QP093A-0146</t>
  </si>
  <si>
    <t>color_triad[1+8+9]</t>
  </si>
  <si>
    <t>1+8+9</t>
  </si>
  <si>
    <t>GROUND_BARYON_3BODY|depth=0|q_abs=7</t>
  </si>
  <si>
    <t>QP093A-0147</t>
  </si>
  <si>
    <t>color_triad[1+8+12]</t>
  </si>
  <si>
    <t>1+8+12</t>
  </si>
  <si>
    <t>QP093A-0148</t>
  </si>
  <si>
    <t>color_triad[1+9+9]</t>
  </si>
  <si>
    <t>1+9+9</t>
  </si>
  <si>
    <t>OCTET_COMPOSITE|depth=3|q_abs=8</t>
  </si>
  <si>
    <t>QP093A-0149</t>
  </si>
  <si>
    <t>color_triad[1+9+12]</t>
  </si>
  <si>
    <t>1+9+12</t>
  </si>
  <si>
    <t>QP093A-0150</t>
  </si>
  <si>
    <t>color_triad[1+12+12]</t>
  </si>
  <si>
    <t>1+12+12</t>
  </si>
  <si>
    <t>OCTET_COMPOSITE|depth=3|q_abs=11</t>
  </si>
  <si>
    <t>QP093A-0151</t>
  </si>
  <si>
    <t>color_triad[2+2+2]</t>
  </si>
  <si>
    <t>2+2+2</t>
  </si>
  <si>
    <t>QP093A-0152</t>
  </si>
  <si>
    <t>color_triad[2+2+3]</t>
  </si>
  <si>
    <t>2+2+3</t>
  </si>
  <si>
    <t>QP093A-0153</t>
  </si>
  <si>
    <t>color_triad[2+2+4]</t>
  </si>
  <si>
    <t>2+2+4</t>
  </si>
  <si>
    <t>QP093A-0154</t>
  </si>
  <si>
    <t>color_triad[2+2+6]</t>
  </si>
  <si>
    <t>2+2+6</t>
  </si>
  <si>
    <t>QP093A-0155</t>
  </si>
  <si>
    <t>color_triad[2+2+8]</t>
  </si>
  <si>
    <t>2+2+8</t>
  </si>
  <si>
    <t>QP093A-0156</t>
  </si>
  <si>
    <t>color_triad[2+2+9]</t>
  </si>
  <si>
    <t>2+2+9</t>
  </si>
  <si>
    <t>QP093A-0157</t>
  </si>
  <si>
    <t>color_triad[2+2+12]</t>
  </si>
  <si>
    <t>2+2+12</t>
  </si>
  <si>
    <t>QP093A-0158</t>
  </si>
  <si>
    <t>color_triad[2+3+3]</t>
  </si>
  <si>
    <t>2+3+3</t>
  </si>
  <si>
    <t>QP093A-0159</t>
  </si>
  <si>
    <t>color_triad[2+3+4]</t>
  </si>
  <si>
    <t>2+3+4</t>
  </si>
  <si>
    <t>QP093A-0160</t>
  </si>
  <si>
    <t>color_triad[2+3+6]</t>
  </si>
  <si>
    <t>2+3+6</t>
  </si>
  <si>
    <t>QP093A-0161</t>
  </si>
  <si>
    <t>color_triad[2+3+8]</t>
  </si>
  <si>
    <t>2+3+8</t>
  </si>
  <si>
    <t>QP093A-0162</t>
  </si>
  <si>
    <t>color_triad[2+3+9]</t>
  </si>
  <si>
    <t>2+3+9</t>
  </si>
  <si>
    <t>QP093A-0163</t>
  </si>
  <si>
    <t>color_triad[2+3+12]</t>
  </si>
  <si>
    <t>2+3+12</t>
  </si>
  <si>
    <t>QP093A-0164</t>
  </si>
  <si>
    <t>color_triad[2+4+4]</t>
  </si>
  <si>
    <t>2+4+4</t>
  </si>
  <si>
    <t>QP093A-0165</t>
  </si>
  <si>
    <t>color_triad[2+4+6]</t>
  </si>
  <si>
    <t>2+4+6</t>
  </si>
  <si>
    <t>QP093A-0166</t>
  </si>
  <si>
    <t>color_triad[2+4+8]</t>
  </si>
  <si>
    <t>2+4+8</t>
  </si>
  <si>
    <t>QP093A-0167</t>
  </si>
  <si>
    <t>color_triad[2+4+9]</t>
  </si>
  <si>
    <t>2+4+9</t>
  </si>
  <si>
    <t>QP093A-0168</t>
  </si>
  <si>
    <t>color_triad[2+4+12]</t>
  </si>
  <si>
    <t>2+4+12</t>
  </si>
  <si>
    <t>QP093A-0169</t>
  </si>
  <si>
    <t>color_triad[2+6+6]</t>
  </si>
  <si>
    <t>2+6+6</t>
  </si>
  <si>
    <t>OCTET_COMPOSITE|depth=3|q_abs=4</t>
  </si>
  <si>
    <t>QP093A-0170</t>
  </si>
  <si>
    <t>color_triad[2+6+8]</t>
  </si>
  <si>
    <t>2+6+8</t>
  </si>
  <si>
    <t>QP093A-0171</t>
  </si>
  <si>
    <t>color_triad[2+6+9]</t>
  </si>
  <si>
    <t>2+6+9</t>
  </si>
  <si>
    <t>QP093A-0172</t>
  </si>
  <si>
    <t>color_triad[2+6+12]</t>
  </si>
  <si>
    <t>2+6+12</t>
  </si>
  <si>
    <t>QP093A-0173</t>
  </si>
  <si>
    <t>color_triad[2+8+8]</t>
  </si>
  <si>
    <t>2+8+8</t>
  </si>
  <si>
    <t>GROUND_BARYON_3BODY|depth=0|q_abs=4</t>
  </si>
  <si>
    <t>QP093A-0174</t>
  </si>
  <si>
    <t>color_triad[2+8+9]</t>
  </si>
  <si>
    <t>2+8+9</t>
  </si>
  <si>
    <t>OCTET_COMPOSITE|depth=3|q_abs=6</t>
  </si>
  <si>
    <t>QP093A-0175</t>
  </si>
  <si>
    <t>color_triad[2+8+12]</t>
  </si>
  <si>
    <t>2+8+12</t>
  </si>
  <si>
    <t>QP093A-0176</t>
  </si>
  <si>
    <t>color_triad[2+9+9]</t>
  </si>
  <si>
    <t>2+9+9</t>
  </si>
  <si>
    <t>OCTET_COMPOSITE|depth=3|q_abs=7</t>
  </si>
  <si>
    <t>QP093A-0177</t>
  </si>
  <si>
    <t>color_triad[2+9+12]</t>
  </si>
  <si>
    <t>2+9+12</t>
  </si>
  <si>
    <t>QP093A-0178</t>
  </si>
  <si>
    <t>color_triad[2+12+12]</t>
  </si>
  <si>
    <t>2+12+12</t>
  </si>
  <si>
    <t>OCTET_COMPOSITE|depth=3|q_abs=10</t>
  </si>
  <si>
    <t>QP093A-0179</t>
  </si>
  <si>
    <t>color_triad[3+3+3]</t>
  </si>
  <si>
    <t>3+3+3</t>
  </si>
  <si>
    <t>QP093A-0180</t>
  </si>
  <si>
    <t>color_triad[3+3+4]</t>
  </si>
  <si>
    <t>3+3+4</t>
  </si>
  <si>
    <t>QP093A-0181</t>
  </si>
  <si>
    <t>color_triad[3+3+6]</t>
  </si>
  <si>
    <t>3+3+6</t>
  </si>
  <si>
    <t>QP093A-0182</t>
  </si>
  <si>
    <t>color_triad[3+3+8]</t>
  </si>
  <si>
    <t>3+3+8</t>
  </si>
  <si>
    <t>QP093A-0183</t>
  </si>
  <si>
    <t>color_triad[3+3+9]</t>
  </si>
  <si>
    <t>3+3+9</t>
  </si>
  <si>
    <t>QP093A-0184</t>
  </si>
  <si>
    <t>color_triad[3+3+12]</t>
  </si>
  <si>
    <t>3+3+12</t>
  </si>
  <si>
    <t>QP093A-0185</t>
  </si>
  <si>
    <t>color_triad[3+4+4]</t>
  </si>
  <si>
    <t>3+4+4</t>
  </si>
  <si>
    <t>QP093A-0186</t>
  </si>
  <si>
    <t>color_triad[3+4+6]</t>
  </si>
  <si>
    <t>3+4+6</t>
  </si>
  <si>
    <t>QP093A-0187</t>
  </si>
  <si>
    <t>color_triad[3+4+8]</t>
  </si>
  <si>
    <t>3+4+8</t>
  </si>
  <si>
    <t>QP093A-0188</t>
  </si>
  <si>
    <t>color_triad[3+4+9]</t>
  </si>
  <si>
    <t>3+4+9</t>
  </si>
  <si>
    <t>QP093A-0189</t>
  </si>
  <si>
    <t>color_triad[3+4+12]</t>
  </si>
  <si>
    <t>3+4+12</t>
  </si>
  <si>
    <t>QP093A-0190</t>
  </si>
  <si>
    <t>color_triad[3+6+6]</t>
  </si>
  <si>
    <t>3+6+6</t>
  </si>
  <si>
    <t>QP093A-0191</t>
  </si>
  <si>
    <t>color_triad[3+6+8]</t>
  </si>
  <si>
    <t>3+6+8</t>
  </si>
  <si>
    <t>QP093A-0192</t>
  </si>
  <si>
    <t>color_triad[3+6+9]</t>
  </si>
  <si>
    <t>3+6+9</t>
  </si>
  <si>
    <t>QP093A-0193</t>
  </si>
  <si>
    <t>color_triad[3+6+12]</t>
  </si>
  <si>
    <t>3+6+12</t>
  </si>
  <si>
    <t>QP093A-0194</t>
  </si>
  <si>
    <t>color_triad[3+8+8]</t>
  </si>
  <si>
    <t>3+8+8</t>
  </si>
  <si>
    <t>QP093A-0195</t>
  </si>
  <si>
    <t>color_triad[3+8+9]</t>
  </si>
  <si>
    <t>3+8+9</t>
  </si>
  <si>
    <t>QP093A-0196</t>
  </si>
  <si>
    <t>color_triad[3+8+12]</t>
  </si>
  <si>
    <t>3+8+12</t>
  </si>
  <si>
    <t>QP093A-0197</t>
  </si>
  <si>
    <t>color_triad[3+9+9]</t>
  </si>
  <si>
    <t>3+9+9</t>
  </si>
  <si>
    <t>GROUND_BARYON_3BODY|depth=0|q_abs=6</t>
  </si>
  <si>
    <t>QP093A-0198</t>
  </si>
  <si>
    <t>color_triad[3+9+12]</t>
  </si>
  <si>
    <t>3+9+12</t>
  </si>
  <si>
    <t>QP093A-0199</t>
  </si>
  <si>
    <t>color_triad[3+12+12]</t>
  </si>
  <si>
    <t>3+12+12</t>
  </si>
  <si>
    <t>GROUND_BARYON_3BODY|depth=0|q_abs=9</t>
  </si>
  <si>
    <t>QP093A-0200</t>
  </si>
  <si>
    <t>color_triad[4+4+4]</t>
  </si>
  <si>
    <t>4+4+4</t>
  </si>
  <si>
    <t>QP093A-0201</t>
  </si>
  <si>
    <t>color_triad[4+4+6]</t>
  </si>
  <si>
    <t>4+4+6</t>
  </si>
  <si>
    <t>QP093A-0202</t>
  </si>
  <si>
    <t>color_triad[4+4+8]</t>
  </si>
  <si>
    <t>4+4+8</t>
  </si>
  <si>
    <t>QP093A-0203</t>
  </si>
  <si>
    <t>color_triad[4+4+9]</t>
  </si>
  <si>
    <t>4+4+9</t>
  </si>
  <si>
    <t>QP093A-0204</t>
  </si>
  <si>
    <t>color_triad[4+4+12]</t>
  </si>
  <si>
    <t>4+4+12</t>
  </si>
  <si>
    <t>QP093A-0205</t>
  </si>
  <si>
    <t>color_triad[4+6+6]</t>
  </si>
  <si>
    <t>4+6+6</t>
  </si>
  <si>
    <t>QP093A-0206</t>
  </si>
  <si>
    <t>color_triad[4+6+8]</t>
  </si>
  <si>
    <t>4+6+8</t>
  </si>
  <si>
    <t>QP093A-0207</t>
  </si>
  <si>
    <t>color_triad[4+6+9]</t>
  </si>
  <si>
    <t>4+6+9</t>
  </si>
  <si>
    <t>QP093A-0208</t>
  </si>
  <si>
    <t>color_triad[4+6+12]</t>
  </si>
  <si>
    <t>4+6+12</t>
  </si>
  <si>
    <t>QP093A-0209</t>
  </si>
  <si>
    <t>color_triad[4+8+8]</t>
  </si>
  <si>
    <t>4+8+8</t>
  </si>
  <si>
    <t>QP093A-0210</t>
  </si>
  <si>
    <t>color_triad[4+8+9]</t>
  </si>
  <si>
    <t>4+8+9</t>
  </si>
  <si>
    <t>QP093A-0211</t>
  </si>
  <si>
    <t>color_triad[4+8+12]</t>
  </si>
  <si>
    <t>4+8+12</t>
  </si>
  <si>
    <t>QP093A-0212</t>
  </si>
  <si>
    <t>color_triad[4+9+9]</t>
  </si>
  <si>
    <t>4+9+9</t>
  </si>
  <si>
    <t>QP093A-0213</t>
  </si>
  <si>
    <t>color_triad[4+9+12]</t>
  </si>
  <si>
    <t>4+9+12</t>
  </si>
  <si>
    <t>QP093A-0214</t>
  </si>
  <si>
    <t>color_triad[4+12+12]</t>
  </si>
  <si>
    <t>4+12+12</t>
  </si>
  <si>
    <t>QP093A-0215</t>
  </si>
  <si>
    <t>color_triad[6+6+6]</t>
  </si>
  <si>
    <t>6+6+6</t>
  </si>
  <si>
    <t>QP093A-0216</t>
  </si>
  <si>
    <t>color_triad[6+6+8]</t>
  </si>
  <si>
    <t>6+6+8</t>
  </si>
  <si>
    <t>QP093A-0217</t>
  </si>
  <si>
    <t>color_triad[6+6+9]</t>
  </si>
  <si>
    <t>6+6+9</t>
  </si>
  <si>
    <t>QP093A-0218</t>
  </si>
  <si>
    <t>color_triad[6+6+12]</t>
  </si>
  <si>
    <t>6+6+12</t>
  </si>
  <si>
    <t>QP093A-0219</t>
  </si>
  <si>
    <t>color_triad[6+8+8]</t>
  </si>
  <si>
    <t>6+8+8</t>
  </si>
  <si>
    <t>QP093A-0220</t>
  </si>
  <si>
    <t>color_triad[6+8+9]</t>
  </si>
  <si>
    <t>6+8+9</t>
  </si>
  <si>
    <t>QP093A-0221</t>
  </si>
  <si>
    <t>color_triad[6+8+12]</t>
  </si>
  <si>
    <t>6+8+12</t>
  </si>
  <si>
    <t>QP093A-0222</t>
  </si>
  <si>
    <t>color_triad[6+9+9]</t>
  </si>
  <si>
    <t>6+9+9</t>
  </si>
  <si>
    <t>QP093A-0223</t>
  </si>
  <si>
    <t>color_triad[6+9+12]</t>
  </si>
  <si>
    <t>6+9+12</t>
  </si>
  <si>
    <t>QP093A-0224</t>
  </si>
  <si>
    <t>color_triad[6+12+12]</t>
  </si>
  <si>
    <t>6+12+12</t>
  </si>
  <si>
    <t>QP093A-0225</t>
  </si>
  <si>
    <t>color_triad[8+8+8]</t>
  </si>
  <si>
    <t>8+8+8</t>
  </si>
  <si>
    <t>QP093A-0226</t>
  </si>
  <si>
    <t>color_triad[8+8+9]</t>
  </si>
  <si>
    <t>8+8+9</t>
  </si>
  <si>
    <t>QP093A-0227</t>
  </si>
  <si>
    <t>color_triad[8+8+12]</t>
  </si>
  <si>
    <t>8+8+12</t>
  </si>
  <si>
    <t>QP093A-0228</t>
  </si>
  <si>
    <t>color_triad[8+9+9]</t>
  </si>
  <si>
    <t>8+9+9</t>
  </si>
  <si>
    <t>QP093A-0229</t>
  </si>
  <si>
    <t>color_triad[8+9+12]</t>
  </si>
  <si>
    <t>8+9+12</t>
  </si>
  <si>
    <t>QP093A-0230</t>
  </si>
  <si>
    <t>color_triad[8+12+12]</t>
  </si>
  <si>
    <t>8+12+12</t>
  </si>
  <si>
    <t>QP093A-0231</t>
  </si>
  <si>
    <t>color_triad[9+9+9]</t>
  </si>
  <si>
    <t>9+9+9</t>
  </si>
  <si>
    <t>QP093A-0232</t>
  </si>
  <si>
    <t>color_triad[9+9+12]</t>
  </si>
  <si>
    <t>9+9+12</t>
  </si>
  <si>
    <t>QP093A-0233</t>
  </si>
  <si>
    <t>color_triad[9+12+12]</t>
  </si>
  <si>
    <t>9+12+12</t>
  </si>
  <si>
    <t>QP093A-0234</t>
  </si>
  <si>
    <t>color_triad[12+12+12]</t>
  </si>
  <si>
    <t>12+12+12</t>
  </si>
  <si>
    <t>QP093A-0235</t>
  </si>
  <si>
    <t>pair_write[1|anti1]</t>
  </si>
  <si>
    <t>BOUND_COLOR_PAIR</t>
  </si>
  <si>
    <t>two_owner_pair_closure</t>
  </si>
  <si>
    <t>1+1</t>
  </si>
  <si>
    <t>pair_charge_axis</t>
  </si>
  <si>
    <t>boson_integer_write</t>
  </si>
  <si>
    <t>owner_pair_closed</t>
  </si>
  <si>
    <t>CLOSED_PAIR_WRITE</t>
  </si>
  <si>
    <t>BOUND_PAIR_NEUTRAL_CANDIDATE</t>
  </si>
  <si>
    <t>BOUND_COLOR_PAIR|depth=1|q_abs=0</t>
  </si>
  <si>
    <t>BOUND_COMPOSITE_ROW_ALLOWED</t>
  </si>
  <si>
    <t>QP093A-0236</t>
  </si>
  <si>
    <t>pair_write[1|anti2]</t>
  </si>
  <si>
    <t>1+2</t>
  </si>
  <si>
    <t>BOUND_PAIR_CHARGED_CANDIDATE</t>
  </si>
  <si>
    <t>BOUND_COLOR_PAIR|depth=3|q_abs=1</t>
  </si>
  <si>
    <t>QP093A-0237</t>
  </si>
  <si>
    <t>pair_write[1|anti3]</t>
  </si>
  <si>
    <t>1+3</t>
  </si>
  <si>
    <t>BOUND_COLOR_PAIR|depth=3|q_abs=2</t>
  </si>
  <si>
    <t>QP093A-0238</t>
  </si>
  <si>
    <t>pair_write[1|anti4]</t>
  </si>
  <si>
    <t>1+4</t>
  </si>
  <si>
    <t>BOUND_COLOR_PAIR|depth=3|q_abs=3</t>
  </si>
  <si>
    <t>QP093A-0239</t>
  </si>
  <si>
    <t>pair_write[1|anti6]</t>
  </si>
  <si>
    <t>1+6</t>
  </si>
  <si>
    <t>BOUND_COLOR_PAIR|depth=3|q_abs=5</t>
  </si>
  <si>
    <t>QP093A-0240</t>
  </si>
  <si>
    <t>pair_write[1|anti8]</t>
  </si>
  <si>
    <t>1+8</t>
  </si>
  <si>
    <t>BOUND_COLOR_PAIR|depth=3|q_abs=7</t>
  </si>
  <si>
    <t>QP093A-0241</t>
  </si>
  <si>
    <t>pair_write[1|anti9]</t>
  </si>
  <si>
    <t>1+9</t>
  </si>
  <si>
    <t>QP093A-0242</t>
  </si>
  <si>
    <t>pair_write[1|anti12]</t>
  </si>
  <si>
    <t>1+12</t>
  </si>
  <si>
    <t>UNSTABLE_PAIR_HEAVY_CANDIDATE</t>
  </si>
  <si>
    <t>QP093A-0243</t>
  </si>
  <si>
    <t>pair_write[2|anti1]</t>
  </si>
  <si>
    <t>2+1</t>
  </si>
  <si>
    <t>QP093A-0244</t>
  </si>
  <si>
    <t>pair_write[2|anti2]</t>
  </si>
  <si>
    <t>2+2</t>
  </si>
  <si>
    <t>QP093A-0245</t>
  </si>
  <si>
    <t>pair_write[2|anti3]</t>
  </si>
  <si>
    <t>2+3</t>
  </si>
  <si>
    <t>QP093A-0246</t>
  </si>
  <si>
    <t>pair_write[2|anti4]</t>
  </si>
  <si>
    <t>2+4</t>
  </si>
  <si>
    <t>QP093A-0247</t>
  </si>
  <si>
    <t>pair_write[2|anti6]</t>
  </si>
  <si>
    <t>2+6</t>
  </si>
  <si>
    <t>BOUND_COLOR_PAIR|depth=3|q_abs=4</t>
  </si>
  <si>
    <t>QP093A-0248</t>
  </si>
  <si>
    <t>pair_write[2|anti8]</t>
  </si>
  <si>
    <t>2+8</t>
  </si>
  <si>
    <t>BOUND_COLOR_PAIR|depth=3|q_abs=6</t>
  </si>
  <si>
    <t>QP093A-0249</t>
  </si>
  <si>
    <t>pair_write[2|anti9]</t>
  </si>
  <si>
    <t>2+9</t>
  </si>
  <si>
    <t>QP093A-0250</t>
  </si>
  <si>
    <t>pair_write[2|anti12]</t>
  </si>
  <si>
    <t>2+12</t>
  </si>
  <si>
    <t>QP093A-0251</t>
  </si>
  <si>
    <t>pair_write[3|anti1]</t>
  </si>
  <si>
    <t>3+1</t>
  </si>
  <si>
    <t>QP093A-0252</t>
  </si>
  <si>
    <t>pair_write[3|anti2]</t>
  </si>
  <si>
    <t>3+2</t>
  </si>
  <si>
    <t>QP093A-0253</t>
  </si>
  <si>
    <t>pair_write[3|anti3]</t>
  </si>
  <si>
    <t>3+3</t>
  </si>
  <si>
    <t>QP093A-0254</t>
  </si>
  <si>
    <t>pair_write[3|anti4]</t>
  </si>
  <si>
    <t>3+4</t>
  </si>
  <si>
    <t>QP093A-0255</t>
  </si>
  <si>
    <t>pair_write[3|anti6]</t>
  </si>
  <si>
    <t>3+6</t>
  </si>
  <si>
    <t>QP093A-0256</t>
  </si>
  <si>
    <t>pair_write[3|anti8]</t>
  </si>
  <si>
    <t>3+8</t>
  </si>
  <si>
    <t>QP093A-0257</t>
  </si>
  <si>
    <t>pair_write[3|anti9]</t>
  </si>
  <si>
    <t>3+9</t>
  </si>
  <si>
    <t>QP093A-0258</t>
  </si>
  <si>
    <t>pair_write[3|anti12]</t>
  </si>
  <si>
    <t>3+12</t>
  </si>
  <si>
    <t>OCTET_COMPOSITE|depth=3|q_abs=9</t>
  </si>
  <si>
    <t>QP093A-0259</t>
  </si>
  <si>
    <t>pair_write[4|anti1]</t>
  </si>
  <si>
    <t>4+1</t>
  </si>
  <si>
    <t>QP093A-0260</t>
  </si>
  <si>
    <t>pair_write[4|anti2]</t>
  </si>
  <si>
    <t>4+2</t>
  </si>
  <si>
    <t>QP093A-0261</t>
  </si>
  <si>
    <t>pair_write[4|anti3]</t>
  </si>
  <si>
    <t>4+3</t>
  </si>
  <si>
    <t>QP093A-0262</t>
  </si>
  <si>
    <t>pair_write[4|anti4]</t>
  </si>
  <si>
    <t>4+4</t>
  </si>
  <si>
    <t>QP093A-0263</t>
  </si>
  <si>
    <t>pair_write[4|anti6]</t>
  </si>
  <si>
    <t>4+6</t>
  </si>
  <si>
    <t>QP093A-0264</t>
  </si>
  <si>
    <t>pair_write[4|anti8]</t>
  </si>
  <si>
    <t>4+8</t>
  </si>
  <si>
    <t>QP093A-0265</t>
  </si>
  <si>
    <t>pair_write[4|anti9]</t>
  </si>
  <si>
    <t>4+9</t>
  </si>
  <si>
    <t>QP093A-0266</t>
  </si>
  <si>
    <t>pair_write[4|anti12]</t>
  </si>
  <si>
    <t>4+12</t>
  </si>
  <si>
    <t>QP093A-0267</t>
  </si>
  <si>
    <t>pair_write[6|anti1]</t>
  </si>
  <si>
    <t>6+1</t>
  </si>
  <si>
    <t>QP093A-0268</t>
  </si>
  <si>
    <t>pair_write[6|anti2]</t>
  </si>
  <si>
    <t>6+2</t>
  </si>
  <si>
    <t>QP093A-0269</t>
  </si>
  <si>
    <t>pair_write[6|anti3]</t>
  </si>
  <si>
    <t>6+3</t>
  </si>
  <si>
    <t>QP093A-0270</t>
  </si>
  <si>
    <t>pair_write[6|anti4]</t>
  </si>
  <si>
    <t>6+4</t>
  </si>
  <si>
    <t>QP093A-0271</t>
  </si>
  <si>
    <t>pair_write[6|anti6]</t>
  </si>
  <si>
    <t>6+6</t>
  </si>
  <si>
    <t>QP093A-0272</t>
  </si>
  <si>
    <t>pair_write[6|anti8]</t>
  </si>
  <si>
    <t>6+8</t>
  </si>
  <si>
    <t>QP093A-0273</t>
  </si>
  <si>
    <t>pair_write[6|anti9]</t>
  </si>
  <si>
    <t>6+9</t>
  </si>
  <si>
    <t>QP093A-0274</t>
  </si>
  <si>
    <t>pair_write[6|anti12]</t>
  </si>
  <si>
    <t>6+12</t>
  </si>
  <si>
    <t>QP093A-0275</t>
  </si>
  <si>
    <t>pair_write[8|anti1]</t>
  </si>
  <si>
    <t>8+1</t>
  </si>
  <si>
    <t>QP093A-0276</t>
  </si>
  <si>
    <t>pair_write[8|anti2]</t>
  </si>
  <si>
    <t>8+2</t>
  </si>
  <si>
    <t>QP093A-0277</t>
  </si>
  <si>
    <t>pair_write[8|anti3]</t>
  </si>
  <si>
    <t>8+3</t>
  </si>
  <si>
    <t>QP093A-0278</t>
  </si>
  <si>
    <t>pair_write[8|anti4]</t>
  </si>
  <si>
    <t>8+4</t>
  </si>
  <si>
    <t>QP093A-0279</t>
  </si>
  <si>
    <t>pair_write[8|anti6]</t>
  </si>
  <si>
    <t>8+6</t>
  </si>
  <si>
    <t>QP093A-0280</t>
  </si>
  <si>
    <t>pair_write[8|anti8]</t>
  </si>
  <si>
    <t>8+8</t>
  </si>
  <si>
    <t>QP093A-0281</t>
  </si>
  <si>
    <t>pair_write[8|anti9]</t>
  </si>
  <si>
    <t>8+9</t>
  </si>
  <si>
    <t>QP093A-0282</t>
  </si>
  <si>
    <t>pair_write[8|anti12]</t>
  </si>
  <si>
    <t>8+12</t>
  </si>
  <si>
    <t>QP093A-0283</t>
  </si>
  <si>
    <t>pair_write[9|anti1]</t>
  </si>
  <si>
    <t>9+1</t>
  </si>
  <si>
    <t>QP093A-0284</t>
  </si>
  <si>
    <t>pair_write[9|anti2]</t>
  </si>
  <si>
    <t>9+2</t>
  </si>
  <si>
    <t>QP093A-0285</t>
  </si>
  <si>
    <t>pair_write[9|anti3]</t>
  </si>
  <si>
    <t>9+3</t>
  </si>
  <si>
    <t>QP093A-0286</t>
  </si>
  <si>
    <t>pair_write[9|anti4]</t>
  </si>
  <si>
    <t>9+4</t>
  </si>
  <si>
    <t>QP093A-0287</t>
  </si>
  <si>
    <t>pair_write[9|anti6]</t>
  </si>
  <si>
    <t>9+6</t>
  </si>
  <si>
    <t>QP093A-0288</t>
  </si>
  <si>
    <t>pair_write[9|anti8]</t>
  </si>
  <si>
    <t>9+8</t>
  </si>
  <si>
    <t>QP093A-0289</t>
  </si>
  <si>
    <t>pair_write[9|anti9]</t>
  </si>
  <si>
    <t>9+9</t>
  </si>
  <si>
    <t>OCTET_COMPOSITE|depth=1|q_abs=0</t>
  </si>
  <si>
    <t>QP093A-0290</t>
  </si>
  <si>
    <t>pair_write[9|anti12]</t>
  </si>
  <si>
    <t>9+12</t>
  </si>
  <si>
    <t>QP093A-0291</t>
  </si>
  <si>
    <t>pair_write[12|anti1]</t>
  </si>
  <si>
    <t>12+1</t>
  </si>
  <si>
    <t>QP093A-0292</t>
  </si>
  <si>
    <t>pair_write[12|anti2]</t>
  </si>
  <si>
    <t>12+2</t>
  </si>
  <si>
    <t>QP093A-0293</t>
  </si>
  <si>
    <t>pair_write[12|anti3]</t>
  </si>
  <si>
    <t>12+3</t>
  </si>
  <si>
    <t>QP093A-0294</t>
  </si>
  <si>
    <t>pair_write[12|anti4]</t>
  </si>
  <si>
    <t>12+4</t>
  </si>
  <si>
    <t>QP093A-0295</t>
  </si>
  <si>
    <t>pair_write[12|anti6]</t>
  </si>
  <si>
    <t>12+6</t>
  </si>
  <si>
    <t>QP093A-0296</t>
  </si>
  <si>
    <t>pair_write[12|anti8]</t>
  </si>
  <si>
    <t>12+8</t>
  </si>
  <si>
    <t>QP093A-0297</t>
  </si>
  <si>
    <t>pair_write[12|anti9]</t>
  </si>
  <si>
    <t>12+9</t>
  </si>
  <si>
    <t>QP093A-0298</t>
  </si>
  <si>
    <t>pair_write[12|anti12]</t>
  </si>
  <si>
    <t>12+12</t>
  </si>
  <si>
    <t>QP093A-0299</t>
  </si>
  <si>
    <t>closed_scalar_loop[R2_retention_7_over_8]</t>
  </si>
  <si>
    <t>CLOSED_SCALAR_LOOP</t>
  </si>
  <si>
    <t>closed_loop_parent</t>
  </si>
  <si>
    <t>neutral_scalar_axis</t>
  </si>
  <si>
    <t>scalar_closed_loop</t>
  </si>
  <si>
    <t>CLOSED_LOOP_WRITE</t>
  </si>
  <si>
    <t>UNSTABLE_SCALAR_REVEAL_CANDIDATE</t>
  </si>
  <si>
    <t>closed_loop_surface_D2_over_R</t>
  </si>
  <si>
    <t>MATTER_ROW_ALLOWED_AFTER_REVEAL_DEBIT</t>
  </si>
  <si>
    <t>QP093A-0300</t>
  </si>
  <si>
    <t>carrier_only_rows</t>
  </si>
  <si>
    <t>tensor_carrier_alphaH_D2</t>
  </si>
  <si>
    <t>TENSOR_CARRIER</t>
  </si>
  <si>
    <t>carrier_only</t>
  </si>
  <si>
    <t>carrier_axis</t>
  </si>
  <si>
    <t>rank2_plus_cross</t>
  </si>
  <si>
    <t>CLOSED_CARRIER_SUPPORT</t>
  </si>
  <si>
    <t>CARRIER_ONLY_NOT_MATTER</t>
  </si>
  <si>
    <t>none</t>
  </si>
  <si>
    <t>no_surface_depth</t>
  </si>
  <si>
    <t>REJECT_MATTER_PROMOTION_CARRIER_ONLY</t>
  </si>
  <si>
    <t>QP093A-0301</t>
  </si>
  <si>
    <t>photon_road_carrier</t>
  </si>
  <si>
    <t>ROAD_LIGHT_CARRIER</t>
  </si>
  <si>
    <t>transverse_vector</t>
  </si>
  <si>
    <t>QP093A-0302</t>
  </si>
  <si>
    <t>weak_vector_support</t>
  </si>
  <si>
    <t>WEAK_VECTOR_CARRIER</t>
  </si>
  <si>
    <t>massive_vector_support</t>
  </si>
  <si>
    <t>neutral_vector_support</t>
  </si>
  <si>
    <t>NEUTRAL_VECTOR_CARRIER</t>
  </si>
  <si>
    <t>QP093A-0304</t>
  </si>
  <si>
    <t>gluon_color_owner_support</t>
  </si>
  <si>
    <t>COLOR_OWNER_CARRIER</t>
  </si>
  <si>
    <t>color_octet_support</t>
  </si>
  <si>
    <t>QP093A-0306</t>
  </si>
  <si>
    <t>hidden_source_support[p=1]</t>
  </si>
  <si>
    <t>SOURCE_SUPPORT_PACKET</t>
  </si>
  <si>
    <t>hidden_support</t>
  </si>
  <si>
    <t>source_axis</t>
  </si>
  <si>
    <t>unresolved_support</t>
  </si>
  <si>
    <t>SOURCE_SUPPORT_ONLY</t>
  </si>
  <si>
    <t>QP093A-0307</t>
  </si>
  <si>
    <t>hidden_source_support[p=2]</t>
  </si>
  <si>
    <t>QP093A-0308</t>
  </si>
  <si>
    <t>hidden_source_support[p=3]</t>
  </si>
  <si>
    <t>QP093A-0309</t>
  </si>
  <si>
    <t>hidden_source_support[p=4]</t>
  </si>
  <si>
    <t>QP093A-0310</t>
  </si>
  <si>
    <t>hidden_source_support[p=6]</t>
  </si>
  <si>
    <t>QP093A-0311</t>
  </si>
  <si>
    <t>hidden_source_support[p=8]</t>
  </si>
  <si>
    <t>QP093A-0312</t>
  </si>
  <si>
    <t>hidden_source_support[p=9]</t>
  </si>
  <si>
    <t>QP093A-0313</t>
  </si>
  <si>
    <t>hidden_source_support[p=12]</t>
  </si>
  <si>
    <t>observed_identity_check</t>
  </si>
  <si>
    <t>direct_support_compatible</t>
  </si>
  <si>
    <t>owner_closed_conjugate</t>
  </si>
  <si>
    <t>loop_closed_then_split</t>
  </si>
  <si>
    <t>Higgs (H)|downstream_only</t>
  </si>
  <si>
    <t>not_matter_owner</t>
  </si>
  <si>
    <t>QP093A-0305</t>
  </si>
  <si>
    <t>a_kernel_support</t>
  </si>
  <si>
    <t>A_FIELD_CARRIER</t>
  </si>
  <si>
    <t>environmental_A_support</t>
  </si>
  <si>
    <t>hidden_not_matter_owner</t>
  </si>
  <si>
    <t>stable_particle_flag</t>
  </si>
  <si>
    <t>Particle Stability Classification — New List (Rows 321–633)</t>
  </si>
  <si>
    <t>Value / Rule</t>
  </si>
  <si>
    <t>Neutral</t>
  </si>
  <si>
    <t>18 × p</t>
  </si>
  <si>
    <t>Positive</t>
  </si>
  <si>
    <t>180 × p = 10 × neutral</t>
  </si>
  <si>
    <t>Negative</t>
  </si>
  <si>
    <t>216 × p = 12 × neutral</t>
  </si>
  <si>
    <t>Triplet ratio</t>
  </si>
  <si>
    <t>p</t>
  </si>
  <si>
    <t>Classification</t>
  </si>
  <si>
    <t>stable</t>
  </si>
  <si>
    <t>10 : 12 : 1</t>
  </si>
  <si>
    <t>Rejected / Non-Primary (185)</t>
  </si>
  <si>
    <t>M_native Structure — Reclassified Heavy Rows</t>
  </si>
  <si>
    <t>stable (reclassified)</t>
  </si>
  <si>
    <t>STABLE_CARRIER_CANDIDATE</t>
  </si>
  <si>
    <t>STABLE_USER_RECLASSIFIED_FROM_SUPPORT</t>
  </si>
  <si>
    <t>STABLE_SOURCE_SUPPORT_CANDIDATE</t>
  </si>
  <si>
    <t>Nine heavy lattice rows and twelve highlighted carrier/source-support rows are manually reclassified into Stable Matter on this report; the source ledger remains unchanged.</t>
  </si>
  <si>
    <t>Carrier / Hidden Support (2)</t>
  </si>
  <si>
    <t>STABLE_USER_RECLASSIFIED_RESONANCE</t>
  </si>
  <si>
    <t>STABLE_USER_RECLASSIFIED_FROM_RESONANCE</t>
  </si>
  <si>
    <t>Stable Particles (126)</t>
  </si>
  <si>
    <t>count</t>
  </si>
  <si>
    <t>Combination Check</t>
  </si>
  <si>
    <t>Result</t>
  </si>
  <si>
    <t>Selected rows</t>
  </si>
  <si>
    <t>M_native total</t>
  </si>
  <si>
    <t>Target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</si>
</sst>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i/>
      <sz val="10"/>
      <color rgb="FF555555"/>
      <name val="Calibri"/>
    </font>
    <font>
      <b/>
      <sz val="10"/>
      <name val="Calibri"/>
    </font>
    <font>
      <sz val="1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0"/>
      <name val="Calibri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80808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1" fillId="2" borderId="1" xfId="0" applyFont="1" applyFill="1" applyBorder="1"/>
    <xf numFmtId="0" fontId="7" fillId="4" borderId="2" xfId="0" applyFont="1" applyFill="1" applyBorder="1" applyAlignment="1">
      <alignment horizontal="center"/>
    </xf>
    <xf numFmtId="3" fontId="6" fillId="7" borderId="0" xfId="0" applyNumberFormat="1" applyFont="1" applyFill="1" applyAlignment="1">
      <alignment horizontal="right"/>
    </xf>
    <xf numFmtId="49" fontId="6" fillId="7" borderId="0" xfId="0" applyNumberFormat="1" applyFont="1" applyFill="1" applyAlignment="1">
      <alignment horizontal="left"/>
    </xf>
    <xf numFmtId="0" fontId="8" fillId="0" borderId="0" xfId="0" applyFont="1" applyAlignment="1">
      <alignment vertical="center"/>
    </xf>
    <xf numFmtId="0" fontId="9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9" fillId="8" borderId="3" xfId="0" applyFont="1" applyFill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9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10" fillId="10" borderId="3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vertical="center"/>
    </xf>
    <xf numFmtId="0" fontId="9" fillId="10" borderId="4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0" fontId="11" fillId="4" borderId="0" xfId="0" applyFont="1" applyFill="1" applyAlignment="1">
      <alignment vertical="center" wrapText="1"/>
    </xf>
    <xf numFmtId="0" fontId="9" fillId="8" borderId="6" xfId="0" applyFont="1" applyFill="1" applyBorder="1" applyAlignment="1">
      <alignment vertical="center"/>
    </xf>
    <xf numFmtId="0" fontId="9" fillId="9" borderId="6" xfId="0" applyFont="1" applyFill="1" applyBorder="1" applyAlignment="1">
      <alignment vertical="center"/>
    </xf>
    <xf numFmtId="0" fontId="9" fillId="10" borderId="6" xfId="0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9" fillId="8" borderId="7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 wrapText="1"/>
    </xf>
    <xf numFmtId="0" fontId="1" fillId="2" borderId="0" xfId="0" applyFont="1" applyFill="1"/>
    <xf numFmtId="0" fontId="13" fillId="0" borderId="0" xfId="0" applyFont="1"/>
    <xf numFmtId="0" fontId="9" fillId="8" borderId="6" xfId="0" applyFont="1" applyFill="1" applyBorder="1" applyAlignment="1">
      <alignment vertical="center" wrapText="1"/>
    </xf>
    <xf numFmtId="0" fontId="9" fillId="9" borderId="6" xfId="0" applyFont="1" applyFill="1" applyBorder="1" applyAlignment="1">
      <alignment vertical="center" wrapText="1"/>
    </xf>
    <xf numFmtId="0" fontId="9" fillId="10" borderId="6" xfId="0" applyFont="1" applyFill="1" applyBorder="1" applyAlignment="1">
      <alignment vertical="center" wrapText="1"/>
    </xf>
    <xf numFmtId="0" fontId="10" fillId="8" borderId="6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1">
    <cellStyle name="Normal" xfId="0" builtinId="0"/>
  </cellStyles>
  <dxfs count="1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A5AE03-24F2-49B0-949E-1F171676B1E5}" name="tblStableMatter" displayName="tblStableMatter" ref="A4:AD131" totalsRowCount="1" headerRowDxfId="152" dataDxfId="151">
  <autoFilter ref="A4:AD130" xr:uid="{AAA5AE03-24F2-49B0-949E-1F171676B1E5}"/>
  <tableColumns count="30">
    <tableColumn id="1" xr3:uid="{5797CFAA-7443-43C8-B096-2C90AF872ED0}" name="candidate_id" dataDxfId="150" totalsRowDxfId="149"/>
    <tableColumn id="2" xr3:uid="{5DE12A43-1125-47A5-B71E-6CE66C371D13}" name="bin" dataDxfId="148" totalsRowDxfId="147"/>
    <tableColumn id="3" xr3:uid="{B5F54716-EFC4-4D96-A891-9E225AB55F85}" name="route_combination" dataDxfId="146" totalsRowDxfId="145"/>
    <tableColumn id="4" xr3:uid="{B0572CF2-B8F2-48BE-BA5B-69610CC08EC2}" name="operator_class" dataDxfId="144" totalsRowDxfId="143"/>
    <tableColumn id="5" xr3:uid="{C4D0695E-DEA4-4128-8524-988F3D4AEB8A}" name="route_class" dataDxfId="142" totalsRowDxfId="141"/>
    <tableColumn id="6" xr3:uid="{E830EDC6-3D39-4B37-A456-C1CBCF5F87C9}" name="partition_signature" totalsRowFunction="custom" dataDxfId="140" totalsRowDxfId="139">
      <totalsRowFormula>SUBTOTAL(9,F5:F130)</totalsRowFormula>
    </tableColumn>
    <tableColumn id="7" xr3:uid="{8FB60CED-9EF3-4EC8-BF0C-619F6BB89CB1}" name="closure_depth" dataDxfId="138" totalsRowDxfId="137"/>
    <tableColumn id="8" xr3:uid="{ACD3FBF2-D60C-4050-BDBC-ED353C8E20BD}" name="q_sign" dataDxfId="136" totalsRowDxfId="135"/>
    <tableColumn id="9" xr3:uid="{DC734513-CF9D-411F-95D6-0B269EA4173A}" name="q_abs" dataDxfId="134" totalsRowDxfId="133"/>
    <tableColumn id="10" xr3:uid="{06102A22-AD65-46F5-9CC6-072D8FCBBE65}" name="native_charge_axis" dataDxfId="132" totalsRowDxfId="131"/>
    <tableColumn id="11" xr3:uid="{5BF6F68F-3B45-4364-9E30-2CF2CFCCFA86}" name="spin_or_hand_class" dataDxfId="130" totalsRowDxfId="129"/>
    <tableColumn id="12" xr3:uid="{A9114FAA-3F93-49B0-9851-5B97781B2ED2}" name="color_or_owner_closure" dataDxfId="128" totalsRowDxfId="127"/>
    <tableColumn id="13" xr3:uid="{36AD9717-2DE9-4B0C-9C2A-5B4D7B4B10FD}" name="closure_status" dataDxfId="126" totalsRowDxfId="125"/>
    <tableColumn id="14" xr3:uid="{CEE9E7A2-0969-45F4-9B5E-5E18C6DA9592}" name="stability_status" dataDxfId="124" totalsRowDxfId="123"/>
    <tableColumn id="15" xr3:uid="{945C0194-3290-4B7B-B375-6A75A88615AF}" name="M_native" totalsRowFunction="custom" dataDxfId="122" totalsRowDxfId="121">
      <totalsRowFormula>SUBTOTAL(9,O5:O130)</totalsRowFormula>
    </tableColumn>
    <tableColumn id="16" xr3:uid="{EF3AF86E-00DB-42AE-A95C-AAC352D99924}" name="surface_sign" dataDxfId="120" totalsRowDxfId="119"/>
    <tableColumn id="17" xr3:uid="{0D67B417-E2BC-42DD-B180-6FEEE79C19EE}" name="surface_depth" dataDxfId="118" totalsRowDxfId="117"/>
    <tableColumn id="18" xr3:uid="{6E5C9B62-E860-456C-9FA8-6A0B7045E6A6}" name="surface_packet_address" dataDxfId="116" totalsRowDxfId="115"/>
    <tableColumn id="19" xr3:uid="{F7169880-E2F9-4E80-B8B3-C9185DCDB322}" name="S_debit_or_credit" totalsRowFunction="custom" dataDxfId="114" totalsRowDxfId="113">
      <totalsRowFormula>SUBTOTAL(9,S5:S122)</totalsRowFormula>
    </tableColumn>
    <tableColumn id="20" xr3:uid="{2D7694A8-B123-4FCD-AD56-F64FCC42C3D0}" name="M_observed_candidate" totalsRowFunction="custom" dataDxfId="112" totalsRowDxfId="111">
      <totalsRowFormula>SUBTOTAL(9,T5:T122)</totalsRowFormula>
    </tableColumn>
    <tableColumn id="21" xr3:uid="{0F1726E4-088A-4536-B68B-AF310D75A7C6}" name="qA_source_support" totalsRowFunction="custom" dataDxfId="110" totalsRowDxfId="109">
      <totalsRowFormula>SUBTOTAL(9,U5:U130)</totalsRowFormula>
    </tableColumn>
    <tableColumn id="22" xr3:uid="{3FCA8D36-4C94-4E3D-AE52-BC5857B0A4DE}" name="tensor_carrier_support" totalsRowFunction="custom" dataDxfId="108" totalsRowDxfId="107">
      <totalsRowFormula>SUBTOTAL(9,V5:V130)</totalsRowFormula>
    </tableColumn>
    <tableColumn id="23" xr3:uid="{AC05F1C9-45AD-42E3-91FB-7E9E09FEE302}" name="retained_write_support" totalsRowFunction="custom" dataDxfId="106" totalsRowDxfId="105">
      <totalsRowFormula>SUBTOTAL(9,W5:W130)</totalsRowFormula>
    </tableColumn>
    <tableColumn id="24" xr3:uid="{FFC4609C-D052-4E97-9B70-D18D2F749A2F}" name="matter_row_allowed" dataDxfId="104" totalsRowDxfId="103"/>
    <tableColumn id="25" xr3:uid="{3575CAB4-A7AD-42BF-B1EF-96D89C0D902D}" name="known_match" dataDxfId="102" totalsRowDxfId="101"/>
    <tableColumn id="26" xr3:uid="{CD321DDC-BFB0-4705-B667-248E906D43F7}" name="promotion_status" dataDxfId="100" totalsRowDxfId="99"/>
    <tableColumn id="27" xr3:uid="{B61E4098-F2B7-4AD3-B609-54D2C6E7B066}" name="observed_identity_check" dataDxfId="98" totalsRowDxfId="97"/>
    <tableColumn id="28" xr3:uid="{577E2068-A8C0-4CEB-96BF-41FFE405B2CF}" name="direct_support_compatible" dataDxfId="96" totalsRowDxfId="95"/>
    <tableColumn id="29" xr3:uid="{DA9AF93D-0433-42C1-9122-C65FF7DB822C}" name="stable_particle_flag" dataDxfId="94" totalsRowDxfId="93"/>
    <tableColumn id="30" xr3:uid="{F7859AB3-F020-4CD3-A9A7-AE8E7A27C65D}" name="count" totalsRowFunction="custom" dataDxfId="92" totalsRowDxfId="91">
      <totalsRowFormula>SUBTOTAL(9,tblStableMatter[count])</totalsRow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BE18B-D87D-43A7-8B9B-FDBCAD355084}" name="tblRejectedParticles" displayName="tblRejectedParticles" ref="A157:AC343" totalsRowCount="1" headerRowDxfId="90" dataDxfId="89">
  <autoFilter ref="A157:AC342" xr:uid="{F01BE18B-D87D-43A7-8B9B-FDBCAD355084}"/>
  <tableColumns count="29">
    <tableColumn id="1" xr3:uid="{ADC30CF7-8F1E-4826-BC5A-138D158A7357}" name="candidate_id" dataDxfId="88" totalsRowDxfId="28"/>
    <tableColumn id="2" xr3:uid="{4431C5A7-232B-4F10-993D-09D5F9563139}" name="bin" dataDxfId="87" totalsRowDxfId="27"/>
    <tableColumn id="3" xr3:uid="{52CAA1C4-189B-4F81-8094-25FC716BB719}" name="route_combination" dataDxfId="86" totalsRowDxfId="26"/>
    <tableColumn id="4" xr3:uid="{CC0DED1B-2EC1-4D9C-810E-193842CFEC44}" name="operator_class" dataDxfId="85" totalsRowDxfId="25"/>
    <tableColumn id="5" xr3:uid="{A980669D-BAF9-4B52-BD04-F4270F97C049}" name="route_class" dataDxfId="84" totalsRowDxfId="24"/>
    <tableColumn id="6" xr3:uid="{BCD8302F-4894-449F-B652-50D8584B7880}" name="partition_signature" dataDxfId="83" totalsRowDxfId="23"/>
    <tableColumn id="7" xr3:uid="{4374A9FB-072C-41E9-8574-E946FFA1CBDB}" name="closure_depth" dataDxfId="82" totalsRowDxfId="22"/>
    <tableColumn id="8" xr3:uid="{FCD2653B-C9C5-474B-9A78-6FD65115A535}" name="q_sign" dataDxfId="81" totalsRowDxfId="21"/>
    <tableColumn id="9" xr3:uid="{C7773ADB-92B4-4B66-9381-DDCCF45D41D8}" name="q_abs" dataDxfId="80" totalsRowDxfId="20"/>
    <tableColumn id="10" xr3:uid="{996EF93F-E973-4682-8B76-AAE324E92BA6}" name="native_charge_axis" dataDxfId="79" totalsRowDxfId="19"/>
    <tableColumn id="11" xr3:uid="{F181E854-17EF-4AC8-AA31-6FE761577127}" name="spin_or_hand_class" dataDxfId="78" totalsRowDxfId="18"/>
    <tableColumn id="12" xr3:uid="{C270E519-04E3-4D7E-AFD4-77FE4564EDF1}" name="color_or_owner_closure" dataDxfId="77" totalsRowDxfId="17"/>
    <tableColumn id="13" xr3:uid="{055794B1-2B41-48ED-9C06-4554AD20B7D5}" name="closure_status" dataDxfId="76" totalsRowDxfId="16"/>
    <tableColumn id="14" xr3:uid="{F7F23527-34C4-4B3E-A5BD-29DE47D2F04B}" name="stability_status" dataDxfId="75" totalsRowDxfId="15"/>
    <tableColumn id="15" xr3:uid="{3AFE003D-2DA5-49DF-ACCB-B50C2560F33F}" name="M_native" totalsRowFunction="custom" dataDxfId="74" totalsRowDxfId="14">
      <totalsRowFormula>SUBTOTAL(9,tblRejectedParticles[M_native])</totalsRowFormula>
    </tableColumn>
    <tableColumn id="16" xr3:uid="{F30A91FB-3C88-45B7-B583-2E8B5472B336}" name="surface_sign" dataDxfId="73" totalsRowDxfId="13"/>
    <tableColumn id="17" xr3:uid="{8F56B1B1-8CD3-4F36-B210-AA36F8941982}" name="surface_depth" dataDxfId="72" totalsRowDxfId="12"/>
    <tableColumn id="18" xr3:uid="{0BB71F50-9B09-4198-A45E-DC6EC1A9120D}" name="surface_packet_address" dataDxfId="71" totalsRowDxfId="11"/>
    <tableColumn id="19" xr3:uid="{EA999395-C891-4914-BEBA-5594A7D0DDC0}" name="S_debit_or_credit" totalsRowFunction="custom" dataDxfId="70" totalsRowDxfId="10">
      <totalsRowFormula>SUBTOTAL(9,tblRejectedParticles[S_debit_or_credit])</totalsRowFormula>
    </tableColumn>
    <tableColumn id="20" xr3:uid="{AF640EB3-43CF-4F48-8329-A0BF462CCBA1}" name="M_observed_candidate" totalsRowFunction="custom" dataDxfId="69" totalsRowDxfId="9">
      <totalsRowFormula>SUBTOTAL(9,tblRejectedParticles[M_observed_candidate])</totalsRowFormula>
    </tableColumn>
    <tableColumn id="21" xr3:uid="{363EA240-EF49-4265-A9D5-3D2F61FFF41F}" name="qA_source_support" dataDxfId="68" totalsRowDxfId="8"/>
    <tableColumn id="22" xr3:uid="{0DD3C3E2-6AE4-436F-A223-7A27694703F6}" name="tensor_carrier_support" dataDxfId="67" totalsRowDxfId="7"/>
    <tableColumn id="23" xr3:uid="{A4E9393C-5C47-4DA6-8A80-FA6E4182DE5F}" name="retained_write_support" dataDxfId="66" totalsRowDxfId="6"/>
    <tableColumn id="24" xr3:uid="{BC68BF55-7AAF-47F7-9F6D-96FA7FE21E45}" name="matter_row_allowed" dataDxfId="65" totalsRowDxfId="5"/>
    <tableColumn id="25" xr3:uid="{D46B5724-C54E-4E06-AF07-58AFFC1DED3E}" name="known_match" dataDxfId="64" totalsRowDxfId="4"/>
    <tableColumn id="26" xr3:uid="{5EDE2C93-A9F9-4299-8038-6B094CD9E01E}" name="promotion_status" dataDxfId="63" totalsRowDxfId="3"/>
    <tableColumn id="27" xr3:uid="{9062C422-886C-4809-BF37-90B187167078}" name="observed_identity_check" dataDxfId="62" totalsRowDxfId="2"/>
    <tableColumn id="28" xr3:uid="{49D07B85-A7B5-405A-87CF-EF75D4027090}" name="direct_support_compatible" dataDxfId="61" totalsRowDxfId="1"/>
    <tableColumn id="29" xr3:uid="{0CB31A0E-5724-4DB6-9858-0767EA39DA35}" name="stable_particle_flag" dataDxfId="60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B55536-5BA1-4B28-A1F0-35797FDB3EDD}" name="tblCarrierHidden" displayName="tblCarrierHidden" ref="A345:AC347" totalsRowShown="0" headerRowDxfId="59" dataDxfId="58">
  <autoFilter ref="A345:AC347" xr:uid="{FFB55536-5BA1-4B28-A1F0-35797FDB3EDD}"/>
  <tableColumns count="29">
    <tableColumn id="1" xr3:uid="{5B6F701D-A4A9-4969-A132-E562F5C5066B}" name="candidate_id" dataDxfId="57"/>
    <tableColumn id="2" xr3:uid="{CD8F54F0-3881-427A-ACDF-C8EF05E482BF}" name="bin" dataDxfId="56"/>
    <tableColumn id="3" xr3:uid="{692D1C78-60C1-4558-8931-C0BA308E3461}" name="route_combination" dataDxfId="55"/>
    <tableColumn id="4" xr3:uid="{E3059B14-8D5F-4D25-8339-85B0450F2903}" name="operator_class" dataDxfId="54"/>
    <tableColumn id="5" xr3:uid="{011C2D05-AAAD-48F9-AAF7-14D7FA0D6A26}" name="route_class" dataDxfId="53"/>
    <tableColumn id="6" xr3:uid="{3E01B4E1-2830-4832-A1D6-E9BE17085A48}" name="partition_signature" dataDxfId="52"/>
    <tableColumn id="7" xr3:uid="{C66B44D4-649E-4FFE-8416-B3718B15DC92}" name="closure_depth" dataDxfId="51"/>
    <tableColumn id="8" xr3:uid="{E41C9F9B-A591-42EF-B537-A4442E0E1FC3}" name="q_sign" dataDxfId="50"/>
    <tableColumn id="9" xr3:uid="{E91DE879-640D-4BD1-829D-1D40F35BBCC2}" name="q_abs" dataDxfId="49"/>
    <tableColumn id="10" xr3:uid="{F2C54146-CAE5-4BAA-925D-CFCBBE04EDA2}" name="native_charge_axis" dataDxfId="48"/>
    <tableColumn id="11" xr3:uid="{E9060E34-AF35-4DAD-A336-510BB5EF8C04}" name="spin_or_hand_class" dataDxfId="47"/>
    <tableColumn id="12" xr3:uid="{779D2CF9-67D3-49D6-A498-70BCC05A3058}" name="color_or_owner_closure" dataDxfId="46"/>
    <tableColumn id="13" xr3:uid="{1F42755E-DEBD-40E7-8FEF-B974B47A418E}" name="closure_status" dataDxfId="45"/>
    <tableColumn id="14" xr3:uid="{95968D0D-0F4A-4439-BCC4-FEE750F8D3D3}" name="stability_status" dataDxfId="44"/>
    <tableColumn id="15" xr3:uid="{CEBC147D-43A0-4A05-93A6-2021CC297DF8}" name="M_native" dataDxfId="43"/>
    <tableColumn id="16" xr3:uid="{DF78F10A-798D-4C0E-B2ED-AA715B77EF39}" name="surface_sign" dataDxfId="42"/>
    <tableColumn id="17" xr3:uid="{9F855BAA-0ABA-4C4A-BAA6-8049488F9C2F}" name="surface_depth" dataDxfId="41"/>
    <tableColumn id="18" xr3:uid="{247A9F13-DCDB-4230-B710-8655FBA71333}" name="surface_packet_address" dataDxfId="40"/>
    <tableColumn id="19" xr3:uid="{2E54A793-E39C-4C9F-8463-E811A28355A5}" name="S_debit_or_credit" dataDxfId="39"/>
    <tableColumn id="20" xr3:uid="{1F21E091-D82A-4B77-A16D-1B4084957756}" name="M_observed_candidate" dataDxfId="38"/>
    <tableColumn id="21" xr3:uid="{A68B496D-94DD-4AB9-A091-B371A4D82C03}" name="qA_source_support" dataDxfId="37"/>
    <tableColumn id="22" xr3:uid="{EBCBB41E-4B42-4849-9613-A63AE974C1F0}" name="tensor_carrier_support" dataDxfId="36"/>
    <tableColumn id="23" xr3:uid="{C188BE4C-615F-46B1-8123-C3DEDE1F96ED}" name="retained_write_support" dataDxfId="35"/>
    <tableColumn id="24" xr3:uid="{7C3E51DF-3C63-403A-95C2-F1D1E6DF1146}" name="matter_row_allowed" dataDxfId="34"/>
    <tableColumn id="25" xr3:uid="{11BF19D2-2EBA-4E0D-8E04-B68290441D8C}" name="known_match" dataDxfId="33"/>
    <tableColumn id="26" xr3:uid="{7542367A-8EAC-4D19-BE75-75B7FDD9D3D6}" name="promotion_status" dataDxfId="32"/>
    <tableColumn id="27" xr3:uid="{F32FED36-D3E9-46C4-A44A-09BDB92F4FD5}" name="observed_identity_check" dataDxfId="31"/>
    <tableColumn id="28" xr3:uid="{F43FDB18-9F3C-4A3A-904A-66E775889874}" name="direct_support_compatible" dataDxfId="30"/>
    <tableColumn id="29" xr3:uid="{3D21349C-278E-4502-B671-3F8579159A97}" name="stable_particle_flag" dataDxfId="2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4B61F-BDBE-4273-A4A5-2A2EBD4788FC}" name="tblMNative12600_81" displayName="tblMNative12600_81" ref="A1:AC82" totalsRowShown="0" headerRowDxfId="186" dataDxfId="184" headerRowBorderDxfId="185" tableBorderDxfId="183" totalsRowBorderDxfId="182">
  <autoFilter ref="A1:AC82" xr:uid="{7814B61F-BDBE-4273-A4A5-2A2EBD4788FC}"/>
  <tableColumns count="29">
    <tableColumn id="1" xr3:uid="{5189D4CA-68A4-459F-983B-384D746357EF}" name="candidate_id" dataDxfId="181"/>
    <tableColumn id="2" xr3:uid="{584BF5E1-3912-4FEA-8FC0-16609F11DE49}" name="bin" dataDxfId="180"/>
    <tableColumn id="3" xr3:uid="{00CE15E1-5666-45D1-BB87-125DDF51FCB7}" name="route_combination" dataDxfId="179"/>
    <tableColumn id="4" xr3:uid="{6C2A68F5-9333-411D-8F4A-01746D44298B}" name="operator_class" dataDxfId="178"/>
    <tableColumn id="5" xr3:uid="{B0335284-C061-45A9-9FE3-4187AD3CFA16}" name="route_class" dataDxfId="177"/>
    <tableColumn id="6" xr3:uid="{0505FF31-774F-49E6-8199-7F45548D3078}" name="partition_signature" dataDxfId="176"/>
    <tableColumn id="7" xr3:uid="{D403E396-5925-461A-9094-E47F5481147D}" name="closure_depth" dataDxfId="175"/>
    <tableColumn id="8" xr3:uid="{48B4E1BD-3C04-4438-9FD5-EE5C8553AA38}" name="q_sign" dataDxfId="174"/>
    <tableColumn id="9" xr3:uid="{6E251EAD-50CD-4B82-BC61-93BA255D94CA}" name="q_abs" dataDxfId="173"/>
    <tableColumn id="10" xr3:uid="{3427E529-8DDC-4430-99FB-7456D578D7E4}" name="native_charge_axis" dataDxfId="172"/>
    <tableColumn id="11" xr3:uid="{49450E86-3C60-4B40-9079-11641BB6B39D}" name="spin_or_hand_class" dataDxfId="171"/>
    <tableColumn id="12" xr3:uid="{386D2EF1-1713-481D-A634-12212667DBFC}" name="color_or_owner_closure" dataDxfId="170"/>
    <tableColumn id="13" xr3:uid="{F8258E9B-7F59-4793-BA0A-1EA7560B24A9}" name="closure_status" dataDxfId="169"/>
    <tableColumn id="14" xr3:uid="{85726F25-4066-4DF4-BE43-2A7884C8DB25}" name="stability_status" dataDxfId="168"/>
    <tableColumn id="15" xr3:uid="{6B2D8535-A359-4702-A3D4-87BFBF3BAF51}" name="M_native" dataDxfId="167"/>
    <tableColumn id="16" xr3:uid="{F277C2FA-7AB0-4649-A786-872D166CDBD3}" name="surface_sign" dataDxfId="166"/>
    <tableColumn id="17" xr3:uid="{063861F5-ECC9-4BBC-B7E9-AF77526E4EE3}" name="surface_depth" dataDxfId="165"/>
    <tableColumn id="18" xr3:uid="{969DB5FE-51F5-43E6-9012-B0F0FED49569}" name="surface_packet_address" dataDxfId="164"/>
    <tableColumn id="19" xr3:uid="{6DD10563-38D3-4607-9B3E-C3BF0CB34BCD}" name="S_debit_or_credit" dataDxfId="163"/>
    <tableColumn id="20" xr3:uid="{F49285BF-4CA9-4261-A7A9-CE417B86ED14}" name="M_observed_candidate" dataDxfId="162"/>
    <tableColumn id="21" xr3:uid="{0EC36096-F960-4731-9731-14AA3C611904}" name="qA_source_support" dataDxfId="161"/>
    <tableColumn id="22" xr3:uid="{14B0D4FE-0EB1-4274-9F29-1FB20815F774}" name="tensor_carrier_support" dataDxfId="160"/>
    <tableColumn id="23" xr3:uid="{8F4F351C-F717-49ED-90AD-2D6EE57CE8C4}" name="retained_write_support" dataDxfId="159"/>
    <tableColumn id="24" xr3:uid="{B1F7ED28-251B-4281-91DB-AF4E269B093D}" name="matter_row_allowed" dataDxfId="158"/>
    <tableColumn id="25" xr3:uid="{8FA972BD-4D81-48B6-AB5D-3CDEEDF7477C}" name="known_match" dataDxfId="157"/>
    <tableColumn id="26" xr3:uid="{30BFDFB1-05F1-447A-8A93-7654A5C79532}" name="promotion_status" dataDxfId="156"/>
    <tableColumn id="27" xr3:uid="{0B2B36A4-CC66-4ED1-B30A-77F314FCE57A}" name="observed_identity_check" dataDxfId="155"/>
    <tableColumn id="28" xr3:uid="{A66261AE-969D-4C9A-BBF3-4F557CAC5221}" name="direct_support_compatible" dataDxfId="154"/>
    <tableColumn id="29" xr3:uid="{41CD5963-6249-4EFA-B75F-FB3C7E6DD6B6}" name="stable_particle_flag" dataDxfId="1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DAAF70-9EB8-4DE7-998E-BF123DC34F44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9e994d18-3e8d-430e-8586-09ffc7a614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F5CE-FC07-4EA8-B8B0-78FBECBA5801}">
  <sheetPr>
    <tabColor rgb="FF4472C4"/>
  </sheetPr>
  <dimension ref="A1:AI347"/>
  <sheetViews>
    <sheetView showGridLines="0" tabSelected="1" topLeftCell="L1" workbookViewId="0">
      <pane ySplit="4" topLeftCell="A281" activePane="bottomLeft" state="frozen"/>
      <selection pane="bottomLeft" activeCell="O283" sqref="O283"/>
    </sheetView>
  </sheetViews>
  <sheetFormatPr defaultRowHeight="13.65"/>
  <cols>
    <col min="1" max="1" width="15.81640625" customWidth="1"/>
    <col min="2" max="2" width="20.81640625" customWidth="1"/>
    <col min="3" max="3" width="31.6796875" customWidth="1"/>
    <col min="4" max="4" width="22.5" customWidth="1"/>
    <col min="5" max="5" width="20.81640625" customWidth="1"/>
    <col min="6" max="6" width="16.6796875" customWidth="1"/>
    <col min="7" max="7" width="13.31640625" customWidth="1"/>
    <col min="8" max="8" width="12.5" customWidth="1"/>
    <col min="9" max="9" width="10.81640625" customWidth="1"/>
    <col min="10" max="10" width="18.31640625" customWidth="1"/>
    <col min="11" max="11" width="20.81640625" customWidth="1"/>
    <col min="12" max="12" width="22.5" customWidth="1"/>
    <col min="13" max="13" width="24.1796875" customWidth="1"/>
    <col min="14" max="14" width="31.6796875" customWidth="1"/>
    <col min="15" max="15" width="15" customWidth="1"/>
    <col min="16" max="16" width="18.31640625" customWidth="1"/>
    <col min="17" max="17" width="23.7265625" customWidth="1"/>
    <col min="18" max="18" width="24.1796875" customWidth="1"/>
    <col min="19" max="19" width="18.31640625" customWidth="1"/>
    <col min="20" max="20" width="20.81640625" customWidth="1"/>
    <col min="21" max="22" width="20" customWidth="1"/>
    <col min="23" max="23" width="20.81640625" customWidth="1"/>
    <col min="24" max="24" width="15.81640625" customWidth="1"/>
    <col min="25" max="25" width="17.5" customWidth="1"/>
    <col min="26" max="26" width="31.6796875" customWidth="1"/>
    <col min="27" max="27" width="19.1796875" customWidth="1"/>
    <col min="28" max="28" width="20.81640625" customWidth="1"/>
    <col min="29" max="29" width="18.31640625" customWidth="1"/>
    <col min="31" max="32" width="25" customWidth="1"/>
    <col min="33" max="34" width="14.1796875" customWidth="1"/>
    <col min="35" max="35" width="19.1796875" customWidth="1"/>
  </cols>
  <sheetData>
    <row r="1" spans="1:30">
      <c r="A1" s="36" t="s">
        <v>983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30">
      <c r="A2" s="37" t="s">
        <v>1002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 spans="1:30">
      <c r="A3" s="38" t="s">
        <v>1006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971</v>
      </c>
      <c r="AB4" s="1" t="s">
        <v>972</v>
      </c>
      <c r="AC4" s="1" t="s">
        <v>982</v>
      </c>
      <c r="AD4" s="22" t="s">
        <v>1007</v>
      </c>
    </row>
    <row r="5" spans="1:30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>
        <v>1</v>
      </c>
      <c r="G5" s="8">
        <v>0</v>
      </c>
      <c r="H5" s="8" t="s">
        <v>32</v>
      </c>
      <c r="I5" s="8">
        <v>1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  <c r="O5" s="8">
        <v>1.25</v>
      </c>
      <c r="P5" s="8" t="s">
        <v>38</v>
      </c>
      <c r="Q5" s="8" t="s">
        <v>39</v>
      </c>
      <c r="R5" s="8" t="s">
        <v>39</v>
      </c>
      <c r="S5" s="8">
        <v>0</v>
      </c>
      <c r="T5" s="8">
        <v>1.25</v>
      </c>
      <c r="U5" s="8">
        <v>1.25868055555555</v>
      </c>
      <c r="V5" s="8">
        <v>0.157335069444444</v>
      </c>
      <c r="W5" s="8">
        <v>1.1013454861111101</v>
      </c>
      <c r="X5" s="8" t="s">
        <v>40</v>
      </c>
      <c r="Y5" s="8"/>
      <c r="Z5" s="8" t="s">
        <v>41</v>
      </c>
      <c r="AA5" s="8" t="b">
        <v>1</v>
      </c>
      <c r="AB5" s="8" t="b">
        <v>1</v>
      </c>
      <c r="AC5" s="8" t="b">
        <v>1</v>
      </c>
      <c r="AD5" s="8">
        <v>1</v>
      </c>
    </row>
    <row r="6" spans="1:30">
      <c r="A6" s="13" t="s">
        <v>192</v>
      </c>
      <c r="B6" s="13" t="s">
        <v>193</v>
      </c>
      <c r="C6" s="13" t="s">
        <v>194</v>
      </c>
      <c r="D6" s="13" t="s">
        <v>30</v>
      </c>
      <c r="E6" s="13" t="s">
        <v>195</v>
      </c>
      <c r="F6" s="13">
        <v>1</v>
      </c>
      <c r="G6" s="13">
        <v>0</v>
      </c>
      <c r="H6" s="13" t="s">
        <v>45</v>
      </c>
      <c r="I6" s="13">
        <v>1</v>
      </c>
      <c r="J6" s="13" t="s">
        <v>196</v>
      </c>
      <c r="K6" s="13" t="s">
        <v>34</v>
      </c>
      <c r="L6" s="13" t="s">
        <v>973</v>
      </c>
      <c r="M6" s="13" t="s">
        <v>197</v>
      </c>
      <c r="N6" s="13" t="s">
        <v>198</v>
      </c>
      <c r="O6" s="13">
        <v>1.25</v>
      </c>
      <c r="P6" s="13" t="s">
        <v>199</v>
      </c>
      <c r="Q6" s="13" t="s">
        <v>200</v>
      </c>
      <c r="R6" s="13" t="s">
        <v>201</v>
      </c>
      <c r="S6" s="13">
        <v>-0.10416666666666601</v>
      </c>
      <c r="T6" s="13">
        <v>1.3541666666666601</v>
      </c>
      <c r="U6" s="13">
        <v>1.3635706018518501</v>
      </c>
      <c r="V6" s="13">
        <v>0.17044632523148101</v>
      </c>
      <c r="W6" s="13">
        <v>1.19312427662037</v>
      </c>
      <c r="X6" s="13" t="s">
        <v>40</v>
      </c>
      <c r="Y6" s="13"/>
      <c r="Z6" s="13" t="s">
        <v>202</v>
      </c>
      <c r="AA6" s="13" t="b">
        <v>1</v>
      </c>
      <c r="AB6" s="13" t="b">
        <v>1</v>
      </c>
      <c r="AC6" s="13" t="b">
        <v>1</v>
      </c>
      <c r="AD6" s="8">
        <v>1</v>
      </c>
    </row>
    <row r="7" spans="1:30">
      <c r="A7" s="8" t="s">
        <v>43</v>
      </c>
      <c r="B7" s="8" t="s">
        <v>28</v>
      </c>
      <c r="C7" s="8" t="s">
        <v>44</v>
      </c>
      <c r="D7" s="8" t="s">
        <v>30</v>
      </c>
      <c r="E7" s="8" t="s">
        <v>31</v>
      </c>
      <c r="F7" s="8">
        <v>1</v>
      </c>
      <c r="G7" s="8">
        <v>0</v>
      </c>
      <c r="H7" s="8" t="s">
        <v>45</v>
      </c>
      <c r="I7" s="8">
        <v>1</v>
      </c>
      <c r="J7" s="8" t="s">
        <v>46</v>
      </c>
      <c r="K7" s="8" t="s">
        <v>34</v>
      </c>
      <c r="L7" s="8" t="s">
        <v>35</v>
      </c>
      <c r="M7" s="8" t="s">
        <v>36</v>
      </c>
      <c r="N7" s="8" t="s">
        <v>37</v>
      </c>
      <c r="O7" s="8">
        <v>1.5</v>
      </c>
      <c r="P7" s="8" t="s">
        <v>38</v>
      </c>
      <c r="Q7" s="8" t="s">
        <v>39</v>
      </c>
      <c r="R7" s="8" t="s">
        <v>39</v>
      </c>
      <c r="S7" s="8">
        <v>0</v>
      </c>
      <c r="T7" s="8">
        <v>1.5</v>
      </c>
      <c r="U7" s="8">
        <v>1.5104166666666601</v>
      </c>
      <c r="V7" s="8">
        <v>0.18880208333333301</v>
      </c>
      <c r="W7" s="8">
        <v>1.3216145833333299</v>
      </c>
      <c r="X7" s="8" t="s">
        <v>40</v>
      </c>
      <c r="Y7" s="8"/>
      <c r="Z7" s="8" t="s">
        <v>41</v>
      </c>
      <c r="AA7" s="8" t="b">
        <v>1</v>
      </c>
      <c r="AB7" s="8" t="b">
        <v>1</v>
      </c>
      <c r="AC7" s="8" t="b">
        <v>1</v>
      </c>
      <c r="AD7" s="8">
        <v>1</v>
      </c>
    </row>
    <row r="8" spans="1:30">
      <c r="A8" s="13" t="s">
        <v>203</v>
      </c>
      <c r="B8" s="13" t="s">
        <v>193</v>
      </c>
      <c r="C8" s="13" t="s">
        <v>204</v>
      </c>
      <c r="D8" s="13" t="s">
        <v>30</v>
      </c>
      <c r="E8" s="13" t="s">
        <v>195</v>
      </c>
      <c r="F8" s="13">
        <v>1</v>
      </c>
      <c r="G8" s="13">
        <v>0</v>
      </c>
      <c r="H8" s="13" t="s">
        <v>32</v>
      </c>
      <c r="I8" s="13">
        <v>1</v>
      </c>
      <c r="J8" s="13" t="s">
        <v>196</v>
      </c>
      <c r="K8" s="13" t="s">
        <v>34</v>
      </c>
      <c r="L8" s="13" t="s">
        <v>973</v>
      </c>
      <c r="M8" s="13" t="s">
        <v>197</v>
      </c>
      <c r="N8" s="13" t="s">
        <v>198</v>
      </c>
      <c r="O8" s="13">
        <v>1.5</v>
      </c>
      <c r="P8" s="13" t="s">
        <v>205</v>
      </c>
      <c r="Q8" s="13" t="s">
        <v>200</v>
      </c>
      <c r="R8" s="13" t="s">
        <v>201</v>
      </c>
      <c r="S8" s="13">
        <v>0.125</v>
      </c>
      <c r="T8" s="13">
        <v>1.375</v>
      </c>
      <c r="U8" s="13">
        <v>1.3845486111111101</v>
      </c>
      <c r="V8" s="13">
        <v>0.17306857638888801</v>
      </c>
      <c r="W8" s="13">
        <v>1.2114800347222201</v>
      </c>
      <c r="X8" s="13" t="s">
        <v>40</v>
      </c>
      <c r="Y8" s="13"/>
      <c r="Z8" s="13" t="s">
        <v>202</v>
      </c>
      <c r="AA8" s="13" t="b">
        <v>1</v>
      </c>
      <c r="AB8" s="13" t="b">
        <v>1</v>
      </c>
      <c r="AC8" s="13" t="b">
        <v>1</v>
      </c>
      <c r="AD8" s="8">
        <v>1</v>
      </c>
    </row>
    <row r="9" spans="1:30">
      <c r="A9" s="14" t="s">
        <v>47</v>
      </c>
      <c r="B9" s="14" t="s">
        <v>28</v>
      </c>
      <c r="C9" s="14" t="s">
        <v>48</v>
      </c>
      <c r="D9" s="14" t="s">
        <v>49</v>
      </c>
      <c r="E9" s="14" t="s">
        <v>50</v>
      </c>
      <c r="F9" s="14">
        <v>1</v>
      </c>
      <c r="G9" s="14">
        <v>0</v>
      </c>
      <c r="H9" s="14" t="s">
        <v>51</v>
      </c>
      <c r="I9" s="14">
        <v>0</v>
      </c>
      <c r="J9" s="14" t="s">
        <v>51</v>
      </c>
      <c r="K9" s="14" t="s">
        <v>34</v>
      </c>
      <c r="L9" s="14" t="s">
        <v>35</v>
      </c>
      <c r="M9" s="14" t="s">
        <v>36</v>
      </c>
      <c r="N9" s="14" t="s">
        <v>52</v>
      </c>
      <c r="O9" s="14">
        <v>0.125</v>
      </c>
      <c r="P9" s="14" t="s">
        <v>38</v>
      </c>
      <c r="Q9" s="14" t="s">
        <v>39</v>
      </c>
      <c r="R9" s="14" t="s">
        <v>39</v>
      </c>
      <c r="S9" s="14">
        <v>0</v>
      </c>
      <c r="T9" s="14">
        <v>0.125</v>
      </c>
      <c r="U9" s="14">
        <v>0.125</v>
      </c>
      <c r="V9" s="14">
        <v>1.5625E-2</v>
      </c>
      <c r="W9" s="14">
        <v>0.109375</v>
      </c>
      <c r="X9" s="14" t="s">
        <v>40</v>
      </c>
      <c r="Y9" s="14"/>
      <c r="Z9" s="14" t="s">
        <v>41</v>
      </c>
      <c r="AA9" s="14" t="b">
        <v>1</v>
      </c>
      <c r="AB9" s="14" t="b">
        <v>1</v>
      </c>
      <c r="AC9" s="14" t="b">
        <v>1</v>
      </c>
      <c r="AD9" s="8">
        <v>1</v>
      </c>
    </row>
    <row r="10" spans="1:30">
      <c r="A10" s="8" t="s">
        <v>53</v>
      </c>
      <c r="B10" s="8" t="s">
        <v>28</v>
      </c>
      <c r="C10" s="8" t="s">
        <v>54</v>
      </c>
      <c r="D10" s="8" t="s">
        <v>30</v>
      </c>
      <c r="E10" s="8" t="s">
        <v>31</v>
      </c>
      <c r="F10" s="8">
        <v>2</v>
      </c>
      <c r="G10" s="8">
        <v>0</v>
      </c>
      <c r="H10" s="8" t="s">
        <v>32</v>
      </c>
      <c r="I10" s="8">
        <v>2</v>
      </c>
      <c r="J10" s="8" t="s">
        <v>33</v>
      </c>
      <c r="K10" s="8" t="s">
        <v>34</v>
      </c>
      <c r="L10" s="8" t="s">
        <v>35</v>
      </c>
      <c r="M10" s="8" t="s">
        <v>36</v>
      </c>
      <c r="N10" s="8" t="s">
        <v>37</v>
      </c>
      <c r="O10" s="8">
        <v>2.5</v>
      </c>
      <c r="P10" s="8" t="s">
        <v>38</v>
      </c>
      <c r="Q10" s="8" t="s">
        <v>39</v>
      </c>
      <c r="R10" s="8" t="s">
        <v>39</v>
      </c>
      <c r="S10" s="8">
        <v>0</v>
      </c>
      <c r="T10" s="8">
        <v>2.5</v>
      </c>
      <c r="U10" s="8">
        <v>2.5347222222222201</v>
      </c>
      <c r="V10" s="8">
        <v>0.31684027777777701</v>
      </c>
      <c r="W10" s="8">
        <v>2.2178819444444402</v>
      </c>
      <c r="X10" s="8" t="s">
        <v>40</v>
      </c>
      <c r="Y10" s="8"/>
      <c r="Z10" s="8" t="s">
        <v>41</v>
      </c>
      <c r="AA10" s="8" t="b">
        <v>1</v>
      </c>
      <c r="AB10" s="8" t="b">
        <v>1</v>
      </c>
      <c r="AC10" s="8" t="b">
        <v>1</v>
      </c>
      <c r="AD10" s="8">
        <v>1</v>
      </c>
    </row>
    <row r="11" spans="1:30">
      <c r="A11" s="13" t="s">
        <v>206</v>
      </c>
      <c r="B11" s="13" t="s">
        <v>193</v>
      </c>
      <c r="C11" s="13" t="s">
        <v>207</v>
      </c>
      <c r="D11" s="13" t="s">
        <v>30</v>
      </c>
      <c r="E11" s="13" t="s">
        <v>195</v>
      </c>
      <c r="F11" s="13">
        <v>2</v>
      </c>
      <c r="G11" s="13">
        <v>0</v>
      </c>
      <c r="H11" s="13" t="s">
        <v>45</v>
      </c>
      <c r="I11" s="13">
        <v>2</v>
      </c>
      <c r="J11" s="13" t="s">
        <v>196</v>
      </c>
      <c r="K11" s="13" t="s">
        <v>34</v>
      </c>
      <c r="L11" s="13" t="s">
        <v>973</v>
      </c>
      <c r="M11" s="13" t="s">
        <v>197</v>
      </c>
      <c r="N11" s="13" t="s">
        <v>198</v>
      </c>
      <c r="O11" s="13">
        <v>2.5</v>
      </c>
      <c r="P11" s="13" t="s">
        <v>199</v>
      </c>
      <c r="Q11" s="13" t="s">
        <v>200</v>
      </c>
      <c r="R11" s="13" t="s">
        <v>208</v>
      </c>
      <c r="S11" s="13">
        <v>-0.41666666666666602</v>
      </c>
      <c r="T11" s="13">
        <v>2.9166666666666599</v>
      </c>
      <c r="U11" s="13">
        <v>2.9571759259259198</v>
      </c>
      <c r="V11" s="13">
        <v>0.36964699074073998</v>
      </c>
      <c r="W11" s="13">
        <v>2.5875289351851798</v>
      </c>
      <c r="X11" s="13" t="s">
        <v>40</v>
      </c>
      <c r="Y11" s="13"/>
      <c r="Z11" s="13" t="s">
        <v>202</v>
      </c>
      <c r="AA11" s="13" t="b">
        <v>1</v>
      </c>
      <c r="AB11" s="13" t="b">
        <v>1</v>
      </c>
      <c r="AC11" s="13" t="b">
        <v>1</v>
      </c>
      <c r="AD11" s="8">
        <v>1</v>
      </c>
    </row>
    <row r="12" spans="1:30">
      <c r="A12" s="8" t="s">
        <v>55</v>
      </c>
      <c r="B12" s="8" t="s">
        <v>28</v>
      </c>
      <c r="C12" s="8" t="s">
        <v>56</v>
      </c>
      <c r="D12" s="8" t="s">
        <v>30</v>
      </c>
      <c r="E12" s="8" t="s">
        <v>31</v>
      </c>
      <c r="F12" s="8">
        <v>2</v>
      </c>
      <c r="G12" s="8">
        <v>0</v>
      </c>
      <c r="H12" s="8" t="s">
        <v>45</v>
      </c>
      <c r="I12" s="8">
        <v>2</v>
      </c>
      <c r="J12" s="8" t="s">
        <v>46</v>
      </c>
      <c r="K12" s="8" t="s">
        <v>34</v>
      </c>
      <c r="L12" s="8" t="s">
        <v>35</v>
      </c>
      <c r="M12" s="8" t="s">
        <v>36</v>
      </c>
      <c r="N12" s="8" t="s">
        <v>37</v>
      </c>
      <c r="O12" s="8">
        <v>3</v>
      </c>
      <c r="P12" s="8" t="s">
        <v>38</v>
      </c>
      <c r="Q12" s="8" t="s">
        <v>39</v>
      </c>
      <c r="R12" s="8" t="s">
        <v>39</v>
      </c>
      <c r="S12" s="8">
        <v>0</v>
      </c>
      <c r="T12" s="8">
        <v>3</v>
      </c>
      <c r="U12" s="8">
        <v>3.0416666666666599</v>
      </c>
      <c r="V12" s="8">
        <v>0.38020833333333298</v>
      </c>
      <c r="W12" s="8">
        <v>2.6614583333333299</v>
      </c>
      <c r="X12" s="8" t="s">
        <v>40</v>
      </c>
      <c r="Y12" s="8"/>
      <c r="Z12" s="8" t="s">
        <v>41</v>
      </c>
      <c r="AA12" s="8" t="b">
        <v>1</v>
      </c>
      <c r="AB12" s="8" t="b">
        <v>1</v>
      </c>
      <c r="AC12" s="8" t="b">
        <v>1</v>
      </c>
      <c r="AD12" s="8">
        <v>1</v>
      </c>
    </row>
    <row r="13" spans="1:30">
      <c r="A13" s="13" t="s">
        <v>209</v>
      </c>
      <c r="B13" s="13" t="s">
        <v>193</v>
      </c>
      <c r="C13" s="13" t="s">
        <v>210</v>
      </c>
      <c r="D13" s="13" t="s">
        <v>30</v>
      </c>
      <c r="E13" s="13" t="s">
        <v>195</v>
      </c>
      <c r="F13" s="13">
        <v>2</v>
      </c>
      <c r="G13" s="13">
        <v>0</v>
      </c>
      <c r="H13" s="13" t="s">
        <v>32</v>
      </c>
      <c r="I13" s="13">
        <v>2</v>
      </c>
      <c r="J13" s="13" t="s">
        <v>196</v>
      </c>
      <c r="K13" s="13" t="s">
        <v>34</v>
      </c>
      <c r="L13" s="13" t="s">
        <v>973</v>
      </c>
      <c r="M13" s="13" t="s">
        <v>197</v>
      </c>
      <c r="N13" s="13" t="s">
        <v>198</v>
      </c>
      <c r="O13" s="13">
        <v>3</v>
      </c>
      <c r="P13" s="13" t="s">
        <v>205</v>
      </c>
      <c r="Q13" s="13" t="s">
        <v>200</v>
      </c>
      <c r="R13" s="13" t="s">
        <v>208</v>
      </c>
      <c r="S13" s="13">
        <v>0.5</v>
      </c>
      <c r="T13" s="13">
        <v>2.5</v>
      </c>
      <c r="U13" s="13">
        <v>2.5347222222222201</v>
      </c>
      <c r="V13" s="13">
        <v>0.31684027777777701</v>
      </c>
      <c r="W13" s="13">
        <v>2.2178819444444402</v>
      </c>
      <c r="X13" s="13" t="s">
        <v>40</v>
      </c>
      <c r="Y13" s="13"/>
      <c r="Z13" s="13" t="s">
        <v>202</v>
      </c>
      <c r="AA13" s="13" t="b">
        <v>1</v>
      </c>
      <c r="AB13" s="13" t="b">
        <v>1</v>
      </c>
      <c r="AC13" s="13" t="b">
        <v>1</v>
      </c>
      <c r="AD13" s="8">
        <v>1</v>
      </c>
    </row>
    <row r="14" spans="1:30">
      <c r="A14" s="14" t="s">
        <v>57</v>
      </c>
      <c r="B14" s="14" t="s">
        <v>28</v>
      </c>
      <c r="C14" s="14" t="s">
        <v>58</v>
      </c>
      <c r="D14" s="14" t="s">
        <v>49</v>
      </c>
      <c r="E14" s="14" t="s">
        <v>50</v>
      </c>
      <c r="F14" s="14">
        <v>2</v>
      </c>
      <c r="G14" s="14">
        <v>0</v>
      </c>
      <c r="H14" s="14" t="s">
        <v>51</v>
      </c>
      <c r="I14" s="14">
        <v>0</v>
      </c>
      <c r="J14" s="14" t="s">
        <v>51</v>
      </c>
      <c r="K14" s="14" t="s">
        <v>34</v>
      </c>
      <c r="L14" s="14" t="s">
        <v>35</v>
      </c>
      <c r="M14" s="14" t="s">
        <v>36</v>
      </c>
      <c r="N14" s="14" t="s">
        <v>52</v>
      </c>
      <c r="O14" s="14">
        <v>0.25</v>
      </c>
      <c r="P14" s="14" t="s">
        <v>38</v>
      </c>
      <c r="Q14" s="14" t="s">
        <v>39</v>
      </c>
      <c r="R14" s="14" t="s">
        <v>39</v>
      </c>
      <c r="S14" s="14">
        <v>0</v>
      </c>
      <c r="T14" s="14">
        <v>0.25</v>
      </c>
      <c r="U14" s="14">
        <v>0.25</v>
      </c>
      <c r="V14" s="14">
        <v>3.125E-2</v>
      </c>
      <c r="W14" s="14">
        <v>0.21875</v>
      </c>
      <c r="X14" s="14" t="s">
        <v>40</v>
      </c>
      <c r="Y14" s="14"/>
      <c r="Z14" s="14" t="s">
        <v>41</v>
      </c>
      <c r="AA14" s="14" t="b">
        <v>1</v>
      </c>
      <c r="AB14" s="14" t="b">
        <v>1</v>
      </c>
      <c r="AC14" s="14" t="b">
        <v>1</v>
      </c>
      <c r="AD14" s="8">
        <v>1</v>
      </c>
    </row>
    <row r="15" spans="1:30">
      <c r="A15" s="8" t="s">
        <v>59</v>
      </c>
      <c r="B15" s="8" t="s">
        <v>28</v>
      </c>
      <c r="C15" s="8" t="s">
        <v>60</v>
      </c>
      <c r="D15" s="8" t="s">
        <v>30</v>
      </c>
      <c r="E15" s="8" t="s">
        <v>31</v>
      </c>
      <c r="F15" s="8">
        <v>3</v>
      </c>
      <c r="G15" s="8">
        <v>0</v>
      </c>
      <c r="H15" s="8" t="s">
        <v>32</v>
      </c>
      <c r="I15" s="8">
        <v>3</v>
      </c>
      <c r="J15" s="8" t="s">
        <v>33</v>
      </c>
      <c r="K15" s="8" t="s">
        <v>34</v>
      </c>
      <c r="L15" s="8" t="s">
        <v>35</v>
      </c>
      <c r="M15" s="8" t="s">
        <v>36</v>
      </c>
      <c r="N15" s="8" t="s">
        <v>37</v>
      </c>
      <c r="O15" s="8">
        <v>3.75</v>
      </c>
      <c r="P15" s="8" t="s">
        <v>38</v>
      </c>
      <c r="Q15" s="8" t="s">
        <v>39</v>
      </c>
      <c r="R15" s="8" t="s">
        <v>39</v>
      </c>
      <c r="S15" s="8">
        <v>0</v>
      </c>
      <c r="T15" s="8">
        <v>3.75</v>
      </c>
      <c r="U15" s="8">
        <v>3.8281249999999898</v>
      </c>
      <c r="V15" s="8">
        <v>0.478515624999999</v>
      </c>
      <c r="W15" s="8">
        <v>3.3496093749999898</v>
      </c>
      <c r="X15" s="8" t="s">
        <v>40</v>
      </c>
      <c r="Y15" s="8"/>
      <c r="Z15" s="8" t="s">
        <v>41</v>
      </c>
      <c r="AA15" s="8" t="b">
        <v>1</v>
      </c>
      <c r="AB15" s="8" t="b">
        <v>1</v>
      </c>
      <c r="AC15" s="8" t="b">
        <v>1</v>
      </c>
      <c r="AD15" s="8">
        <v>1</v>
      </c>
    </row>
    <row r="16" spans="1:30">
      <c r="A16" s="13" t="s">
        <v>211</v>
      </c>
      <c r="B16" s="13" t="s">
        <v>193</v>
      </c>
      <c r="C16" s="13" t="s">
        <v>212</v>
      </c>
      <c r="D16" s="13" t="s">
        <v>30</v>
      </c>
      <c r="E16" s="13" t="s">
        <v>195</v>
      </c>
      <c r="F16" s="13">
        <v>3</v>
      </c>
      <c r="G16" s="13">
        <v>0</v>
      </c>
      <c r="H16" s="13" t="s">
        <v>45</v>
      </c>
      <c r="I16" s="13">
        <v>3</v>
      </c>
      <c r="J16" s="13" t="s">
        <v>196</v>
      </c>
      <c r="K16" s="13" t="s">
        <v>34</v>
      </c>
      <c r="L16" s="13" t="s">
        <v>973</v>
      </c>
      <c r="M16" s="13" t="s">
        <v>197</v>
      </c>
      <c r="N16" s="13" t="s">
        <v>198</v>
      </c>
      <c r="O16" s="13">
        <v>3.75</v>
      </c>
      <c r="P16" s="13" t="s">
        <v>199</v>
      </c>
      <c r="Q16" s="13" t="s">
        <v>200</v>
      </c>
      <c r="R16" s="13" t="s">
        <v>213</v>
      </c>
      <c r="S16" s="13">
        <v>-0.9375</v>
      </c>
      <c r="T16" s="13">
        <v>4.6875</v>
      </c>
      <c r="U16" s="13">
        <v>4.7851562499999902</v>
      </c>
      <c r="V16" s="13">
        <v>0.598144531249999</v>
      </c>
      <c r="W16" s="13">
        <v>4.1870117187499902</v>
      </c>
      <c r="X16" s="13" t="s">
        <v>40</v>
      </c>
      <c r="Y16" s="13"/>
      <c r="Z16" s="13" t="s">
        <v>202</v>
      </c>
      <c r="AA16" s="13" t="b">
        <v>1</v>
      </c>
      <c r="AB16" s="13" t="b">
        <v>1</v>
      </c>
      <c r="AC16" s="13" t="b">
        <v>1</v>
      </c>
      <c r="AD16" s="8">
        <v>1</v>
      </c>
    </row>
    <row r="17" spans="1:30">
      <c r="A17" s="8" t="s">
        <v>61</v>
      </c>
      <c r="B17" s="8" t="s">
        <v>28</v>
      </c>
      <c r="C17" s="8" t="s">
        <v>62</v>
      </c>
      <c r="D17" s="8" t="s">
        <v>30</v>
      </c>
      <c r="E17" s="8" t="s">
        <v>31</v>
      </c>
      <c r="F17" s="8">
        <v>3</v>
      </c>
      <c r="G17" s="8">
        <v>0</v>
      </c>
      <c r="H17" s="8" t="s">
        <v>45</v>
      </c>
      <c r="I17" s="8">
        <v>3</v>
      </c>
      <c r="J17" s="8" t="s">
        <v>46</v>
      </c>
      <c r="K17" s="8" t="s">
        <v>34</v>
      </c>
      <c r="L17" s="8" t="s">
        <v>35</v>
      </c>
      <c r="M17" s="8" t="s">
        <v>36</v>
      </c>
      <c r="N17" s="8" t="s">
        <v>37</v>
      </c>
      <c r="O17" s="8">
        <v>4.5</v>
      </c>
      <c r="P17" s="8" t="s">
        <v>38</v>
      </c>
      <c r="Q17" s="8" t="s">
        <v>39</v>
      </c>
      <c r="R17" s="8" t="s">
        <v>39</v>
      </c>
      <c r="S17" s="8">
        <v>0</v>
      </c>
      <c r="T17" s="8">
        <v>4.5</v>
      </c>
      <c r="U17" s="8">
        <v>4.5937499999999902</v>
      </c>
      <c r="V17" s="8">
        <v>0.574218749999999</v>
      </c>
      <c r="W17" s="8">
        <v>4.0195312499999902</v>
      </c>
      <c r="X17" s="8" t="s">
        <v>40</v>
      </c>
      <c r="Y17" s="8"/>
      <c r="Z17" s="8" t="s">
        <v>41</v>
      </c>
      <c r="AA17" s="8" t="b">
        <v>1</v>
      </c>
      <c r="AB17" s="8" t="b">
        <v>1</v>
      </c>
      <c r="AC17" s="8" t="b">
        <v>1</v>
      </c>
      <c r="AD17" s="8">
        <v>1</v>
      </c>
    </row>
    <row r="18" spans="1:30">
      <c r="A18" s="13" t="s">
        <v>214</v>
      </c>
      <c r="B18" s="13" t="s">
        <v>193</v>
      </c>
      <c r="C18" s="13" t="s">
        <v>215</v>
      </c>
      <c r="D18" s="13" t="s">
        <v>30</v>
      </c>
      <c r="E18" s="13" t="s">
        <v>195</v>
      </c>
      <c r="F18" s="13">
        <v>3</v>
      </c>
      <c r="G18" s="13">
        <v>0</v>
      </c>
      <c r="H18" s="13" t="s">
        <v>32</v>
      </c>
      <c r="I18" s="13">
        <v>3</v>
      </c>
      <c r="J18" s="13" t="s">
        <v>196</v>
      </c>
      <c r="K18" s="13" t="s">
        <v>34</v>
      </c>
      <c r="L18" s="13" t="s">
        <v>973</v>
      </c>
      <c r="M18" s="13" t="s">
        <v>197</v>
      </c>
      <c r="N18" s="13" t="s">
        <v>198</v>
      </c>
      <c r="O18" s="13">
        <v>4.5</v>
      </c>
      <c r="P18" s="13" t="s">
        <v>205</v>
      </c>
      <c r="Q18" s="13" t="s">
        <v>200</v>
      </c>
      <c r="R18" s="13" t="s">
        <v>213</v>
      </c>
      <c r="S18" s="13">
        <v>1.125</v>
      </c>
      <c r="T18" s="13">
        <v>3.375</v>
      </c>
      <c r="U18" s="13">
        <v>3.4453124999999898</v>
      </c>
      <c r="V18" s="13">
        <v>0.430664062499999</v>
      </c>
      <c r="W18" s="13">
        <v>3.0146484374999898</v>
      </c>
      <c r="X18" s="13" t="s">
        <v>40</v>
      </c>
      <c r="Y18" s="13"/>
      <c r="Z18" s="13" t="s">
        <v>202</v>
      </c>
      <c r="AA18" s="13" t="b">
        <v>1</v>
      </c>
      <c r="AB18" s="13" t="b">
        <v>1</v>
      </c>
      <c r="AC18" s="13" t="b">
        <v>1</v>
      </c>
      <c r="AD18" s="8">
        <v>1</v>
      </c>
    </row>
    <row r="19" spans="1:30">
      <c r="A19" s="14" t="s">
        <v>63</v>
      </c>
      <c r="B19" s="14" t="s">
        <v>28</v>
      </c>
      <c r="C19" s="14" t="s">
        <v>64</v>
      </c>
      <c r="D19" s="14" t="s">
        <v>49</v>
      </c>
      <c r="E19" s="14" t="s">
        <v>50</v>
      </c>
      <c r="F19" s="14">
        <v>3</v>
      </c>
      <c r="G19" s="14">
        <v>0</v>
      </c>
      <c r="H19" s="14" t="s">
        <v>51</v>
      </c>
      <c r="I19" s="14">
        <v>0</v>
      </c>
      <c r="J19" s="14" t="s">
        <v>51</v>
      </c>
      <c r="K19" s="14" t="s">
        <v>34</v>
      </c>
      <c r="L19" s="14" t="s">
        <v>35</v>
      </c>
      <c r="M19" s="14" t="s">
        <v>36</v>
      </c>
      <c r="N19" s="14" t="s">
        <v>52</v>
      </c>
      <c r="O19" s="14">
        <v>0.375</v>
      </c>
      <c r="P19" s="14" t="s">
        <v>38</v>
      </c>
      <c r="Q19" s="14" t="s">
        <v>39</v>
      </c>
      <c r="R19" s="14" t="s">
        <v>39</v>
      </c>
      <c r="S19" s="14">
        <v>0</v>
      </c>
      <c r="T19" s="14">
        <v>0.375</v>
      </c>
      <c r="U19" s="14">
        <v>0.375</v>
      </c>
      <c r="V19" s="14">
        <v>4.6875E-2</v>
      </c>
      <c r="W19" s="14">
        <v>0.328125</v>
      </c>
      <c r="X19" s="14" t="s">
        <v>40</v>
      </c>
      <c r="Y19" s="14"/>
      <c r="Z19" s="14" t="s">
        <v>41</v>
      </c>
      <c r="AA19" s="14" t="b">
        <v>1</v>
      </c>
      <c r="AB19" s="14" t="b">
        <v>1</v>
      </c>
      <c r="AC19" s="14" t="b">
        <v>1</v>
      </c>
      <c r="AD19" s="8">
        <v>1</v>
      </c>
    </row>
    <row r="20" spans="1:30">
      <c r="A20" s="8" t="s">
        <v>65</v>
      </c>
      <c r="B20" s="8" t="s">
        <v>28</v>
      </c>
      <c r="C20" s="8" t="s">
        <v>66</v>
      </c>
      <c r="D20" s="8" t="s">
        <v>30</v>
      </c>
      <c r="E20" s="8" t="s">
        <v>31</v>
      </c>
      <c r="F20" s="8">
        <v>4</v>
      </c>
      <c r="G20" s="8">
        <v>0</v>
      </c>
      <c r="H20" s="8" t="s">
        <v>32</v>
      </c>
      <c r="I20" s="8">
        <v>4</v>
      </c>
      <c r="J20" s="8" t="s">
        <v>33</v>
      </c>
      <c r="K20" s="8" t="s">
        <v>34</v>
      </c>
      <c r="L20" s="8" t="s">
        <v>35</v>
      </c>
      <c r="M20" s="8" t="s">
        <v>36</v>
      </c>
      <c r="N20" s="8" t="s">
        <v>37</v>
      </c>
      <c r="O20" s="8">
        <v>5</v>
      </c>
      <c r="P20" s="8" t="s">
        <v>38</v>
      </c>
      <c r="Q20" s="8" t="s">
        <v>39</v>
      </c>
      <c r="R20" s="8" t="s">
        <v>39</v>
      </c>
      <c r="S20" s="8">
        <v>0</v>
      </c>
      <c r="T20" s="8">
        <v>5</v>
      </c>
      <c r="U20" s="8">
        <v>5.1388888888888804</v>
      </c>
      <c r="V20" s="8">
        <v>0.64236111111111105</v>
      </c>
      <c r="W20" s="8">
        <v>4.4965277777777697</v>
      </c>
      <c r="X20" s="8" t="s">
        <v>40</v>
      </c>
      <c r="Y20" s="8"/>
      <c r="Z20" s="8" t="s">
        <v>41</v>
      </c>
      <c r="AA20" s="8" t="b">
        <v>1</v>
      </c>
      <c r="AB20" s="8" t="b">
        <v>1</v>
      </c>
      <c r="AC20" s="8" t="b">
        <v>1</v>
      </c>
      <c r="AD20" s="8">
        <v>1</v>
      </c>
    </row>
    <row r="21" spans="1:30">
      <c r="A21" s="13" t="s">
        <v>216</v>
      </c>
      <c r="B21" s="13" t="s">
        <v>193</v>
      </c>
      <c r="C21" s="13" t="s">
        <v>217</v>
      </c>
      <c r="D21" s="13" t="s">
        <v>30</v>
      </c>
      <c r="E21" s="13" t="s">
        <v>195</v>
      </c>
      <c r="F21" s="13">
        <v>4</v>
      </c>
      <c r="G21" s="13">
        <v>0</v>
      </c>
      <c r="H21" s="13" t="s">
        <v>45</v>
      </c>
      <c r="I21" s="13">
        <v>4</v>
      </c>
      <c r="J21" s="13" t="s">
        <v>196</v>
      </c>
      <c r="K21" s="13" t="s">
        <v>34</v>
      </c>
      <c r="L21" s="13" t="s">
        <v>973</v>
      </c>
      <c r="M21" s="13" t="s">
        <v>197</v>
      </c>
      <c r="N21" s="13" t="s">
        <v>198</v>
      </c>
      <c r="O21" s="13">
        <v>5</v>
      </c>
      <c r="P21" s="13" t="s">
        <v>199</v>
      </c>
      <c r="Q21" s="13" t="s">
        <v>200</v>
      </c>
      <c r="R21" s="13" t="s">
        <v>218</v>
      </c>
      <c r="S21" s="13">
        <v>-1.6666666666666601</v>
      </c>
      <c r="T21" s="13">
        <v>6.6666666666666599</v>
      </c>
      <c r="U21" s="13">
        <v>6.8518518518518503</v>
      </c>
      <c r="V21" s="13">
        <v>0.85648148148148096</v>
      </c>
      <c r="W21" s="13">
        <v>5.9953703703703702</v>
      </c>
      <c r="X21" s="13" t="s">
        <v>40</v>
      </c>
      <c r="Y21" s="13"/>
      <c r="Z21" s="13" t="s">
        <v>202</v>
      </c>
      <c r="AA21" s="13" t="b">
        <v>1</v>
      </c>
      <c r="AB21" s="13" t="b">
        <v>1</v>
      </c>
      <c r="AC21" s="13" t="b">
        <v>1</v>
      </c>
      <c r="AD21" s="8">
        <v>1</v>
      </c>
    </row>
    <row r="22" spans="1:30">
      <c r="A22" s="8" t="s">
        <v>67</v>
      </c>
      <c r="B22" s="8" t="s">
        <v>28</v>
      </c>
      <c r="C22" s="8" t="s">
        <v>68</v>
      </c>
      <c r="D22" s="8" t="s">
        <v>30</v>
      </c>
      <c r="E22" s="8" t="s">
        <v>31</v>
      </c>
      <c r="F22" s="8">
        <v>4</v>
      </c>
      <c r="G22" s="8">
        <v>0</v>
      </c>
      <c r="H22" s="8" t="s">
        <v>45</v>
      </c>
      <c r="I22" s="8">
        <v>4</v>
      </c>
      <c r="J22" s="8" t="s">
        <v>46</v>
      </c>
      <c r="K22" s="8" t="s">
        <v>34</v>
      </c>
      <c r="L22" s="8" t="s">
        <v>35</v>
      </c>
      <c r="M22" s="8" t="s">
        <v>36</v>
      </c>
      <c r="N22" s="8" t="s">
        <v>37</v>
      </c>
      <c r="O22" s="8">
        <v>6</v>
      </c>
      <c r="P22" s="8" t="s">
        <v>38</v>
      </c>
      <c r="Q22" s="8" t="s">
        <v>39</v>
      </c>
      <c r="R22" s="8" t="s">
        <v>39</v>
      </c>
      <c r="S22" s="8">
        <v>0</v>
      </c>
      <c r="T22" s="8">
        <v>6</v>
      </c>
      <c r="U22" s="8">
        <v>6.1666666666666599</v>
      </c>
      <c r="V22" s="8">
        <v>0.77083333333333304</v>
      </c>
      <c r="W22" s="8">
        <v>5.3958333333333304</v>
      </c>
      <c r="X22" s="8" t="s">
        <v>40</v>
      </c>
      <c r="Y22" s="8"/>
      <c r="Z22" s="8" t="s">
        <v>41</v>
      </c>
      <c r="AA22" s="8" t="b">
        <v>1</v>
      </c>
      <c r="AB22" s="8" t="b">
        <v>1</v>
      </c>
      <c r="AC22" s="8" t="b">
        <v>1</v>
      </c>
      <c r="AD22" s="8">
        <v>1</v>
      </c>
    </row>
    <row r="23" spans="1:30">
      <c r="A23" s="13" t="s">
        <v>219</v>
      </c>
      <c r="B23" s="13" t="s">
        <v>193</v>
      </c>
      <c r="C23" s="13" t="s">
        <v>220</v>
      </c>
      <c r="D23" s="13" t="s">
        <v>30</v>
      </c>
      <c r="E23" s="13" t="s">
        <v>195</v>
      </c>
      <c r="F23" s="13">
        <v>4</v>
      </c>
      <c r="G23" s="13">
        <v>0</v>
      </c>
      <c r="H23" s="13" t="s">
        <v>32</v>
      </c>
      <c r="I23" s="13">
        <v>4</v>
      </c>
      <c r="J23" s="13" t="s">
        <v>196</v>
      </c>
      <c r="K23" s="13" t="s">
        <v>34</v>
      </c>
      <c r="L23" s="13" t="s">
        <v>973</v>
      </c>
      <c r="M23" s="13" t="s">
        <v>197</v>
      </c>
      <c r="N23" s="13" t="s">
        <v>198</v>
      </c>
      <c r="O23" s="13">
        <v>6</v>
      </c>
      <c r="P23" s="13" t="s">
        <v>205</v>
      </c>
      <c r="Q23" s="13" t="s">
        <v>200</v>
      </c>
      <c r="R23" s="13" t="s">
        <v>218</v>
      </c>
      <c r="S23" s="13">
        <v>2</v>
      </c>
      <c r="T23" s="13">
        <v>4</v>
      </c>
      <c r="U23" s="13">
        <v>4.1111111111111098</v>
      </c>
      <c r="V23" s="13">
        <v>0.51388888888888795</v>
      </c>
      <c r="W23" s="13">
        <v>3.5972222222222201</v>
      </c>
      <c r="X23" s="13" t="s">
        <v>40</v>
      </c>
      <c r="Y23" s="13"/>
      <c r="Z23" s="13" t="s">
        <v>202</v>
      </c>
      <c r="AA23" s="13" t="b">
        <v>1</v>
      </c>
      <c r="AB23" s="13" t="b">
        <v>1</v>
      </c>
      <c r="AC23" s="13" t="b">
        <v>1</v>
      </c>
      <c r="AD23" s="8">
        <v>1</v>
      </c>
    </row>
    <row r="24" spans="1:30">
      <c r="A24" s="14" t="s">
        <v>69</v>
      </c>
      <c r="B24" s="14" t="s">
        <v>28</v>
      </c>
      <c r="C24" s="14" t="s">
        <v>70</v>
      </c>
      <c r="D24" s="14" t="s">
        <v>49</v>
      </c>
      <c r="E24" s="14" t="s">
        <v>50</v>
      </c>
      <c r="F24" s="14">
        <v>4</v>
      </c>
      <c r="G24" s="14">
        <v>0</v>
      </c>
      <c r="H24" s="14" t="s">
        <v>51</v>
      </c>
      <c r="I24" s="14">
        <v>0</v>
      </c>
      <c r="J24" s="14" t="s">
        <v>51</v>
      </c>
      <c r="K24" s="14" t="s">
        <v>34</v>
      </c>
      <c r="L24" s="14" t="s">
        <v>35</v>
      </c>
      <c r="M24" s="14" t="s">
        <v>36</v>
      </c>
      <c r="N24" s="14" t="s">
        <v>52</v>
      </c>
      <c r="O24" s="14">
        <v>0.5</v>
      </c>
      <c r="P24" s="14" t="s">
        <v>38</v>
      </c>
      <c r="Q24" s="14" t="s">
        <v>39</v>
      </c>
      <c r="R24" s="14" t="s">
        <v>39</v>
      </c>
      <c r="S24" s="14">
        <v>0</v>
      </c>
      <c r="T24" s="14">
        <v>0.5</v>
      </c>
      <c r="U24" s="14">
        <v>0.5</v>
      </c>
      <c r="V24" s="14">
        <v>6.25E-2</v>
      </c>
      <c r="W24" s="14">
        <v>0.4375</v>
      </c>
      <c r="X24" s="14" t="s">
        <v>40</v>
      </c>
      <c r="Y24" s="14"/>
      <c r="Z24" s="14" t="s">
        <v>41</v>
      </c>
      <c r="AA24" s="14" t="b">
        <v>1</v>
      </c>
      <c r="AB24" s="14" t="b">
        <v>1</v>
      </c>
      <c r="AC24" s="14" t="b">
        <v>1</v>
      </c>
      <c r="AD24" s="8">
        <v>1</v>
      </c>
    </row>
    <row r="25" spans="1:30">
      <c r="A25" s="8" t="s">
        <v>71</v>
      </c>
      <c r="B25" s="8" t="s">
        <v>28</v>
      </c>
      <c r="C25" s="8" t="s">
        <v>72</v>
      </c>
      <c r="D25" s="8" t="s">
        <v>30</v>
      </c>
      <c r="E25" s="8" t="s">
        <v>31</v>
      </c>
      <c r="F25" s="8">
        <v>6</v>
      </c>
      <c r="G25" s="8">
        <v>0</v>
      </c>
      <c r="H25" s="8" t="s">
        <v>32</v>
      </c>
      <c r="I25" s="8">
        <v>6</v>
      </c>
      <c r="J25" s="8" t="s">
        <v>33</v>
      </c>
      <c r="K25" s="8" t="s">
        <v>34</v>
      </c>
      <c r="L25" s="8" t="s">
        <v>35</v>
      </c>
      <c r="M25" s="8" t="s">
        <v>36</v>
      </c>
      <c r="N25" s="8" t="s">
        <v>37</v>
      </c>
      <c r="O25" s="8">
        <v>7.5</v>
      </c>
      <c r="P25" s="8" t="s">
        <v>38</v>
      </c>
      <c r="Q25" s="8" t="s">
        <v>39</v>
      </c>
      <c r="R25" s="8" t="s">
        <v>39</v>
      </c>
      <c r="S25" s="8">
        <v>0</v>
      </c>
      <c r="T25" s="8">
        <v>7.5</v>
      </c>
      <c r="U25" s="8">
        <v>7.8125</v>
      </c>
      <c r="V25" s="8">
        <v>0.9765625</v>
      </c>
      <c r="W25" s="8">
        <v>6.8359375</v>
      </c>
      <c r="X25" s="8" t="s">
        <v>40</v>
      </c>
      <c r="Y25" s="8"/>
      <c r="Z25" s="8" t="s">
        <v>41</v>
      </c>
      <c r="AA25" s="8" t="b">
        <v>1</v>
      </c>
      <c r="AB25" s="8" t="b">
        <v>1</v>
      </c>
      <c r="AC25" s="8" t="b">
        <v>1</v>
      </c>
      <c r="AD25" s="8">
        <v>1</v>
      </c>
    </row>
    <row r="26" spans="1:30">
      <c r="A26" s="13" t="s">
        <v>221</v>
      </c>
      <c r="B26" s="13" t="s">
        <v>193</v>
      </c>
      <c r="C26" s="13" t="s">
        <v>222</v>
      </c>
      <c r="D26" s="13" t="s">
        <v>30</v>
      </c>
      <c r="E26" s="13" t="s">
        <v>195</v>
      </c>
      <c r="F26" s="13">
        <v>6</v>
      </c>
      <c r="G26" s="13">
        <v>0</v>
      </c>
      <c r="H26" s="13" t="s">
        <v>45</v>
      </c>
      <c r="I26" s="13">
        <v>6</v>
      </c>
      <c r="J26" s="13" t="s">
        <v>196</v>
      </c>
      <c r="K26" s="13" t="s">
        <v>34</v>
      </c>
      <c r="L26" s="13" t="s">
        <v>973</v>
      </c>
      <c r="M26" s="13" t="s">
        <v>197</v>
      </c>
      <c r="N26" s="13" t="s">
        <v>198</v>
      </c>
      <c r="O26" s="13">
        <v>7.5</v>
      </c>
      <c r="P26" s="13" t="s">
        <v>199</v>
      </c>
      <c r="Q26" s="13" t="s">
        <v>200</v>
      </c>
      <c r="R26" s="13" t="s">
        <v>223</v>
      </c>
      <c r="S26" s="13">
        <v>-3.75</v>
      </c>
      <c r="T26" s="13">
        <v>11.25</v>
      </c>
      <c r="U26" s="13">
        <v>11.71875</v>
      </c>
      <c r="V26" s="13">
        <v>1.46484375</v>
      </c>
      <c r="W26" s="13">
        <v>10.25390625</v>
      </c>
      <c r="X26" s="13" t="s">
        <v>40</v>
      </c>
      <c r="Y26" s="13"/>
      <c r="Z26" s="13" t="s">
        <v>202</v>
      </c>
      <c r="AA26" s="13" t="b">
        <v>1</v>
      </c>
      <c r="AB26" s="13" t="b">
        <v>1</v>
      </c>
      <c r="AC26" s="13" t="b">
        <v>1</v>
      </c>
      <c r="AD26" s="8">
        <v>1</v>
      </c>
    </row>
    <row r="27" spans="1:30">
      <c r="A27" s="8" t="s">
        <v>73</v>
      </c>
      <c r="B27" s="8" t="s">
        <v>28</v>
      </c>
      <c r="C27" s="8" t="s">
        <v>74</v>
      </c>
      <c r="D27" s="8" t="s">
        <v>30</v>
      </c>
      <c r="E27" s="8" t="s">
        <v>31</v>
      </c>
      <c r="F27" s="8">
        <v>6</v>
      </c>
      <c r="G27" s="8">
        <v>0</v>
      </c>
      <c r="H27" s="8" t="s">
        <v>45</v>
      </c>
      <c r="I27" s="8">
        <v>6</v>
      </c>
      <c r="J27" s="8" t="s">
        <v>46</v>
      </c>
      <c r="K27" s="8" t="s">
        <v>34</v>
      </c>
      <c r="L27" s="8" t="s">
        <v>35</v>
      </c>
      <c r="M27" s="8" t="s">
        <v>36</v>
      </c>
      <c r="N27" s="8" t="s">
        <v>37</v>
      </c>
      <c r="O27" s="8">
        <v>9</v>
      </c>
      <c r="P27" s="8" t="s">
        <v>38</v>
      </c>
      <c r="Q27" s="8" t="s">
        <v>39</v>
      </c>
      <c r="R27" s="8" t="s">
        <v>39</v>
      </c>
      <c r="S27" s="8">
        <v>0</v>
      </c>
      <c r="T27" s="8">
        <v>9</v>
      </c>
      <c r="U27" s="8">
        <v>9.375</v>
      </c>
      <c r="V27" s="8">
        <v>1.171875</v>
      </c>
      <c r="W27" s="8">
        <v>8.203125</v>
      </c>
      <c r="X27" s="8" t="s">
        <v>40</v>
      </c>
      <c r="Y27" s="8"/>
      <c r="Z27" s="8" t="s">
        <v>41</v>
      </c>
      <c r="AA27" s="8" t="b">
        <v>1</v>
      </c>
      <c r="AB27" s="8" t="b">
        <v>1</v>
      </c>
      <c r="AC27" s="8" t="b">
        <v>1</v>
      </c>
      <c r="AD27" s="8">
        <v>1</v>
      </c>
    </row>
    <row r="28" spans="1:30">
      <c r="A28" s="13" t="s">
        <v>224</v>
      </c>
      <c r="B28" s="13" t="s">
        <v>193</v>
      </c>
      <c r="C28" s="13" t="s">
        <v>225</v>
      </c>
      <c r="D28" s="13" t="s">
        <v>30</v>
      </c>
      <c r="E28" s="13" t="s">
        <v>195</v>
      </c>
      <c r="F28" s="13">
        <v>6</v>
      </c>
      <c r="G28" s="13">
        <v>0</v>
      </c>
      <c r="H28" s="13" t="s">
        <v>32</v>
      </c>
      <c r="I28" s="13">
        <v>6</v>
      </c>
      <c r="J28" s="13" t="s">
        <v>196</v>
      </c>
      <c r="K28" s="13" t="s">
        <v>34</v>
      </c>
      <c r="L28" s="13" t="s">
        <v>973</v>
      </c>
      <c r="M28" s="13" t="s">
        <v>197</v>
      </c>
      <c r="N28" s="13" t="s">
        <v>198</v>
      </c>
      <c r="O28" s="13">
        <v>9</v>
      </c>
      <c r="P28" s="13" t="s">
        <v>205</v>
      </c>
      <c r="Q28" s="13" t="s">
        <v>200</v>
      </c>
      <c r="R28" s="13" t="s">
        <v>223</v>
      </c>
      <c r="S28" s="13">
        <v>4.5</v>
      </c>
      <c r="T28" s="13">
        <v>4.5</v>
      </c>
      <c r="U28" s="13">
        <v>4.6875</v>
      </c>
      <c r="V28" s="13">
        <v>0.5859375</v>
      </c>
      <c r="W28" s="13">
        <v>4.1015625</v>
      </c>
      <c r="X28" s="13" t="s">
        <v>40</v>
      </c>
      <c r="Y28" s="13"/>
      <c r="Z28" s="13" t="s">
        <v>202</v>
      </c>
      <c r="AA28" s="13" t="b">
        <v>1</v>
      </c>
      <c r="AB28" s="13" t="b">
        <v>1</v>
      </c>
      <c r="AC28" s="13" t="b">
        <v>1</v>
      </c>
      <c r="AD28" s="8">
        <v>1</v>
      </c>
    </row>
    <row r="29" spans="1:30">
      <c r="A29" s="14" t="s">
        <v>75</v>
      </c>
      <c r="B29" s="14" t="s">
        <v>28</v>
      </c>
      <c r="C29" s="14" t="s">
        <v>76</v>
      </c>
      <c r="D29" s="14" t="s">
        <v>49</v>
      </c>
      <c r="E29" s="14" t="s">
        <v>50</v>
      </c>
      <c r="F29" s="14">
        <v>6</v>
      </c>
      <c r="G29" s="14">
        <v>0</v>
      </c>
      <c r="H29" s="14" t="s">
        <v>51</v>
      </c>
      <c r="I29" s="14">
        <v>0</v>
      </c>
      <c r="J29" s="14" t="s">
        <v>51</v>
      </c>
      <c r="K29" s="14" t="s">
        <v>34</v>
      </c>
      <c r="L29" s="14" t="s">
        <v>35</v>
      </c>
      <c r="M29" s="14" t="s">
        <v>36</v>
      </c>
      <c r="N29" s="14" t="s">
        <v>52</v>
      </c>
      <c r="O29" s="14">
        <v>0.75</v>
      </c>
      <c r="P29" s="14" t="s">
        <v>38</v>
      </c>
      <c r="Q29" s="14" t="s">
        <v>39</v>
      </c>
      <c r="R29" s="14" t="s">
        <v>39</v>
      </c>
      <c r="S29" s="14">
        <v>0</v>
      </c>
      <c r="T29" s="14">
        <v>0.75</v>
      </c>
      <c r="U29" s="14">
        <v>0.75</v>
      </c>
      <c r="V29" s="14">
        <v>9.375E-2</v>
      </c>
      <c r="W29" s="14">
        <v>0.65625</v>
      </c>
      <c r="X29" s="14" t="s">
        <v>40</v>
      </c>
      <c r="Y29" s="14"/>
      <c r="Z29" s="14" t="s">
        <v>41</v>
      </c>
      <c r="AA29" s="14" t="b">
        <v>1</v>
      </c>
      <c r="AB29" s="14" t="b">
        <v>1</v>
      </c>
      <c r="AC29" s="14" t="b">
        <v>1</v>
      </c>
      <c r="AD29" s="8">
        <v>1</v>
      </c>
    </row>
    <row r="30" spans="1:30">
      <c r="A30" s="8" t="s">
        <v>77</v>
      </c>
      <c r="B30" s="8" t="s">
        <v>28</v>
      </c>
      <c r="C30" s="8" t="s">
        <v>78</v>
      </c>
      <c r="D30" s="8" t="s">
        <v>30</v>
      </c>
      <c r="E30" s="8" t="s">
        <v>31</v>
      </c>
      <c r="F30" s="8">
        <v>8</v>
      </c>
      <c r="G30" s="8">
        <v>0</v>
      </c>
      <c r="H30" s="8" t="s">
        <v>32</v>
      </c>
      <c r="I30" s="8">
        <v>8</v>
      </c>
      <c r="J30" s="8" t="s">
        <v>33</v>
      </c>
      <c r="K30" s="8" t="s">
        <v>34</v>
      </c>
      <c r="L30" s="8" t="s">
        <v>35</v>
      </c>
      <c r="M30" s="8" t="s">
        <v>36</v>
      </c>
      <c r="N30" s="8" t="s">
        <v>37</v>
      </c>
      <c r="O30" s="8">
        <v>10</v>
      </c>
      <c r="P30" s="8" t="s">
        <v>38</v>
      </c>
      <c r="Q30" s="8" t="s">
        <v>39</v>
      </c>
      <c r="R30" s="8" t="s">
        <v>39</v>
      </c>
      <c r="S30" s="8">
        <v>0</v>
      </c>
      <c r="T30" s="8">
        <v>10</v>
      </c>
      <c r="U30" s="8">
        <v>10.5555555555555</v>
      </c>
      <c r="V30" s="8">
        <v>1.31944444444444</v>
      </c>
      <c r="W30" s="8">
        <v>9.2361111111111107</v>
      </c>
      <c r="X30" s="8" t="s">
        <v>40</v>
      </c>
      <c r="Y30" s="8"/>
      <c r="Z30" s="8" t="s">
        <v>41</v>
      </c>
      <c r="AA30" s="8" t="b">
        <v>1</v>
      </c>
      <c r="AB30" s="8" t="b">
        <v>1</v>
      </c>
      <c r="AC30" s="8" t="b">
        <v>1</v>
      </c>
      <c r="AD30" s="8">
        <v>1</v>
      </c>
    </row>
    <row r="31" spans="1:30">
      <c r="A31" s="13" t="s">
        <v>226</v>
      </c>
      <c r="B31" s="13" t="s">
        <v>193</v>
      </c>
      <c r="C31" s="13" t="s">
        <v>227</v>
      </c>
      <c r="D31" s="13" t="s">
        <v>30</v>
      </c>
      <c r="E31" s="13" t="s">
        <v>195</v>
      </c>
      <c r="F31" s="13">
        <v>8</v>
      </c>
      <c r="G31" s="13">
        <v>0</v>
      </c>
      <c r="H31" s="13" t="s">
        <v>45</v>
      </c>
      <c r="I31" s="13">
        <v>8</v>
      </c>
      <c r="J31" s="13" t="s">
        <v>196</v>
      </c>
      <c r="K31" s="13" t="s">
        <v>34</v>
      </c>
      <c r="L31" s="13" t="s">
        <v>973</v>
      </c>
      <c r="M31" s="13" t="s">
        <v>197</v>
      </c>
      <c r="N31" s="13" t="s">
        <v>198</v>
      </c>
      <c r="O31" s="13">
        <v>10</v>
      </c>
      <c r="P31" s="13" t="s">
        <v>199</v>
      </c>
      <c r="Q31" s="13" t="s">
        <v>200</v>
      </c>
      <c r="R31" s="13" t="s">
        <v>228</v>
      </c>
      <c r="S31" s="13">
        <v>-6.6666666666666599</v>
      </c>
      <c r="T31" s="13">
        <v>16.6666666666666</v>
      </c>
      <c r="U31" s="13">
        <v>17.592592592592499</v>
      </c>
      <c r="V31" s="13">
        <v>2.19907407407407</v>
      </c>
      <c r="W31" s="13">
        <v>15.3935185185185</v>
      </c>
      <c r="X31" s="13" t="s">
        <v>40</v>
      </c>
      <c r="Y31" s="13"/>
      <c r="Z31" s="13" t="s">
        <v>202</v>
      </c>
      <c r="AA31" s="13" t="b">
        <v>1</v>
      </c>
      <c r="AB31" s="13" t="b">
        <v>1</v>
      </c>
      <c r="AC31" s="13" t="b">
        <v>1</v>
      </c>
      <c r="AD31" s="8">
        <v>1</v>
      </c>
    </row>
    <row r="32" spans="1:30">
      <c r="A32" s="8" t="s">
        <v>79</v>
      </c>
      <c r="B32" s="8" t="s">
        <v>28</v>
      </c>
      <c r="C32" s="8" t="s">
        <v>80</v>
      </c>
      <c r="D32" s="8" t="s">
        <v>30</v>
      </c>
      <c r="E32" s="8" t="s">
        <v>31</v>
      </c>
      <c r="F32" s="8">
        <v>8</v>
      </c>
      <c r="G32" s="8">
        <v>0</v>
      </c>
      <c r="H32" s="8" t="s">
        <v>45</v>
      </c>
      <c r="I32" s="8">
        <v>8</v>
      </c>
      <c r="J32" s="8" t="s">
        <v>46</v>
      </c>
      <c r="K32" s="8" t="s">
        <v>34</v>
      </c>
      <c r="L32" s="8" t="s">
        <v>35</v>
      </c>
      <c r="M32" s="8" t="s">
        <v>36</v>
      </c>
      <c r="N32" s="8" t="s">
        <v>37</v>
      </c>
      <c r="O32" s="8">
        <v>12</v>
      </c>
      <c r="P32" s="8" t="s">
        <v>38</v>
      </c>
      <c r="Q32" s="8" t="s">
        <v>39</v>
      </c>
      <c r="R32" s="8" t="s">
        <v>39</v>
      </c>
      <c r="S32" s="8">
        <v>0</v>
      </c>
      <c r="T32" s="8">
        <v>12</v>
      </c>
      <c r="U32" s="8">
        <v>12.6666666666666</v>
      </c>
      <c r="V32" s="8">
        <v>1.5833333333333299</v>
      </c>
      <c r="W32" s="8">
        <v>11.0833333333333</v>
      </c>
      <c r="X32" s="8" t="s">
        <v>40</v>
      </c>
      <c r="Y32" s="8"/>
      <c r="Z32" s="8" t="s">
        <v>41</v>
      </c>
      <c r="AA32" s="8" t="b">
        <v>1</v>
      </c>
      <c r="AB32" s="8" t="b">
        <v>1</v>
      </c>
      <c r="AC32" s="8" t="b">
        <v>1</v>
      </c>
      <c r="AD32" s="8">
        <v>1</v>
      </c>
    </row>
    <row r="33" spans="1:30">
      <c r="A33" s="13" t="s">
        <v>229</v>
      </c>
      <c r="B33" s="13" t="s">
        <v>193</v>
      </c>
      <c r="C33" s="13" t="s">
        <v>230</v>
      </c>
      <c r="D33" s="13" t="s">
        <v>30</v>
      </c>
      <c r="E33" s="13" t="s">
        <v>195</v>
      </c>
      <c r="F33" s="13">
        <v>8</v>
      </c>
      <c r="G33" s="13">
        <v>0</v>
      </c>
      <c r="H33" s="13" t="s">
        <v>32</v>
      </c>
      <c r="I33" s="13">
        <v>8</v>
      </c>
      <c r="J33" s="13" t="s">
        <v>196</v>
      </c>
      <c r="K33" s="13" t="s">
        <v>34</v>
      </c>
      <c r="L33" s="13" t="s">
        <v>973</v>
      </c>
      <c r="M33" s="13" t="s">
        <v>197</v>
      </c>
      <c r="N33" s="13" t="s">
        <v>198</v>
      </c>
      <c r="O33" s="13">
        <v>12</v>
      </c>
      <c r="P33" s="13" t="s">
        <v>205</v>
      </c>
      <c r="Q33" s="13" t="s">
        <v>200</v>
      </c>
      <c r="R33" s="13" t="s">
        <v>228</v>
      </c>
      <c r="S33" s="13">
        <v>8</v>
      </c>
      <c r="T33" s="13">
        <v>4</v>
      </c>
      <c r="U33" s="13">
        <v>4.2222222222222197</v>
      </c>
      <c r="V33" s="13">
        <v>0.52777777777777701</v>
      </c>
      <c r="W33" s="13">
        <v>3.6944444444444402</v>
      </c>
      <c r="X33" s="13" t="s">
        <v>40</v>
      </c>
      <c r="Y33" s="13"/>
      <c r="Z33" s="13" t="s">
        <v>202</v>
      </c>
      <c r="AA33" s="13" t="b">
        <v>1</v>
      </c>
      <c r="AB33" s="13" t="b">
        <v>1</v>
      </c>
      <c r="AC33" s="13" t="b">
        <v>1</v>
      </c>
      <c r="AD33" s="8">
        <v>1</v>
      </c>
    </row>
    <row r="34" spans="1:30">
      <c r="A34" s="14" t="s">
        <v>81</v>
      </c>
      <c r="B34" s="14" t="s">
        <v>28</v>
      </c>
      <c r="C34" s="14" t="s">
        <v>82</v>
      </c>
      <c r="D34" s="14" t="s">
        <v>49</v>
      </c>
      <c r="E34" s="14" t="s">
        <v>50</v>
      </c>
      <c r="F34" s="14">
        <v>8</v>
      </c>
      <c r="G34" s="14">
        <v>0</v>
      </c>
      <c r="H34" s="14" t="s">
        <v>51</v>
      </c>
      <c r="I34" s="14">
        <v>0</v>
      </c>
      <c r="J34" s="14" t="s">
        <v>51</v>
      </c>
      <c r="K34" s="14" t="s">
        <v>34</v>
      </c>
      <c r="L34" s="14" t="s">
        <v>35</v>
      </c>
      <c r="M34" s="14" t="s">
        <v>36</v>
      </c>
      <c r="N34" s="14" t="s">
        <v>52</v>
      </c>
      <c r="O34" s="14">
        <v>1</v>
      </c>
      <c r="P34" s="14" t="s">
        <v>38</v>
      </c>
      <c r="Q34" s="14" t="s">
        <v>39</v>
      </c>
      <c r="R34" s="14" t="s">
        <v>39</v>
      </c>
      <c r="S34" s="14">
        <v>0</v>
      </c>
      <c r="T34" s="14">
        <v>1</v>
      </c>
      <c r="U34" s="14">
        <v>1</v>
      </c>
      <c r="V34" s="14">
        <v>0.125</v>
      </c>
      <c r="W34" s="14">
        <v>0.875</v>
      </c>
      <c r="X34" s="14" t="s">
        <v>40</v>
      </c>
      <c r="Y34" s="14"/>
      <c r="Z34" s="14" t="s">
        <v>41</v>
      </c>
      <c r="AA34" s="14" t="b">
        <v>1</v>
      </c>
      <c r="AB34" s="14" t="b">
        <v>1</v>
      </c>
      <c r="AC34" s="14" t="b">
        <v>1</v>
      </c>
      <c r="AD34" s="8">
        <v>1</v>
      </c>
    </row>
    <row r="35" spans="1:30">
      <c r="A35" s="8" t="s">
        <v>83</v>
      </c>
      <c r="B35" s="8" t="s">
        <v>28</v>
      </c>
      <c r="C35" s="8" t="s">
        <v>84</v>
      </c>
      <c r="D35" s="8" t="s">
        <v>30</v>
      </c>
      <c r="E35" s="8" t="s">
        <v>31</v>
      </c>
      <c r="F35" s="8">
        <v>9</v>
      </c>
      <c r="G35" s="8">
        <v>0</v>
      </c>
      <c r="H35" s="8" t="s">
        <v>32</v>
      </c>
      <c r="I35" s="8">
        <v>9</v>
      </c>
      <c r="J35" s="8" t="s">
        <v>33</v>
      </c>
      <c r="K35" s="8" t="s">
        <v>34</v>
      </c>
      <c r="L35" s="8" t="s">
        <v>35</v>
      </c>
      <c r="M35" s="8" t="s">
        <v>36</v>
      </c>
      <c r="N35" s="8" t="s">
        <v>37</v>
      </c>
      <c r="O35" s="8">
        <v>11.25</v>
      </c>
      <c r="P35" s="8" t="s">
        <v>38</v>
      </c>
      <c r="Q35" s="8" t="s">
        <v>39</v>
      </c>
      <c r="R35" s="8" t="s">
        <v>39</v>
      </c>
      <c r="S35" s="8">
        <v>0</v>
      </c>
      <c r="T35" s="8">
        <v>11.25</v>
      </c>
      <c r="U35" s="8">
        <v>11.953125</v>
      </c>
      <c r="V35" s="8">
        <v>1.494140625</v>
      </c>
      <c r="W35" s="8">
        <v>10.458984375</v>
      </c>
      <c r="X35" s="8" t="s">
        <v>40</v>
      </c>
      <c r="Y35" s="8"/>
      <c r="Z35" s="8" t="s">
        <v>41</v>
      </c>
      <c r="AA35" s="8" t="b">
        <v>1</v>
      </c>
      <c r="AB35" s="8" t="b">
        <v>1</v>
      </c>
      <c r="AC35" s="8" t="b">
        <v>1</v>
      </c>
      <c r="AD35" s="8">
        <v>1</v>
      </c>
    </row>
    <row r="36" spans="1:30">
      <c r="A36" s="13" t="s">
        <v>231</v>
      </c>
      <c r="B36" s="13" t="s">
        <v>193</v>
      </c>
      <c r="C36" s="13" t="s">
        <v>232</v>
      </c>
      <c r="D36" s="13" t="s">
        <v>30</v>
      </c>
      <c r="E36" s="13" t="s">
        <v>195</v>
      </c>
      <c r="F36" s="13">
        <v>9</v>
      </c>
      <c r="G36" s="13">
        <v>0</v>
      </c>
      <c r="H36" s="13" t="s">
        <v>45</v>
      </c>
      <c r="I36" s="13">
        <v>9</v>
      </c>
      <c r="J36" s="13" t="s">
        <v>196</v>
      </c>
      <c r="K36" s="13" t="s">
        <v>34</v>
      </c>
      <c r="L36" s="13" t="s">
        <v>973</v>
      </c>
      <c r="M36" s="13" t="s">
        <v>197</v>
      </c>
      <c r="N36" s="13" t="s">
        <v>198</v>
      </c>
      <c r="O36" s="13">
        <v>11.25</v>
      </c>
      <c r="P36" s="13" t="s">
        <v>199</v>
      </c>
      <c r="Q36" s="13" t="s">
        <v>200</v>
      </c>
      <c r="R36" s="13" t="s">
        <v>233</v>
      </c>
      <c r="S36" s="13">
        <v>-8.4375</v>
      </c>
      <c r="T36" s="13">
        <v>19.6875</v>
      </c>
      <c r="U36" s="13">
        <v>20.91796875</v>
      </c>
      <c r="V36" s="13">
        <v>2.61474609375</v>
      </c>
      <c r="W36" s="13">
        <v>18.30322265625</v>
      </c>
      <c r="X36" s="13" t="s">
        <v>40</v>
      </c>
      <c r="Y36" s="13"/>
      <c r="Z36" s="13" t="s">
        <v>202</v>
      </c>
      <c r="AA36" s="13" t="b">
        <v>1</v>
      </c>
      <c r="AB36" s="13" t="b">
        <v>1</v>
      </c>
      <c r="AC36" s="13" t="b">
        <v>1</v>
      </c>
      <c r="AD36" s="8">
        <v>1</v>
      </c>
    </row>
    <row r="37" spans="1:30">
      <c r="A37" s="8" t="s">
        <v>85</v>
      </c>
      <c r="B37" s="8" t="s">
        <v>28</v>
      </c>
      <c r="C37" s="8" t="s">
        <v>86</v>
      </c>
      <c r="D37" s="8" t="s">
        <v>30</v>
      </c>
      <c r="E37" s="8" t="s">
        <v>31</v>
      </c>
      <c r="F37" s="8">
        <v>9</v>
      </c>
      <c r="G37" s="8">
        <v>0</v>
      </c>
      <c r="H37" s="8" t="s">
        <v>45</v>
      </c>
      <c r="I37" s="8">
        <v>9</v>
      </c>
      <c r="J37" s="8" t="s">
        <v>46</v>
      </c>
      <c r="K37" s="8" t="s">
        <v>34</v>
      </c>
      <c r="L37" s="8" t="s">
        <v>35</v>
      </c>
      <c r="M37" s="8" t="s">
        <v>36</v>
      </c>
      <c r="N37" s="8" t="s">
        <v>37</v>
      </c>
      <c r="O37" s="8">
        <v>13.5</v>
      </c>
      <c r="P37" s="8" t="s">
        <v>38</v>
      </c>
      <c r="Q37" s="8" t="s">
        <v>39</v>
      </c>
      <c r="R37" s="8" t="s">
        <v>39</v>
      </c>
      <c r="S37" s="8">
        <v>0</v>
      </c>
      <c r="T37" s="8">
        <v>13.5</v>
      </c>
      <c r="U37" s="8">
        <v>14.34375</v>
      </c>
      <c r="V37" s="8">
        <v>1.79296875</v>
      </c>
      <c r="W37" s="8">
        <v>12.55078125</v>
      </c>
      <c r="X37" s="8" t="s">
        <v>40</v>
      </c>
      <c r="Y37" s="8"/>
      <c r="Z37" s="8" t="s">
        <v>41</v>
      </c>
      <c r="AA37" s="8" t="b">
        <v>1</v>
      </c>
      <c r="AB37" s="8" t="b">
        <v>1</v>
      </c>
      <c r="AC37" s="8" t="b">
        <v>1</v>
      </c>
      <c r="AD37" s="8">
        <v>1</v>
      </c>
    </row>
    <row r="38" spans="1:30">
      <c r="A38" s="13" t="s">
        <v>234</v>
      </c>
      <c r="B38" s="13" t="s">
        <v>193</v>
      </c>
      <c r="C38" s="13" t="s">
        <v>235</v>
      </c>
      <c r="D38" s="13" t="s">
        <v>30</v>
      </c>
      <c r="E38" s="13" t="s">
        <v>195</v>
      </c>
      <c r="F38" s="13">
        <v>9</v>
      </c>
      <c r="G38" s="13">
        <v>0</v>
      </c>
      <c r="H38" s="13" t="s">
        <v>32</v>
      </c>
      <c r="I38" s="13">
        <v>9</v>
      </c>
      <c r="J38" s="13" t="s">
        <v>196</v>
      </c>
      <c r="K38" s="13" t="s">
        <v>34</v>
      </c>
      <c r="L38" s="13" t="s">
        <v>973</v>
      </c>
      <c r="M38" s="13" t="s">
        <v>197</v>
      </c>
      <c r="N38" s="13" t="s">
        <v>198</v>
      </c>
      <c r="O38" s="13">
        <v>13.5</v>
      </c>
      <c r="P38" s="13" t="s">
        <v>205</v>
      </c>
      <c r="Q38" s="13" t="s">
        <v>200</v>
      </c>
      <c r="R38" s="13" t="s">
        <v>233</v>
      </c>
      <c r="S38" s="13">
        <v>10.125</v>
      </c>
      <c r="T38" s="13">
        <v>3.375</v>
      </c>
      <c r="U38" s="13">
        <v>3.5859375</v>
      </c>
      <c r="V38" s="13">
        <v>0.4482421875</v>
      </c>
      <c r="W38" s="13">
        <v>3.1376953125</v>
      </c>
      <c r="X38" s="13" t="s">
        <v>40</v>
      </c>
      <c r="Y38" s="13"/>
      <c r="Z38" s="13" t="s">
        <v>202</v>
      </c>
      <c r="AA38" s="13" t="b">
        <v>1</v>
      </c>
      <c r="AB38" s="13" t="b">
        <v>1</v>
      </c>
      <c r="AC38" s="13" t="b">
        <v>1</v>
      </c>
      <c r="AD38" s="8">
        <v>1</v>
      </c>
    </row>
    <row r="39" spans="1:30">
      <c r="A39" s="14" t="s">
        <v>87</v>
      </c>
      <c r="B39" s="14" t="s">
        <v>28</v>
      </c>
      <c r="C39" s="14" t="s">
        <v>88</v>
      </c>
      <c r="D39" s="14" t="s">
        <v>49</v>
      </c>
      <c r="E39" s="14" t="s">
        <v>50</v>
      </c>
      <c r="F39" s="14">
        <v>9</v>
      </c>
      <c r="G39" s="14">
        <v>0</v>
      </c>
      <c r="H39" s="14" t="s">
        <v>51</v>
      </c>
      <c r="I39" s="14">
        <v>0</v>
      </c>
      <c r="J39" s="14" t="s">
        <v>51</v>
      </c>
      <c r="K39" s="14" t="s">
        <v>34</v>
      </c>
      <c r="L39" s="14" t="s">
        <v>35</v>
      </c>
      <c r="M39" s="14" t="s">
        <v>36</v>
      </c>
      <c r="N39" s="14" t="s">
        <v>52</v>
      </c>
      <c r="O39" s="14">
        <v>1.125</v>
      </c>
      <c r="P39" s="14" t="s">
        <v>38</v>
      </c>
      <c r="Q39" s="14" t="s">
        <v>39</v>
      </c>
      <c r="R39" s="14" t="s">
        <v>39</v>
      </c>
      <c r="S39" s="14">
        <v>0</v>
      </c>
      <c r="T39" s="14">
        <v>1.125</v>
      </c>
      <c r="U39" s="14">
        <v>1.125</v>
      </c>
      <c r="V39" s="14">
        <v>0.140625</v>
      </c>
      <c r="W39" s="14">
        <v>0.984375</v>
      </c>
      <c r="X39" s="14" t="s">
        <v>40</v>
      </c>
      <c r="Y39" s="14"/>
      <c r="Z39" s="14" t="s">
        <v>41</v>
      </c>
      <c r="AA39" s="14" t="b">
        <v>1</v>
      </c>
      <c r="AB39" s="14" t="b">
        <v>1</v>
      </c>
      <c r="AC39" s="14" t="b">
        <v>1</v>
      </c>
      <c r="AD39" s="8">
        <v>1</v>
      </c>
    </row>
    <row r="40" spans="1:30">
      <c r="A40" s="8" t="s">
        <v>89</v>
      </c>
      <c r="B40" s="8" t="s">
        <v>28</v>
      </c>
      <c r="C40" s="8" t="s">
        <v>90</v>
      </c>
      <c r="D40" s="8" t="s">
        <v>30</v>
      </c>
      <c r="E40" s="8" t="s">
        <v>31</v>
      </c>
      <c r="F40" s="8">
        <v>12</v>
      </c>
      <c r="G40" s="8">
        <v>0</v>
      </c>
      <c r="H40" s="8" t="s">
        <v>32</v>
      </c>
      <c r="I40" s="8">
        <v>12</v>
      </c>
      <c r="J40" s="8" t="s">
        <v>33</v>
      </c>
      <c r="K40" s="8" t="s">
        <v>34</v>
      </c>
      <c r="L40" s="8" t="s">
        <v>35</v>
      </c>
      <c r="M40" s="8" t="s">
        <v>36</v>
      </c>
      <c r="N40" s="8" t="s">
        <v>37</v>
      </c>
      <c r="O40" s="8">
        <v>15</v>
      </c>
      <c r="P40" s="8" t="s">
        <v>38</v>
      </c>
      <c r="Q40" s="8" t="s">
        <v>39</v>
      </c>
      <c r="R40" s="8" t="s">
        <v>39</v>
      </c>
      <c r="S40" s="8">
        <v>0</v>
      </c>
      <c r="T40" s="8">
        <v>15</v>
      </c>
      <c r="U40" s="8">
        <v>16.25</v>
      </c>
      <c r="V40" s="8">
        <v>2.03125</v>
      </c>
      <c r="W40" s="8">
        <v>14.21875</v>
      </c>
      <c r="X40" s="8" t="s">
        <v>40</v>
      </c>
      <c r="Y40" s="8"/>
      <c r="Z40" s="8" t="s">
        <v>41</v>
      </c>
      <c r="AA40" s="8" t="b">
        <v>1</v>
      </c>
      <c r="AB40" s="8" t="b">
        <v>1</v>
      </c>
      <c r="AC40" s="8" t="b">
        <v>1</v>
      </c>
      <c r="AD40" s="8">
        <v>1</v>
      </c>
    </row>
    <row r="41" spans="1:30">
      <c r="A41" s="13" t="s">
        <v>236</v>
      </c>
      <c r="B41" s="13" t="s">
        <v>193</v>
      </c>
      <c r="C41" s="13" t="s">
        <v>237</v>
      </c>
      <c r="D41" s="13" t="s">
        <v>30</v>
      </c>
      <c r="E41" s="13" t="s">
        <v>195</v>
      </c>
      <c r="F41" s="13">
        <v>12</v>
      </c>
      <c r="G41" s="13">
        <v>0</v>
      </c>
      <c r="H41" s="13" t="s">
        <v>45</v>
      </c>
      <c r="I41" s="13">
        <v>12</v>
      </c>
      <c r="J41" s="13" t="s">
        <v>196</v>
      </c>
      <c r="K41" s="13" t="s">
        <v>34</v>
      </c>
      <c r="L41" s="13" t="s">
        <v>973</v>
      </c>
      <c r="M41" s="13" t="s">
        <v>197</v>
      </c>
      <c r="N41" s="13" t="s">
        <v>198</v>
      </c>
      <c r="O41" s="13">
        <v>15</v>
      </c>
      <c r="P41" s="13" t="s">
        <v>199</v>
      </c>
      <c r="Q41" s="13" t="s">
        <v>200</v>
      </c>
      <c r="R41" s="13" t="s">
        <v>238</v>
      </c>
      <c r="S41" s="13">
        <v>-15</v>
      </c>
      <c r="T41" s="13">
        <v>30</v>
      </c>
      <c r="U41" s="13">
        <v>32.499999999999901</v>
      </c>
      <c r="V41" s="13">
        <v>4.0624999999999902</v>
      </c>
      <c r="W41" s="13">
        <v>28.437499999999901</v>
      </c>
      <c r="X41" s="13" t="s">
        <v>40</v>
      </c>
      <c r="Y41" s="13"/>
      <c r="Z41" s="13" t="s">
        <v>202</v>
      </c>
      <c r="AA41" s="13" t="b">
        <v>1</v>
      </c>
      <c r="AB41" s="13" t="b">
        <v>1</v>
      </c>
      <c r="AC41" s="13" t="b">
        <v>1</v>
      </c>
      <c r="AD41" s="8">
        <v>1</v>
      </c>
    </row>
    <row r="42" spans="1:30">
      <c r="A42" s="8" t="s">
        <v>91</v>
      </c>
      <c r="B42" s="8" t="s">
        <v>28</v>
      </c>
      <c r="C42" s="8" t="s">
        <v>92</v>
      </c>
      <c r="D42" s="8" t="s">
        <v>30</v>
      </c>
      <c r="E42" s="8" t="s">
        <v>31</v>
      </c>
      <c r="F42" s="8">
        <v>12</v>
      </c>
      <c r="G42" s="8">
        <v>0</v>
      </c>
      <c r="H42" s="8" t="s">
        <v>45</v>
      </c>
      <c r="I42" s="8">
        <v>12</v>
      </c>
      <c r="J42" s="8" t="s">
        <v>46</v>
      </c>
      <c r="K42" s="8" t="s">
        <v>34</v>
      </c>
      <c r="L42" s="8" t="s">
        <v>35</v>
      </c>
      <c r="M42" s="8" t="s">
        <v>36</v>
      </c>
      <c r="N42" s="8" t="s">
        <v>37</v>
      </c>
      <c r="O42" s="8">
        <v>18</v>
      </c>
      <c r="P42" s="8" t="s">
        <v>38</v>
      </c>
      <c r="Q42" s="8" t="s">
        <v>39</v>
      </c>
      <c r="R42" s="8" t="s">
        <v>39</v>
      </c>
      <c r="S42" s="8">
        <v>0</v>
      </c>
      <c r="T42" s="8">
        <v>18</v>
      </c>
      <c r="U42" s="8">
        <v>19.499999999999901</v>
      </c>
      <c r="V42" s="8">
        <v>2.4374999999999898</v>
      </c>
      <c r="W42" s="8">
        <v>17.062499999999901</v>
      </c>
      <c r="X42" s="8" t="s">
        <v>40</v>
      </c>
      <c r="Y42" s="8"/>
      <c r="Z42" s="8" t="s">
        <v>41</v>
      </c>
      <c r="AA42" s="8" t="b">
        <v>1</v>
      </c>
      <c r="AB42" s="8" t="b">
        <v>1</v>
      </c>
      <c r="AC42" s="8" t="b">
        <v>1</v>
      </c>
      <c r="AD42" s="8">
        <v>1</v>
      </c>
    </row>
    <row r="43" spans="1:30">
      <c r="A43" s="13" t="s">
        <v>239</v>
      </c>
      <c r="B43" s="13" t="s">
        <v>193</v>
      </c>
      <c r="C43" s="13" t="s">
        <v>240</v>
      </c>
      <c r="D43" s="13" t="s">
        <v>30</v>
      </c>
      <c r="E43" s="13" t="s">
        <v>195</v>
      </c>
      <c r="F43" s="13">
        <v>12</v>
      </c>
      <c r="G43" s="13">
        <v>0</v>
      </c>
      <c r="H43" s="13" t="s">
        <v>32</v>
      </c>
      <c r="I43" s="13">
        <v>12</v>
      </c>
      <c r="J43" s="13" t="s">
        <v>196</v>
      </c>
      <c r="K43" s="13" t="s">
        <v>34</v>
      </c>
      <c r="L43" s="13" t="s">
        <v>973</v>
      </c>
      <c r="M43" s="13" t="s">
        <v>197</v>
      </c>
      <c r="N43" s="13" t="s">
        <v>198</v>
      </c>
      <c r="O43" s="13">
        <v>18</v>
      </c>
      <c r="P43" s="13" t="s">
        <v>205</v>
      </c>
      <c r="Q43" s="13" t="s">
        <v>200</v>
      </c>
      <c r="R43" s="13" t="s">
        <v>238</v>
      </c>
      <c r="S43" s="13">
        <v>18</v>
      </c>
      <c r="T43" s="13">
        <v>0</v>
      </c>
      <c r="U43" s="13">
        <v>0</v>
      </c>
      <c r="V43" s="13">
        <v>0</v>
      </c>
      <c r="W43" s="13">
        <v>0</v>
      </c>
      <c r="X43" s="13" t="s">
        <v>40</v>
      </c>
      <c r="Y43" s="13"/>
      <c r="Z43" s="13" t="s">
        <v>202</v>
      </c>
      <c r="AA43" s="13" t="b">
        <v>1</v>
      </c>
      <c r="AB43" s="13" t="b">
        <v>1</v>
      </c>
      <c r="AC43" s="13" t="b">
        <v>1</v>
      </c>
      <c r="AD43" s="8">
        <v>1</v>
      </c>
    </row>
    <row r="44" spans="1:30">
      <c r="A44" s="14" t="s">
        <v>93</v>
      </c>
      <c r="B44" s="14" t="s">
        <v>28</v>
      </c>
      <c r="C44" s="14" t="s">
        <v>94</v>
      </c>
      <c r="D44" s="14" t="s">
        <v>49</v>
      </c>
      <c r="E44" s="14" t="s">
        <v>50</v>
      </c>
      <c r="F44" s="14">
        <v>12</v>
      </c>
      <c r="G44" s="14">
        <v>0</v>
      </c>
      <c r="H44" s="14" t="s">
        <v>51</v>
      </c>
      <c r="I44" s="14">
        <v>0</v>
      </c>
      <c r="J44" s="14" t="s">
        <v>51</v>
      </c>
      <c r="K44" s="14" t="s">
        <v>34</v>
      </c>
      <c r="L44" s="14" t="s">
        <v>35</v>
      </c>
      <c r="M44" s="14" t="s">
        <v>36</v>
      </c>
      <c r="N44" s="14" t="s">
        <v>52</v>
      </c>
      <c r="O44" s="14">
        <v>1.5</v>
      </c>
      <c r="P44" s="14" t="s">
        <v>38</v>
      </c>
      <c r="Q44" s="14" t="s">
        <v>39</v>
      </c>
      <c r="R44" s="14" t="s">
        <v>39</v>
      </c>
      <c r="S44" s="14">
        <v>0</v>
      </c>
      <c r="T44" s="14">
        <v>1.5</v>
      </c>
      <c r="U44" s="14">
        <v>1.5</v>
      </c>
      <c r="V44" s="14">
        <v>0.1875</v>
      </c>
      <c r="W44" s="14">
        <v>1.3125</v>
      </c>
      <c r="X44" s="14" t="s">
        <v>40</v>
      </c>
      <c r="Y44" s="14"/>
      <c r="Z44" s="14" t="s">
        <v>41</v>
      </c>
      <c r="AA44" s="14" t="b">
        <v>1</v>
      </c>
      <c r="AB44" s="14" t="b">
        <v>1</v>
      </c>
      <c r="AC44" s="14" t="b">
        <v>1</v>
      </c>
      <c r="AD44" s="8">
        <v>1</v>
      </c>
    </row>
    <row r="45" spans="1:30">
      <c r="A45" s="8" t="s">
        <v>95</v>
      </c>
      <c r="B45" s="8" t="s">
        <v>28</v>
      </c>
      <c r="C45" s="8" t="s">
        <v>96</v>
      </c>
      <c r="D45" s="8" t="s">
        <v>30</v>
      </c>
      <c r="E45" s="8" t="s">
        <v>31</v>
      </c>
      <c r="F45" s="8">
        <v>1</v>
      </c>
      <c r="G45" s="8">
        <v>1</v>
      </c>
      <c r="H45" s="8" t="s">
        <v>32</v>
      </c>
      <c r="I45" s="8">
        <v>1</v>
      </c>
      <c r="J45" s="8" t="s">
        <v>33</v>
      </c>
      <c r="K45" s="8" t="s">
        <v>34</v>
      </c>
      <c r="L45" s="8" t="s">
        <v>35</v>
      </c>
      <c r="M45" s="8" t="s">
        <v>36</v>
      </c>
      <c r="N45" s="8" t="s">
        <v>37</v>
      </c>
      <c r="O45" s="8">
        <v>15</v>
      </c>
      <c r="P45" s="8" t="s">
        <v>38</v>
      </c>
      <c r="Q45" s="8" t="s">
        <v>39</v>
      </c>
      <c r="R45" s="8" t="s">
        <v>39</v>
      </c>
      <c r="S45" s="8">
        <v>0</v>
      </c>
      <c r="T45" s="8">
        <v>15</v>
      </c>
      <c r="U45" s="8">
        <v>15.1041666666666</v>
      </c>
      <c r="V45" s="8">
        <v>1.8880208333333299</v>
      </c>
      <c r="W45" s="8">
        <v>13.2161458333333</v>
      </c>
      <c r="X45" s="8" t="s">
        <v>40</v>
      </c>
      <c r="Y45" s="8"/>
      <c r="Z45" s="8" t="s">
        <v>41</v>
      </c>
      <c r="AA45" s="8" t="b">
        <v>1</v>
      </c>
      <c r="AB45" s="8" t="b">
        <v>1</v>
      </c>
      <c r="AC45" s="8" t="b">
        <v>1</v>
      </c>
      <c r="AD45" s="8">
        <v>1</v>
      </c>
    </row>
    <row r="46" spans="1:30">
      <c r="A46" s="13" t="s">
        <v>241</v>
      </c>
      <c r="B46" s="13" t="s">
        <v>193</v>
      </c>
      <c r="C46" s="13" t="s">
        <v>242</v>
      </c>
      <c r="D46" s="13" t="s">
        <v>30</v>
      </c>
      <c r="E46" s="13" t="s">
        <v>195</v>
      </c>
      <c r="F46" s="13">
        <v>1</v>
      </c>
      <c r="G46" s="13">
        <v>1</v>
      </c>
      <c r="H46" s="13" t="s">
        <v>45</v>
      </c>
      <c r="I46" s="13">
        <v>1</v>
      </c>
      <c r="J46" s="13" t="s">
        <v>196</v>
      </c>
      <c r="K46" s="13" t="s">
        <v>34</v>
      </c>
      <c r="L46" s="13" t="s">
        <v>973</v>
      </c>
      <c r="M46" s="13" t="s">
        <v>197</v>
      </c>
      <c r="N46" s="13" t="s">
        <v>198</v>
      </c>
      <c r="O46" s="13">
        <v>15</v>
      </c>
      <c r="P46" s="13" t="s">
        <v>199</v>
      </c>
      <c r="Q46" s="13" t="s">
        <v>243</v>
      </c>
      <c r="R46" s="13" t="s">
        <v>244</v>
      </c>
      <c r="S46" s="13">
        <v>-0.10416666666666601</v>
      </c>
      <c r="T46" s="13">
        <v>15.1041666666666</v>
      </c>
      <c r="U46" s="13">
        <v>15.2090567129629</v>
      </c>
      <c r="V46" s="13">
        <v>1.90113208912037</v>
      </c>
      <c r="W46" s="13">
        <v>13.307924623842499</v>
      </c>
      <c r="X46" s="13" t="s">
        <v>40</v>
      </c>
      <c r="Y46" s="13"/>
      <c r="Z46" s="13" t="s">
        <v>202</v>
      </c>
      <c r="AA46" s="13" t="b">
        <v>1</v>
      </c>
      <c r="AB46" s="13" t="b">
        <v>1</v>
      </c>
      <c r="AC46" s="13" t="b">
        <v>1</v>
      </c>
      <c r="AD46" s="8">
        <v>1</v>
      </c>
    </row>
    <row r="47" spans="1:30">
      <c r="A47" s="8" t="s">
        <v>97</v>
      </c>
      <c r="B47" s="8" t="s">
        <v>28</v>
      </c>
      <c r="C47" s="8" t="s">
        <v>98</v>
      </c>
      <c r="D47" s="8" t="s">
        <v>30</v>
      </c>
      <c r="E47" s="8" t="s">
        <v>31</v>
      </c>
      <c r="F47" s="8">
        <v>1</v>
      </c>
      <c r="G47" s="8">
        <v>1</v>
      </c>
      <c r="H47" s="8" t="s">
        <v>45</v>
      </c>
      <c r="I47" s="8">
        <v>1</v>
      </c>
      <c r="J47" s="8" t="s">
        <v>46</v>
      </c>
      <c r="K47" s="8" t="s">
        <v>34</v>
      </c>
      <c r="L47" s="8" t="s">
        <v>35</v>
      </c>
      <c r="M47" s="8" t="s">
        <v>36</v>
      </c>
      <c r="N47" s="8" t="s">
        <v>37</v>
      </c>
      <c r="O47" s="8">
        <v>18</v>
      </c>
      <c r="P47" s="8" t="s">
        <v>38</v>
      </c>
      <c r="Q47" s="8" t="s">
        <v>39</v>
      </c>
      <c r="R47" s="8" t="s">
        <v>39</v>
      </c>
      <c r="S47" s="8">
        <v>0</v>
      </c>
      <c r="T47" s="8">
        <v>18</v>
      </c>
      <c r="U47" s="8">
        <v>18.124999999999901</v>
      </c>
      <c r="V47" s="8">
        <v>2.2656249999999898</v>
      </c>
      <c r="W47" s="8">
        <v>15.859374999999901</v>
      </c>
      <c r="X47" s="8" t="s">
        <v>40</v>
      </c>
      <c r="Y47" s="8"/>
      <c r="Z47" s="8" t="s">
        <v>41</v>
      </c>
      <c r="AA47" s="8" t="b">
        <v>1</v>
      </c>
      <c r="AB47" s="8" t="b">
        <v>1</v>
      </c>
      <c r="AC47" s="8" t="b">
        <v>1</v>
      </c>
      <c r="AD47" s="8">
        <v>1</v>
      </c>
    </row>
    <row r="48" spans="1:30">
      <c r="A48" s="13" t="s">
        <v>245</v>
      </c>
      <c r="B48" s="13" t="s">
        <v>193</v>
      </c>
      <c r="C48" s="13" t="s">
        <v>246</v>
      </c>
      <c r="D48" s="13" t="s">
        <v>30</v>
      </c>
      <c r="E48" s="13" t="s">
        <v>195</v>
      </c>
      <c r="F48" s="13">
        <v>1</v>
      </c>
      <c r="G48" s="13">
        <v>1</v>
      </c>
      <c r="H48" s="13" t="s">
        <v>32</v>
      </c>
      <c r="I48" s="13">
        <v>1</v>
      </c>
      <c r="J48" s="13" t="s">
        <v>196</v>
      </c>
      <c r="K48" s="13" t="s">
        <v>34</v>
      </c>
      <c r="L48" s="13" t="s">
        <v>973</v>
      </c>
      <c r="M48" s="13" t="s">
        <v>197</v>
      </c>
      <c r="N48" s="13" t="s">
        <v>198</v>
      </c>
      <c r="O48" s="13">
        <v>18</v>
      </c>
      <c r="P48" s="13" t="s">
        <v>205</v>
      </c>
      <c r="Q48" s="13" t="s">
        <v>243</v>
      </c>
      <c r="R48" s="13" t="s">
        <v>244</v>
      </c>
      <c r="S48" s="13">
        <v>0.125</v>
      </c>
      <c r="T48" s="13">
        <v>17.875</v>
      </c>
      <c r="U48" s="13">
        <v>17.9991319444444</v>
      </c>
      <c r="V48" s="13">
        <v>2.24989149305555</v>
      </c>
      <c r="W48" s="13">
        <v>15.7492404513888</v>
      </c>
      <c r="X48" s="13" t="s">
        <v>40</v>
      </c>
      <c r="Y48" s="13"/>
      <c r="Z48" s="13" t="s">
        <v>202</v>
      </c>
      <c r="AA48" s="13" t="b">
        <v>1</v>
      </c>
      <c r="AB48" s="13" t="b">
        <v>1</v>
      </c>
      <c r="AC48" s="13" t="b">
        <v>1</v>
      </c>
      <c r="AD48" s="8">
        <v>1</v>
      </c>
    </row>
    <row r="49" spans="1:30">
      <c r="A49" s="14" t="s">
        <v>99</v>
      </c>
      <c r="B49" s="14" t="s">
        <v>28</v>
      </c>
      <c r="C49" s="14" t="s">
        <v>100</v>
      </c>
      <c r="D49" s="14" t="s">
        <v>49</v>
      </c>
      <c r="E49" s="14" t="s">
        <v>50</v>
      </c>
      <c r="F49" s="14">
        <v>1</v>
      </c>
      <c r="G49" s="14">
        <v>1</v>
      </c>
      <c r="H49" s="14" t="s">
        <v>51</v>
      </c>
      <c r="I49" s="14">
        <v>0</v>
      </c>
      <c r="J49" s="14" t="s">
        <v>51</v>
      </c>
      <c r="K49" s="14" t="s">
        <v>34</v>
      </c>
      <c r="L49" s="14" t="s">
        <v>35</v>
      </c>
      <c r="M49" s="14" t="s">
        <v>36</v>
      </c>
      <c r="N49" s="14" t="s">
        <v>52</v>
      </c>
      <c r="O49" s="14">
        <v>1.5</v>
      </c>
      <c r="P49" s="14" t="s">
        <v>38</v>
      </c>
      <c r="Q49" s="14" t="s">
        <v>39</v>
      </c>
      <c r="R49" s="14" t="s">
        <v>39</v>
      </c>
      <c r="S49" s="14">
        <v>0</v>
      </c>
      <c r="T49" s="14">
        <v>1.5</v>
      </c>
      <c r="U49" s="14">
        <v>1.5</v>
      </c>
      <c r="V49" s="14">
        <v>0.1875</v>
      </c>
      <c r="W49" s="14">
        <v>1.3125</v>
      </c>
      <c r="X49" s="14" t="s">
        <v>40</v>
      </c>
      <c r="Y49" s="14"/>
      <c r="Z49" s="14" t="s">
        <v>41</v>
      </c>
      <c r="AA49" s="14" t="b">
        <v>1</v>
      </c>
      <c r="AB49" s="14" t="b">
        <v>1</v>
      </c>
      <c r="AC49" s="14" t="b">
        <v>1</v>
      </c>
      <c r="AD49" s="8">
        <v>1</v>
      </c>
    </row>
    <row r="50" spans="1:30">
      <c r="A50" s="8" t="s">
        <v>101</v>
      </c>
      <c r="B50" s="8" t="s">
        <v>28</v>
      </c>
      <c r="C50" s="8" t="s">
        <v>102</v>
      </c>
      <c r="D50" s="8" t="s">
        <v>30</v>
      </c>
      <c r="E50" s="8" t="s">
        <v>31</v>
      </c>
      <c r="F50" s="8">
        <v>2</v>
      </c>
      <c r="G50" s="8">
        <v>1</v>
      </c>
      <c r="H50" s="8" t="s">
        <v>32</v>
      </c>
      <c r="I50" s="8">
        <v>2</v>
      </c>
      <c r="J50" s="8" t="s">
        <v>33</v>
      </c>
      <c r="K50" s="8" t="s">
        <v>34</v>
      </c>
      <c r="L50" s="8" t="s">
        <v>35</v>
      </c>
      <c r="M50" s="8" t="s">
        <v>36</v>
      </c>
      <c r="N50" s="8" t="s">
        <v>37</v>
      </c>
      <c r="O50" s="8">
        <v>30</v>
      </c>
      <c r="P50" s="8" t="s">
        <v>38</v>
      </c>
      <c r="Q50" s="8" t="s">
        <v>39</v>
      </c>
      <c r="R50" s="8" t="s">
        <v>39</v>
      </c>
      <c r="S50" s="8">
        <v>0</v>
      </c>
      <c r="T50" s="8">
        <v>30</v>
      </c>
      <c r="U50" s="8">
        <v>30.4166666666666</v>
      </c>
      <c r="V50" s="8">
        <v>3.8020833333333299</v>
      </c>
      <c r="W50" s="8">
        <v>26.6145833333333</v>
      </c>
      <c r="X50" s="8" t="s">
        <v>40</v>
      </c>
      <c r="Y50" s="8"/>
      <c r="Z50" s="8" t="s">
        <v>41</v>
      </c>
      <c r="AA50" s="8" t="b">
        <v>1</v>
      </c>
      <c r="AB50" s="8" t="b">
        <v>1</v>
      </c>
      <c r="AC50" s="8" t="b">
        <v>1</v>
      </c>
      <c r="AD50" s="8">
        <v>1</v>
      </c>
    </row>
    <row r="51" spans="1:30">
      <c r="A51" s="13" t="s">
        <v>247</v>
      </c>
      <c r="B51" s="13" t="s">
        <v>193</v>
      </c>
      <c r="C51" s="13" t="s">
        <v>248</v>
      </c>
      <c r="D51" s="13" t="s">
        <v>30</v>
      </c>
      <c r="E51" s="13" t="s">
        <v>195</v>
      </c>
      <c r="F51" s="13">
        <v>2</v>
      </c>
      <c r="G51" s="13">
        <v>1</v>
      </c>
      <c r="H51" s="13" t="s">
        <v>45</v>
      </c>
      <c r="I51" s="13">
        <v>2</v>
      </c>
      <c r="J51" s="13" t="s">
        <v>196</v>
      </c>
      <c r="K51" s="13" t="s">
        <v>34</v>
      </c>
      <c r="L51" s="13" t="s">
        <v>973</v>
      </c>
      <c r="M51" s="13" t="s">
        <v>197</v>
      </c>
      <c r="N51" s="13" t="s">
        <v>198</v>
      </c>
      <c r="O51" s="13">
        <v>30</v>
      </c>
      <c r="P51" s="13" t="s">
        <v>199</v>
      </c>
      <c r="Q51" s="13" t="s">
        <v>243</v>
      </c>
      <c r="R51" s="13" t="s">
        <v>249</v>
      </c>
      <c r="S51" s="13">
        <v>-0.41666666666666602</v>
      </c>
      <c r="T51" s="13">
        <v>30.4166666666666</v>
      </c>
      <c r="U51" s="13">
        <v>30.839120370370299</v>
      </c>
      <c r="V51" s="13">
        <v>3.8548900462962901</v>
      </c>
      <c r="W51" s="13">
        <v>26.984230324074002</v>
      </c>
      <c r="X51" s="13" t="s">
        <v>40</v>
      </c>
      <c r="Y51" s="13"/>
      <c r="Z51" s="13" t="s">
        <v>202</v>
      </c>
      <c r="AA51" s="13" t="b">
        <v>1</v>
      </c>
      <c r="AB51" s="13" t="b">
        <v>1</v>
      </c>
      <c r="AC51" s="13" t="b">
        <v>1</v>
      </c>
      <c r="AD51" s="8">
        <v>1</v>
      </c>
    </row>
    <row r="52" spans="1:30">
      <c r="A52" s="8" t="s">
        <v>103</v>
      </c>
      <c r="B52" s="8" t="s">
        <v>28</v>
      </c>
      <c r="C52" s="8" t="s">
        <v>104</v>
      </c>
      <c r="D52" s="8" t="s">
        <v>30</v>
      </c>
      <c r="E52" s="8" t="s">
        <v>31</v>
      </c>
      <c r="F52" s="8">
        <v>2</v>
      </c>
      <c r="G52" s="8">
        <v>1</v>
      </c>
      <c r="H52" s="8" t="s">
        <v>45</v>
      </c>
      <c r="I52" s="8">
        <v>2</v>
      </c>
      <c r="J52" s="8" t="s">
        <v>46</v>
      </c>
      <c r="K52" s="8" t="s">
        <v>34</v>
      </c>
      <c r="L52" s="8" t="s">
        <v>35</v>
      </c>
      <c r="M52" s="8" t="s">
        <v>36</v>
      </c>
      <c r="N52" s="8" t="s">
        <v>37</v>
      </c>
      <c r="O52" s="8">
        <v>36</v>
      </c>
      <c r="P52" s="8" t="s">
        <v>38</v>
      </c>
      <c r="Q52" s="8" t="s">
        <v>39</v>
      </c>
      <c r="R52" s="8" t="s">
        <v>39</v>
      </c>
      <c r="S52" s="8">
        <v>0</v>
      </c>
      <c r="T52" s="8">
        <v>36</v>
      </c>
      <c r="U52" s="8">
        <v>36.5</v>
      </c>
      <c r="V52" s="8">
        <v>4.5625</v>
      </c>
      <c r="W52" s="8">
        <v>31.9375</v>
      </c>
      <c r="X52" s="8" t="s">
        <v>40</v>
      </c>
      <c r="Y52" s="8"/>
      <c r="Z52" s="8" t="s">
        <v>41</v>
      </c>
      <c r="AA52" s="8" t="b">
        <v>1</v>
      </c>
      <c r="AB52" s="8" t="b">
        <v>1</v>
      </c>
      <c r="AC52" s="8" t="b">
        <v>1</v>
      </c>
      <c r="AD52" s="8">
        <v>1</v>
      </c>
    </row>
    <row r="53" spans="1:30">
      <c r="A53" s="13" t="s">
        <v>250</v>
      </c>
      <c r="B53" s="13" t="s">
        <v>193</v>
      </c>
      <c r="C53" s="13" t="s">
        <v>251</v>
      </c>
      <c r="D53" s="13" t="s">
        <v>30</v>
      </c>
      <c r="E53" s="13" t="s">
        <v>195</v>
      </c>
      <c r="F53" s="13">
        <v>2</v>
      </c>
      <c r="G53" s="13">
        <v>1</v>
      </c>
      <c r="H53" s="13" t="s">
        <v>32</v>
      </c>
      <c r="I53" s="13">
        <v>2</v>
      </c>
      <c r="J53" s="13" t="s">
        <v>196</v>
      </c>
      <c r="K53" s="13" t="s">
        <v>34</v>
      </c>
      <c r="L53" s="13" t="s">
        <v>973</v>
      </c>
      <c r="M53" s="13" t="s">
        <v>197</v>
      </c>
      <c r="N53" s="13" t="s">
        <v>198</v>
      </c>
      <c r="O53" s="13">
        <v>36</v>
      </c>
      <c r="P53" s="13" t="s">
        <v>205</v>
      </c>
      <c r="Q53" s="13" t="s">
        <v>243</v>
      </c>
      <c r="R53" s="13" t="s">
        <v>249</v>
      </c>
      <c r="S53" s="13">
        <v>0.5</v>
      </c>
      <c r="T53" s="13">
        <v>35.5</v>
      </c>
      <c r="U53" s="13">
        <v>35.9930555555555</v>
      </c>
      <c r="V53" s="13">
        <v>4.4991319444444402</v>
      </c>
      <c r="W53" s="13">
        <v>31.4939236111111</v>
      </c>
      <c r="X53" s="13" t="s">
        <v>40</v>
      </c>
      <c r="Y53" s="13"/>
      <c r="Z53" s="13" t="s">
        <v>202</v>
      </c>
      <c r="AA53" s="13" t="b">
        <v>1</v>
      </c>
      <c r="AB53" s="13" t="b">
        <v>1</v>
      </c>
      <c r="AC53" s="13" t="b">
        <v>1</v>
      </c>
      <c r="AD53" s="8">
        <v>1</v>
      </c>
    </row>
    <row r="54" spans="1:30">
      <c r="A54" s="14" t="s">
        <v>105</v>
      </c>
      <c r="B54" s="14" t="s">
        <v>28</v>
      </c>
      <c r="C54" s="14" t="s">
        <v>106</v>
      </c>
      <c r="D54" s="14" t="s">
        <v>49</v>
      </c>
      <c r="E54" s="14" t="s">
        <v>50</v>
      </c>
      <c r="F54" s="14">
        <v>2</v>
      </c>
      <c r="G54" s="14">
        <v>1</v>
      </c>
      <c r="H54" s="14" t="s">
        <v>51</v>
      </c>
      <c r="I54" s="14">
        <v>0</v>
      </c>
      <c r="J54" s="14" t="s">
        <v>51</v>
      </c>
      <c r="K54" s="14" t="s">
        <v>34</v>
      </c>
      <c r="L54" s="14" t="s">
        <v>35</v>
      </c>
      <c r="M54" s="14" t="s">
        <v>36</v>
      </c>
      <c r="N54" s="14" t="s">
        <v>52</v>
      </c>
      <c r="O54" s="14">
        <v>3</v>
      </c>
      <c r="P54" s="14" t="s">
        <v>38</v>
      </c>
      <c r="Q54" s="14" t="s">
        <v>39</v>
      </c>
      <c r="R54" s="14" t="s">
        <v>39</v>
      </c>
      <c r="S54" s="14">
        <v>0</v>
      </c>
      <c r="T54" s="14">
        <v>3</v>
      </c>
      <c r="U54" s="14">
        <v>3</v>
      </c>
      <c r="V54" s="14">
        <v>0.375</v>
      </c>
      <c r="W54" s="14">
        <v>2.625</v>
      </c>
      <c r="X54" s="14" t="s">
        <v>40</v>
      </c>
      <c r="Y54" s="14"/>
      <c r="Z54" s="14" t="s">
        <v>41</v>
      </c>
      <c r="AA54" s="14" t="b">
        <v>1</v>
      </c>
      <c r="AB54" s="14" t="b">
        <v>1</v>
      </c>
      <c r="AC54" s="14" t="b">
        <v>1</v>
      </c>
      <c r="AD54" s="8">
        <v>1</v>
      </c>
    </row>
    <row r="55" spans="1:30">
      <c r="A55" s="8" t="s">
        <v>107</v>
      </c>
      <c r="B55" s="8" t="s">
        <v>28</v>
      </c>
      <c r="C55" s="8" t="s">
        <v>108</v>
      </c>
      <c r="D55" s="8" t="s">
        <v>30</v>
      </c>
      <c r="E55" s="8" t="s">
        <v>31</v>
      </c>
      <c r="F55" s="8">
        <v>3</v>
      </c>
      <c r="G55" s="8">
        <v>1</v>
      </c>
      <c r="H55" s="8" t="s">
        <v>32</v>
      </c>
      <c r="I55" s="8">
        <v>3</v>
      </c>
      <c r="J55" s="8" t="s">
        <v>33</v>
      </c>
      <c r="K55" s="8" t="s">
        <v>34</v>
      </c>
      <c r="L55" s="8" t="s">
        <v>35</v>
      </c>
      <c r="M55" s="8" t="s">
        <v>36</v>
      </c>
      <c r="N55" s="8" t="s">
        <v>37</v>
      </c>
      <c r="O55" s="8">
        <v>45</v>
      </c>
      <c r="P55" s="8" t="s">
        <v>38</v>
      </c>
      <c r="Q55" s="8" t="s">
        <v>39</v>
      </c>
      <c r="R55" s="8" t="s">
        <v>39</v>
      </c>
      <c r="S55" s="8">
        <v>0</v>
      </c>
      <c r="T55" s="8">
        <v>45</v>
      </c>
      <c r="U55" s="8">
        <v>45.937499999999901</v>
      </c>
      <c r="V55" s="8">
        <v>5.7421874999999902</v>
      </c>
      <c r="W55" s="8">
        <v>40.195312499999901</v>
      </c>
      <c r="X55" s="8" t="s">
        <v>40</v>
      </c>
      <c r="Y55" s="8"/>
      <c r="Z55" s="8" t="s">
        <v>41</v>
      </c>
      <c r="AA55" s="8" t="b">
        <v>1</v>
      </c>
      <c r="AB55" s="8" t="b">
        <v>1</v>
      </c>
      <c r="AC55" s="8" t="b">
        <v>1</v>
      </c>
      <c r="AD55" s="8">
        <v>1</v>
      </c>
    </row>
    <row r="56" spans="1:30">
      <c r="A56" s="13" t="s">
        <v>252</v>
      </c>
      <c r="B56" s="13" t="s">
        <v>193</v>
      </c>
      <c r="C56" s="13" t="s">
        <v>253</v>
      </c>
      <c r="D56" s="13" t="s">
        <v>30</v>
      </c>
      <c r="E56" s="13" t="s">
        <v>195</v>
      </c>
      <c r="F56" s="13">
        <v>3</v>
      </c>
      <c r="G56" s="13">
        <v>1</v>
      </c>
      <c r="H56" s="13" t="s">
        <v>45</v>
      </c>
      <c r="I56" s="13">
        <v>3</v>
      </c>
      <c r="J56" s="13" t="s">
        <v>196</v>
      </c>
      <c r="K56" s="13" t="s">
        <v>34</v>
      </c>
      <c r="L56" s="13" t="s">
        <v>973</v>
      </c>
      <c r="M56" s="13" t="s">
        <v>197</v>
      </c>
      <c r="N56" s="13" t="s">
        <v>198</v>
      </c>
      <c r="O56" s="13">
        <v>45</v>
      </c>
      <c r="P56" s="13" t="s">
        <v>199</v>
      </c>
      <c r="Q56" s="13" t="s">
        <v>243</v>
      </c>
      <c r="R56" s="13" t="s">
        <v>254</v>
      </c>
      <c r="S56" s="13">
        <v>-0.9375</v>
      </c>
      <c r="T56" s="13">
        <v>45.9375</v>
      </c>
      <c r="U56" s="13">
        <v>46.894531249999901</v>
      </c>
      <c r="V56" s="13">
        <v>5.8618164062499902</v>
      </c>
      <c r="W56" s="13">
        <v>41.032714843749901</v>
      </c>
      <c r="X56" s="13" t="s">
        <v>40</v>
      </c>
      <c r="Y56" s="13"/>
      <c r="Z56" s="13" t="s">
        <v>202</v>
      </c>
      <c r="AA56" s="13" t="b">
        <v>1</v>
      </c>
      <c r="AB56" s="13" t="b">
        <v>1</v>
      </c>
      <c r="AC56" s="13" t="b">
        <v>1</v>
      </c>
      <c r="AD56" s="8">
        <v>1</v>
      </c>
    </row>
    <row r="57" spans="1:30">
      <c r="A57" s="8" t="s">
        <v>109</v>
      </c>
      <c r="B57" s="8" t="s">
        <v>28</v>
      </c>
      <c r="C57" s="8" t="s">
        <v>110</v>
      </c>
      <c r="D57" s="8" t="s">
        <v>30</v>
      </c>
      <c r="E57" s="8" t="s">
        <v>31</v>
      </c>
      <c r="F57" s="8">
        <v>3</v>
      </c>
      <c r="G57" s="8">
        <v>1</v>
      </c>
      <c r="H57" s="8" t="s">
        <v>45</v>
      </c>
      <c r="I57" s="8">
        <v>3</v>
      </c>
      <c r="J57" s="8" t="s">
        <v>46</v>
      </c>
      <c r="K57" s="8" t="s">
        <v>34</v>
      </c>
      <c r="L57" s="8" t="s">
        <v>35</v>
      </c>
      <c r="M57" s="8" t="s">
        <v>36</v>
      </c>
      <c r="N57" s="8" t="s">
        <v>37</v>
      </c>
      <c r="O57" s="8">
        <v>54</v>
      </c>
      <c r="P57" s="8" t="s">
        <v>38</v>
      </c>
      <c r="Q57" s="8" t="s">
        <v>39</v>
      </c>
      <c r="R57" s="8" t="s">
        <v>39</v>
      </c>
      <c r="S57" s="8">
        <v>0</v>
      </c>
      <c r="T57" s="8">
        <v>54</v>
      </c>
      <c r="U57" s="8">
        <v>55.124999999999901</v>
      </c>
      <c r="V57" s="8">
        <v>6.8906249999999902</v>
      </c>
      <c r="W57" s="8">
        <v>48.234374999999901</v>
      </c>
      <c r="X57" s="8" t="s">
        <v>40</v>
      </c>
      <c r="Y57" s="8"/>
      <c r="Z57" s="8" t="s">
        <v>41</v>
      </c>
      <c r="AA57" s="8" t="b">
        <v>1</v>
      </c>
      <c r="AB57" s="8" t="b">
        <v>1</v>
      </c>
      <c r="AC57" s="8" t="b">
        <v>1</v>
      </c>
      <c r="AD57" s="8">
        <v>1</v>
      </c>
    </row>
    <row r="58" spans="1:30">
      <c r="A58" s="13" t="s">
        <v>255</v>
      </c>
      <c r="B58" s="13" t="s">
        <v>193</v>
      </c>
      <c r="C58" s="13" t="s">
        <v>256</v>
      </c>
      <c r="D58" s="13" t="s">
        <v>30</v>
      </c>
      <c r="E58" s="13" t="s">
        <v>195</v>
      </c>
      <c r="F58" s="13">
        <v>3</v>
      </c>
      <c r="G58" s="13">
        <v>1</v>
      </c>
      <c r="H58" s="13" t="s">
        <v>32</v>
      </c>
      <c r="I58" s="13">
        <v>3</v>
      </c>
      <c r="J58" s="13" t="s">
        <v>196</v>
      </c>
      <c r="K58" s="13" t="s">
        <v>34</v>
      </c>
      <c r="L58" s="13" t="s">
        <v>973</v>
      </c>
      <c r="M58" s="13" t="s">
        <v>197</v>
      </c>
      <c r="N58" s="13" t="s">
        <v>198</v>
      </c>
      <c r="O58" s="13">
        <v>54</v>
      </c>
      <c r="P58" s="13" t="s">
        <v>205</v>
      </c>
      <c r="Q58" s="13" t="s">
        <v>243</v>
      </c>
      <c r="R58" s="13" t="s">
        <v>254</v>
      </c>
      <c r="S58" s="13">
        <v>1.125</v>
      </c>
      <c r="T58" s="13">
        <v>52.875</v>
      </c>
      <c r="U58" s="13">
        <v>53.976562499999901</v>
      </c>
      <c r="V58" s="13">
        <v>6.7470703124999902</v>
      </c>
      <c r="W58" s="13">
        <v>47.229492187499901</v>
      </c>
      <c r="X58" s="13" t="s">
        <v>40</v>
      </c>
      <c r="Y58" s="13"/>
      <c r="Z58" s="13" t="s">
        <v>202</v>
      </c>
      <c r="AA58" s="13" t="b">
        <v>1</v>
      </c>
      <c r="AB58" s="13" t="b">
        <v>1</v>
      </c>
      <c r="AC58" s="13" t="b">
        <v>1</v>
      </c>
      <c r="AD58" s="8">
        <v>1</v>
      </c>
    </row>
    <row r="59" spans="1:30">
      <c r="A59" s="14" t="s">
        <v>111</v>
      </c>
      <c r="B59" s="14" t="s">
        <v>28</v>
      </c>
      <c r="C59" s="14" t="s">
        <v>112</v>
      </c>
      <c r="D59" s="14" t="s">
        <v>49</v>
      </c>
      <c r="E59" s="14" t="s">
        <v>50</v>
      </c>
      <c r="F59" s="14">
        <v>3</v>
      </c>
      <c r="G59" s="14">
        <v>1</v>
      </c>
      <c r="H59" s="14" t="s">
        <v>51</v>
      </c>
      <c r="I59" s="14">
        <v>0</v>
      </c>
      <c r="J59" s="14" t="s">
        <v>51</v>
      </c>
      <c r="K59" s="14" t="s">
        <v>34</v>
      </c>
      <c r="L59" s="14" t="s">
        <v>35</v>
      </c>
      <c r="M59" s="14" t="s">
        <v>36</v>
      </c>
      <c r="N59" s="14" t="s">
        <v>52</v>
      </c>
      <c r="O59" s="14">
        <v>4.5</v>
      </c>
      <c r="P59" s="14" t="s">
        <v>38</v>
      </c>
      <c r="Q59" s="14" t="s">
        <v>39</v>
      </c>
      <c r="R59" s="14" t="s">
        <v>39</v>
      </c>
      <c r="S59" s="14">
        <v>0</v>
      </c>
      <c r="T59" s="14">
        <v>4.5</v>
      </c>
      <c r="U59" s="14">
        <v>4.5</v>
      </c>
      <c r="V59" s="14">
        <v>0.5625</v>
      </c>
      <c r="W59" s="14">
        <v>3.9375</v>
      </c>
      <c r="X59" s="14" t="s">
        <v>40</v>
      </c>
      <c r="Y59" s="14"/>
      <c r="Z59" s="14" t="s">
        <v>41</v>
      </c>
      <c r="AA59" s="14" t="b">
        <v>1</v>
      </c>
      <c r="AB59" s="14" t="b">
        <v>1</v>
      </c>
      <c r="AC59" s="14" t="b">
        <v>1</v>
      </c>
      <c r="AD59" s="8">
        <v>1</v>
      </c>
    </row>
    <row r="60" spans="1:30">
      <c r="A60" s="8" t="s">
        <v>113</v>
      </c>
      <c r="B60" s="8" t="s">
        <v>28</v>
      </c>
      <c r="C60" s="8" t="s">
        <v>114</v>
      </c>
      <c r="D60" s="8" t="s">
        <v>30</v>
      </c>
      <c r="E60" s="8" t="s">
        <v>31</v>
      </c>
      <c r="F60" s="8">
        <v>4</v>
      </c>
      <c r="G60" s="8">
        <v>1</v>
      </c>
      <c r="H60" s="8" t="s">
        <v>32</v>
      </c>
      <c r="I60" s="8">
        <v>4</v>
      </c>
      <c r="J60" s="8" t="s">
        <v>33</v>
      </c>
      <c r="K60" s="8" t="s">
        <v>34</v>
      </c>
      <c r="L60" s="8" t="s">
        <v>35</v>
      </c>
      <c r="M60" s="8" t="s">
        <v>36</v>
      </c>
      <c r="N60" s="8" t="s">
        <v>37</v>
      </c>
      <c r="O60" s="8">
        <v>60</v>
      </c>
      <c r="P60" s="8" t="s">
        <v>38</v>
      </c>
      <c r="Q60" s="8" t="s">
        <v>39</v>
      </c>
      <c r="R60" s="8" t="s">
        <v>39</v>
      </c>
      <c r="S60" s="8">
        <v>0</v>
      </c>
      <c r="T60" s="8">
        <v>60</v>
      </c>
      <c r="U60" s="8">
        <v>61.6666666666666</v>
      </c>
      <c r="V60" s="8">
        <v>7.7083333333333304</v>
      </c>
      <c r="W60" s="8">
        <v>53.9583333333333</v>
      </c>
      <c r="X60" s="8" t="s">
        <v>40</v>
      </c>
      <c r="Y60" s="8"/>
      <c r="Z60" s="8" t="s">
        <v>41</v>
      </c>
      <c r="AA60" s="8" t="b">
        <v>1</v>
      </c>
      <c r="AB60" s="8" t="b">
        <v>1</v>
      </c>
      <c r="AC60" s="8" t="b">
        <v>1</v>
      </c>
      <c r="AD60" s="8">
        <v>1</v>
      </c>
    </row>
    <row r="61" spans="1:30">
      <c r="A61" s="13" t="s">
        <v>257</v>
      </c>
      <c r="B61" s="13" t="s">
        <v>193</v>
      </c>
      <c r="C61" s="13" t="s">
        <v>258</v>
      </c>
      <c r="D61" s="13" t="s">
        <v>30</v>
      </c>
      <c r="E61" s="13" t="s">
        <v>195</v>
      </c>
      <c r="F61" s="13">
        <v>4</v>
      </c>
      <c r="G61" s="13">
        <v>1</v>
      </c>
      <c r="H61" s="13" t="s">
        <v>45</v>
      </c>
      <c r="I61" s="13">
        <v>4</v>
      </c>
      <c r="J61" s="13" t="s">
        <v>196</v>
      </c>
      <c r="K61" s="13" t="s">
        <v>34</v>
      </c>
      <c r="L61" s="13" t="s">
        <v>973</v>
      </c>
      <c r="M61" s="13" t="s">
        <v>197</v>
      </c>
      <c r="N61" s="13" t="s">
        <v>198</v>
      </c>
      <c r="O61" s="13">
        <v>60</v>
      </c>
      <c r="P61" s="13" t="s">
        <v>199</v>
      </c>
      <c r="Q61" s="13" t="s">
        <v>243</v>
      </c>
      <c r="R61" s="13" t="s">
        <v>259</v>
      </c>
      <c r="S61" s="13">
        <v>-1.6666666666666601</v>
      </c>
      <c r="T61" s="13">
        <v>61.6666666666666</v>
      </c>
      <c r="U61" s="13">
        <v>63.379629629629598</v>
      </c>
      <c r="V61" s="13">
        <v>7.9224537037036997</v>
      </c>
      <c r="W61" s="13">
        <v>55.457175925925903</v>
      </c>
      <c r="X61" s="13" t="s">
        <v>40</v>
      </c>
      <c r="Y61" s="13"/>
      <c r="Z61" s="13" t="s">
        <v>202</v>
      </c>
      <c r="AA61" s="13" t="b">
        <v>1</v>
      </c>
      <c r="AB61" s="13" t="b">
        <v>1</v>
      </c>
      <c r="AC61" s="13" t="b">
        <v>1</v>
      </c>
      <c r="AD61" s="8">
        <v>1</v>
      </c>
    </row>
    <row r="62" spans="1:30">
      <c r="A62" s="8" t="s">
        <v>115</v>
      </c>
      <c r="B62" s="8" t="s">
        <v>28</v>
      </c>
      <c r="C62" s="8" t="s">
        <v>116</v>
      </c>
      <c r="D62" s="8" t="s">
        <v>30</v>
      </c>
      <c r="E62" s="8" t="s">
        <v>31</v>
      </c>
      <c r="F62" s="8">
        <v>4</v>
      </c>
      <c r="G62" s="8">
        <v>1</v>
      </c>
      <c r="H62" s="8" t="s">
        <v>45</v>
      </c>
      <c r="I62" s="8">
        <v>4</v>
      </c>
      <c r="J62" s="8" t="s">
        <v>46</v>
      </c>
      <c r="K62" s="8" t="s">
        <v>34</v>
      </c>
      <c r="L62" s="8" t="s">
        <v>35</v>
      </c>
      <c r="M62" s="8" t="s">
        <v>36</v>
      </c>
      <c r="N62" s="8" t="s">
        <v>37</v>
      </c>
      <c r="O62" s="8">
        <v>72</v>
      </c>
      <c r="P62" s="8" t="s">
        <v>38</v>
      </c>
      <c r="Q62" s="8" t="s">
        <v>39</v>
      </c>
      <c r="R62" s="8" t="s">
        <v>39</v>
      </c>
      <c r="S62" s="8">
        <v>0</v>
      </c>
      <c r="T62" s="8">
        <v>72</v>
      </c>
      <c r="U62" s="8">
        <v>74</v>
      </c>
      <c r="V62" s="8">
        <v>9.25</v>
      </c>
      <c r="W62" s="8">
        <v>64.75</v>
      </c>
      <c r="X62" s="8" t="s">
        <v>40</v>
      </c>
      <c r="Y62" s="8"/>
      <c r="Z62" s="8" t="s">
        <v>41</v>
      </c>
      <c r="AA62" s="8" t="b">
        <v>1</v>
      </c>
      <c r="AB62" s="8" t="b">
        <v>1</v>
      </c>
      <c r="AC62" s="8" t="b">
        <v>1</v>
      </c>
      <c r="AD62" s="8">
        <v>1</v>
      </c>
    </row>
    <row r="63" spans="1:30">
      <c r="A63" s="13" t="s">
        <v>260</v>
      </c>
      <c r="B63" s="13" t="s">
        <v>193</v>
      </c>
      <c r="C63" s="13" t="s">
        <v>261</v>
      </c>
      <c r="D63" s="13" t="s">
        <v>30</v>
      </c>
      <c r="E63" s="13" t="s">
        <v>195</v>
      </c>
      <c r="F63" s="13">
        <v>4</v>
      </c>
      <c r="G63" s="13">
        <v>1</v>
      </c>
      <c r="H63" s="13" t="s">
        <v>32</v>
      </c>
      <c r="I63" s="13">
        <v>4</v>
      </c>
      <c r="J63" s="13" t="s">
        <v>196</v>
      </c>
      <c r="K63" s="13" t="s">
        <v>34</v>
      </c>
      <c r="L63" s="13" t="s">
        <v>973</v>
      </c>
      <c r="M63" s="13" t="s">
        <v>197</v>
      </c>
      <c r="N63" s="13" t="s">
        <v>198</v>
      </c>
      <c r="O63" s="13">
        <v>72</v>
      </c>
      <c r="P63" s="13" t="s">
        <v>205</v>
      </c>
      <c r="Q63" s="13" t="s">
        <v>243</v>
      </c>
      <c r="R63" s="13" t="s">
        <v>259</v>
      </c>
      <c r="S63" s="13">
        <v>2</v>
      </c>
      <c r="T63" s="13">
        <v>70</v>
      </c>
      <c r="U63" s="13">
        <v>71.9444444444444</v>
      </c>
      <c r="V63" s="13">
        <v>8.99305555555555</v>
      </c>
      <c r="W63" s="13">
        <v>62.9513888888888</v>
      </c>
      <c r="X63" s="13" t="s">
        <v>40</v>
      </c>
      <c r="Y63" s="13"/>
      <c r="Z63" s="13" t="s">
        <v>202</v>
      </c>
      <c r="AA63" s="13" t="b">
        <v>1</v>
      </c>
      <c r="AB63" s="13" t="b">
        <v>1</v>
      </c>
      <c r="AC63" s="13" t="b">
        <v>1</v>
      </c>
      <c r="AD63" s="8">
        <v>1</v>
      </c>
    </row>
    <row r="64" spans="1:30">
      <c r="A64" s="14" t="s">
        <v>117</v>
      </c>
      <c r="B64" s="14" t="s">
        <v>28</v>
      </c>
      <c r="C64" s="14" t="s">
        <v>118</v>
      </c>
      <c r="D64" s="14" t="s">
        <v>49</v>
      </c>
      <c r="E64" s="14" t="s">
        <v>50</v>
      </c>
      <c r="F64" s="14">
        <v>4</v>
      </c>
      <c r="G64" s="14">
        <v>1</v>
      </c>
      <c r="H64" s="14" t="s">
        <v>51</v>
      </c>
      <c r="I64" s="14">
        <v>0</v>
      </c>
      <c r="J64" s="14" t="s">
        <v>51</v>
      </c>
      <c r="K64" s="14" t="s">
        <v>34</v>
      </c>
      <c r="L64" s="14" t="s">
        <v>35</v>
      </c>
      <c r="M64" s="14" t="s">
        <v>36</v>
      </c>
      <c r="N64" s="14" t="s">
        <v>52</v>
      </c>
      <c r="O64" s="14">
        <v>6</v>
      </c>
      <c r="P64" s="14" t="s">
        <v>38</v>
      </c>
      <c r="Q64" s="14" t="s">
        <v>39</v>
      </c>
      <c r="R64" s="14" t="s">
        <v>39</v>
      </c>
      <c r="S64" s="14">
        <v>0</v>
      </c>
      <c r="T64" s="14">
        <v>6</v>
      </c>
      <c r="U64" s="14">
        <v>6</v>
      </c>
      <c r="V64" s="14">
        <v>0.75</v>
      </c>
      <c r="W64" s="14">
        <v>5.25</v>
      </c>
      <c r="X64" s="14" t="s">
        <v>40</v>
      </c>
      <c r="Y64" s="14"/>
      <c r="Z64" s="14" t="s">
        <v>41</v>
      </c>
      <c r="AA64" s="14" t="b">
        <v>1</v>
      </c>
      <c r="AB64" s="14" t="b">
        <v>1</v>
      </c>
      <c r="AC64" s="14" t="b">
        <v>1</v>
      </c>
      <c r="AD64" s="8">
        <v>1</v>
      </c>
    </row>
    <row r="65" spans="1:30">
      <c r="A65" s="8" t="s">
        <v>119</v>
      </c>
      <c r="B65" s="8" t="s">
        <v>28</v>
      </c>
      <c r="C65" s="8" t="s">
        <v>120</v>
      </c>
      <c r="D65" s="8" t="s">
        <v>30</v>
      </c>
      <c r="E65" s="8" t="s">
        <v>31</v>
      </c>
      <c r="F65" s="8">
        <v>6</v>
      </c>
      <c r="G65" s="8">
        <v>1</v>
      </c>
      <c r="H65" s="8" t="s">
        <v>32</v>
      </c>
      <c r="I65" s="8">
        <v>6</v>
      </c>
      <c r="J65" s="8" t="s">
        <v>33</v>
      </c>
      <c r="K65" s="8" t="s">
        <v>34</v>
      </c>
      <c r="L65" s="8" t="s">
        <v>35</v>
      </c>
      <c r="M65" s="8" t="s">
        <v>36</v>
      </c>
      <c r="N65" s="8" t="s">
        <v>37</v>
      </c>
      <c r="O65" s="8">
        <v>90</v>
      </c>
      <c r="P65" s="8" t="s">
        <v>38</v>
      </c>
      <c r="Q65" s="8" t="s">
        <v>39</v>
      </c>
      <c r="R65" s="8" t="s">
        <v>39</v>
      </c>
      <c r="S65" s="8">
        <v>0</v>
      </c>
      <c r="T65" s="8">
        <v>90</v>
      </c>
      <c r="U65" s="8">
        <v>93.75</v>
      </c>
      <c r="V65" s="8">
        <v>11.71875</v>
      </c>
      <c r="W65" s="8">
        <v>82.03125</v>
      </c>
      <c r="X65" s="8" t="s">
        <v>40</v>
      </c>
      <c r="Y65" s="8"/>
      <c r="Z65" s="8" t="s">
        <v>41</v>
      </c>
      <c r="AA65" s="8" t="b">
        <v>1</v>
      </c>
      <c r="AB65" s="8" t="b">
        <v>1</v>
      </c>
      <c r="AC65" s="8" t="b">
        <v>1</v>
      </c>
      <c r="AD65" s="8">
        <v>1</v>
      </c>
    </row>
    <row r="66" spans="1:30">
      <c r="A66" s="13" t="s">
        <v>262</v>
      </c>
      <c r="B66" s="13" t="s">
        <v>193</v>
      </c>
      <c r="C66" s="13" t="s">
        <v>263</v>
      </c>
      <c r="D66" s="13" t="s">
        <v>30</v>
      </c>
      <c r="E66" s="13" t="s">
        <v>195</v>
      </c>
      <c r="F66" s="13">
        <v>6</v>
      </c>
      <c r="G66" s="13">
        <v>1</v>
      </c>
      <c r="H66" s="13" t="s">
        <v>45</v>
      </c>
      <c r="I66" s="13">
        <v>6</v>
      </c>
      <c r="J66" s="13" t="s">
        <v>196</v>
      </c>
      <c r="K66" s="13" t="s">
        <v>34</v>
      </c>
      <c r="L66" s="13" t="s">
        <v>973</v>
      </c>
      <c r="M66" s="13" t="s">
        <v>197</v>
      </c>
      <c r="N66" s="13" t="s">
        <v>198</v>
      </c>
      <c r="O66" s="13">
        <v>90</v>
      </c>
      <c r="P66" s="13" t="s">
        <v>199</v>
      </c>
      <c r="Q66" s="13" t="s">
        <v>243</v>
      </c>
      <c r="R66" s="13" t="s">
        <v>264</v>
      </c>
      <c r="S66" s="13">
        <v>-3.75</v>
      </c>
      <c r="T66" s="13">
        <v>93.75</v>
      </c>
      <c r="U66" s="13">
        <v>97.65625</v>
      </c>
      <c r="V66" s="13">
        <v>12.20703125</v>
      </c>
      <c r="W66" s="13">
        <v>85.44921875</v>
      </c>
      <c r="X66" s="13" t="s">
        <v>40</v>
      </c>
      <c r="Y66" s="13"/>
      <c r="Z66" s="13" t="s">
        <v>202</v>
      </c>
      <c r="AA66" s="13" t="b">
        <v>1</v>
      </c>
      <c r="AB66" s="13" t="b">
        <v>1</v>
      </c>
      <c r="AC66" s="13" t="b">
        <v>1</v>
      </c>
      <c r="AD66" s="8">
        <v>1</v>
      </c>
    </row>
    <row r="67" spans="1:30">
      <c r="A67" s="8" t="s">
        <v>121</v>
      </c>
      <c r="B67" s="8" t="s">
        <v>28</v>
      </c>
      <c r="C67" s="8" t="s">
        <v>122</v>
      </c>
      <c r="D67" s="8" t="s">
        <v>30</v>
      </c>
      <c r="E67" s="8" t="s">
        <v>31</v>
      </c>
      <c r="F67" s="8">
        <v>6</v>
      </c>
      <c r="G67" s="8">
        <v>1</v>
      </c>
      <c r="H67" s="8" t="s">
        <v>45</v>
      </c>
      <c r="I67" s="8">
        <v>6</v>
      </c>
      <c r="J67" s="8" t="s">
        <v>46</v>
      </c>
      <c r="K67" s="8" t="s">
        <v>34</v>
      </c>
      <c r="L67" s="8" t="s">
        <v>35</v>
      </c>
      <c r="M67" s="8" t="s">
        <v>36</v>
      </c>
      <c r="N67" s="8" t="s">
        <v>37</v>
      </c>
      <c r="O67" s="8">
        <v>108</v>
      </c>
      <c r="P67" s="8" t="s">
        <v>38</v>
      </c>
      <c r="Q67" s="8" t="s">
        <v>39</v>
      </c>
      <c r="R67" s="8" t="s">
        <v>39</v>
      </c>
      <c r="S67" s="8">
        <v>0</v>
      </c>
      <c r="T67" s="8">
        <v>108</v>
      </c>
      <c r="U67" s="8">
        <v>112.5</v>
      </c>
      <c r="V67" s="8">
        <v>14.0625</v>
      </c>
      <c r="W67" s="8">
        <v>98.4375</v>
      </c>
      <c r="X67" s="8" t="s">
        <v>40</v>
      </c>
      <c r="Y67" s="8"/>
      <c r="Z67" s="8" t="s">
        <v>41</v>
      </c>
      <c r="AA67" s="8" t="b">
        <v>1</v>
      </c>
      <c r="AB67" s="8" t="b">
        <v>1</v>
      </c>
      <c r="AC67" s="8" t="b">
        <v>1</v>
      </c>
      <c r="AD67" s="8">
        <v>1</v>
      </c>
    </row>
    <row r="68" spans="1:30">
      <c r="A68" s="13" t="s">
        <v>265</v>
      </c>
      <c r="B68" s="13" t="s">
        <v>193</v>
      </c>
      <c r="C68" s="13" t="s">
        <v>266</v>
      </c>
      <c r="D68" s="13" t="s">
        <v>30</v>
      </c>
      <c r="E68" s="13" t="s">
        <v>195</v>
      </c>
      <c r="F68" s="13">
        <v>6</v>
      </c>
      <c r="G68" s="13">
        <v>1</v>
      </c>
      <c r="H68" s="13" t="s">
        <v>32</v>
      </c>
      <c r="I68" s="13">
        <v>6</v>
      </c>
      <c r="J68" s="13" t="s">
        <v>196</v>
      </c>
      <c r="K68" s="13" t="s">
        <v>34</v>
      </c>
      <c r="L68" s="13" t="s">
        <v>973</v>
      </c>
      <c r="M68" s="13" t="s">
        <v>197</v>
      </c>
      <c r="N68" s="13" t="s">
        <v>198</v>
      </c>
      <c r="O68" s="13">
        <v>108</v>
      </c>
      <c r="P68" s="13" t="s">
        <v>205</v>
      </c>
      <c r="Q68" s="13" t="s">
        <v>243</v>
      </c>
      <c r="R68" s="13" t="s">
        <v>264</v>
      </c>
      <c r="S68" s="13">
        <v>4.5</v>
      </c>
      <c r="T68" s="13">
        <v>103.5</v>
      </c>
      <c r="U68" s="13">
        <v>107.8125</v>
      </c>
      <c r="V68" s="13">
        <v>13.4765625</v>
      </c>
      <c r="W68" s="13">
        <v>94.3359375</v>
      </c>
      <c r="X68" s="13" t="s">
        <v>40</v>
      </c>
      <c r="Y68" s="13"/>
      <c r="Z68" s="13" t="s">
        <v>202</v>
      </c>
      <c r="AA68" s="13" t="b">
        <v>1</v>
      </c>
      <c r="AB68" s="13" t="b">
        <v>1</v>
      </c>
      <c r="AC68" s="13" t="b">
        <v>1</v>
      </c>
      <c r="AD68" s="8">
        <v>1</v>
      </c>
    </row>
    <row r="69" spans="1:30">
      <c r="A69" s="14" t="s">
        <v>123</v>
      </c>
      <c r="B69" s="14" t="s">
        <v>28</v>
      </c>
      <c r="C69" s="14" t="s">
        <v>124</v>
      </c>
      <c r="D69" s="14" t="s">
        <v>49</v>
      </c>
      <c r="E69" s="14" t="s">
        <v>50</v>
      </c>
      <c r="F69" s="14">
        <v>6</v>
      </c>
      <c r="G69" s="14">
        <v>1</v>
      </c>
      <c r="H69" s="14" t="s">
        <v>51</v>
      </c>
      <c r="I69" s="14">
        <v>0</v>
      </c>
      <c r="J69" s="14" t="s">
        <v>51</v>
      </c>
      <c r="K69" s="14" t="s">
        <v>34</v>
      </c>
      <c r="L69" s="14" t="s">
        <v>35</v>
      </c>
      <c r="M69" s="14" t="s">
        <v>36</v>
      </c>
      <c r="N69" s="14" t="s">
        <v>52</v>
      </c>
      <c r="O69" s="14">
        <v>9</v>
      </c>
      <c r="P69" s="14" t="s">
        <v>38</v>
      </c>
      <c r="Q69" s="14" t="s">
        <v>39</v>
      </c>
      <c r="R69" s="14" t="s">
        <v>39</v>
      </c>
      <c r="S69" s="14">
        <v>0</v>
      </c>
      <c r="T69" s="14">
        <v>9</v>
      </c>
      <c r="U69" s="14">
        <v>9</v>
      </c>
      <c r="V69" s="14">
        <v>1.125</v>
      </c>
      <c r="W69" s="14">
        <v>7.875</v>
      </c>
      <c r="X69" s="14" t="s">
        <v>40</v>
      </c>
      <c r="Y69" s="14"/>
      <c r="Z69" s="14" t="s">
        <v>41</v>
      </c>
      <c r="AA69" s="14" t="b">
        <v>1</v>
      </c>
      <c r="AB69" s="14" t="b">
        <v>1</v>
      </c>
      <c r="AC69" s="14" t="b">
        <v>1</v>
      </c>
      <c r="AD69" s="8">
        <v>1</v>
      </c>
    </row>
    <row r="70" spans="1:30">
      <c r="A70" s="8" t="s">
        <v>125</v>
      </c>
      <c r="B70" s="8" t="s">
        <v>28</v>
      </c>
      <c r="C70" s="8" t="s">
        <v>126</v>
      </c>
      <c r="D70" s="8" t="s">
        <v>30</v>
      </c>
      <c r="E70" s="8" t="s">
        <v>31</v>
      </c>
      <c r="F70" s="8">
        <v>8</v>
      </c>
      <c r="G70" s="8">
        <v>1</v>
      </c>
      <c r="H70" s="8" t="s">
        <v>32</v>
      </c>
      <c r="I70" s="8">
        <v>8</v>
      </c>
      <c r="J70" s="8" t="s">
        <v>33</v>
      </c>
      <c r="K70" s="8" t="s">
        <v>34</v>
      </c>
      <c r="L70" s="8" t="s">
        <v>35</v>
      </c>
      <c r="M70" s="8" t="s">
        <v>36</v>
      </c>
      <c r="N70" s="8" t="s">
        <v>37</v>
      </c>
      <c r="O70" s="8">
        <v>120</v>
      </c>
      <c r="P70" s="8" t="s">
        <v>38</v>
      </c>
      <c r="Q70" s="8" t="s">
        <v>39</v>
      </c>
      <c r="R70" s="8" t="s">
        <v>39</v>
      </c>
      <c r="S70" s="8">
        <v>0</v>
      </c>
      <c r="T70" s="8">
        <v>120</v>
      </c>
      <c r="U70" s="8">
        <v>126.666666666666</v>
      </c>
      <c r="V70" s="8">
        <v>15.8333333333333</v>
      </c>
      <c r="W70" s="8">
        <v>110.833333333333</v>
      </c>
      <c r="X70" s="8" t="s">
        <v>40</v>
      </c>
      <c r="Y70" s="8"/>
      <c r="Z70" s="8" t="s">
        <v>41</v>
      </c>
      <c r="AA70" s="8" t="b">
        <v>1</v>
      </c>
      <c r="AB70" s="8" t="b">
        <v>1</v>
      </c>
      <c r="AC70" s="8" t="b">
        <v>1</v>
      </c>
      <c r="AD70" s="8">
        <v>1</v>
      </c>
    </row>
    <row r="71" spans="1:30">
      <c r="A71" s="13" t="s">
        <v>267</v>
      </c>
      <c r="B71" s="13" t="s">
        <v>193</v>
      </c>
      <c r="C71" s="13" t="s">
        <v>268</v>
      </c>
      <c r="D71" s="13" t="s">
        <v>30</v>
      </c>
      <c r="E71" s="13" t="s">
        <v>195</v>
      </c>
      <c r="F71" s="13">
        <v>8</v>
      </c>
      <c r="G71" s="13">
        <v>1</v>
      </c>
      <c r="H71" s="13" t="s">
        <v>45</v>
      </c>
      <c r="I71" s="13">
        <v>8</v>
      </c>
      <c r="J71" s="13" t="s">
        <v>196</v>
      </c>
      <c r="K71" s="13" t="s">
        <v>34</v>
      </c>
      <c r="L71" s="13" t="s">
        <v>973</v>
      </c>
      <c r="M71" s="13" t="s">
        <v>197</v>
      </c>
      <c r="N71" s="13" t="s">
        <v>198</v>
      </c>
      <c r="O71" s="13">
        <v>120</v>
      </c>
      <c r="P71" s="13" t="s">
        <v>199</v>
      </c>
      <c r="Q71" s="13" t="s">
        <v>243</v>
      </c>
      <c r="R71" s="13" t="s">
        <v>269</v>
      </c>
      <c r="S71" s="13">
        <v>-6.6666666666666599</v>
      </c>
      <c r="T71" s="13">
        <v>126.666666666666</v>
      </c>
      <c r="U71" s="13">
        <v>133.70370370370301</v>
      </c>
      <c r="V71" s="13">
        <v>16.712962962962902</v>
      </c>
      <c r="W71" s="13">
        <v>116.99074074073999</v>
      </c>
      <c r="X71" s="13" t="s">
        <v>40</v>
      </c>
      <c r="Y71" s="13"/>
      <c r="Z71" s="13" t="s">
        <v>202</v>
      </c>
      <c r="AA71" s="13" t="b">
        <v>1</v>
      </c>
      <c r="AB71" s="13" t="b">
        <v>1</v>
      </c>
      <c r="AC71" s="13" t="b">
        <v>1</v>
      </c>
      <c r="AD71" s="8">
        <v>1</v>
      </c>
    </row>
    <row r="72" spans="1:30">
      <c r="A72" s="8" t="s">
        <v>127</v>
      </c>
      <c r="B72" s="8" t="s">
        <v>28</v>
      </c>
      <c r="C72" s="8" t="s">
        <v>128</v>
      </c>
      <c r="D72" s="8" t="s">
        <v>30</v>
      </c>
      <c r="E72" s="8" t="s">
        <v>31</v>
      </c>
      <c r="F72" s="8">
        <v>8</v>
      </c>
      <c r="G72" s="8">
        <v>1</v>
      </c>
      <c r="H72" s="8" t="s">
        <v>45</v>
      </c>
      <c r="I72" s="8">
        <v>8</v>
      </c>
      <c r="J72" s="8" t="s">
        <v>46</v>
      </c>
      <c r="K72" s="8" t="s">
        <v>34</v>
      </c>
      <c r="L72" s="8" t="s">
        <v>35</v>
      </c>
      <c r="M72" s="8" t="s">
        <v>36</v>
      </c>
      <c r="N72" s="8" t="s">
        <v>37</v>
      </c>
      <c r="O72" s="8">
        <v>144</v>
      </c>
      <c r="P72" s="8" t="s">
        <v>38</v>
      </c>
      <c r="Q72" s="8" t="s">
        <v>39</v>
      </c>
      <c r="R72" s="8" t="s">
        <v>39</v>
      </c>
      <c r="S72" s="8">
        <v>0</v>
      </c>
      <c r="T72" s="8">
        <v>144</v>
      </c>
      <c r="U72" s="8">
        <v>152</v>
      </c>
      <c r="V72" s="8">
        <v>19</v>
      </c>
      <c r="W72" s="8">
        <v>133</v>
      </c>
      <c r="X72" s="8" t="s">
        <v>40</v>
      </c>
      <c r="Y72" s="8"/>
      <c r="Z72" s="8" t="s">
        <v>41</v>
      </c>
      <c r="AA72" s="8" t="b">
        <v>1</v>
      </c>
      <c r="AB72" s="8" t="b">
        <v>1</v>
      </c>
      <c r="AC72" s="8" t="b">
        <v>1</v>
      </c>
      <c r="AD72" s="8">
        <v>1</v>
      </c>
    </row>
    <row r="73" spans="1:30">
      <c r="A73" s="13" t="s">
        <v>270</v>
      </c>
      <c r="B73" s="13" t="s">
        <v>193</v>
      </c>
      <c r="C73" s="13" t="s">
        <v>271</v>
      </c>
      <c r="D73" s="13" t="s">
        <v>30</v>
      </c>
      <c r="E73" s="13" t="s">
        <v>195</v>
      </c>
      <c r="F73" s="13">
        <v>8</v>
      </c>
      <c r="G73" s="13">
        <v>1</v>
      </c>
      <c r="H73" s="13" t="s">
        <v>32</v>
      </c>
      <c r="I73" s="13">
        <v>8</v>
      </c>
      <c r="J73" s="13" t="s">
        <v>196</v>
      </c>
      <c r="K73" s="13" t="s">
        <v>34</v>
      </c>
      <c r="L73" s="13" t="s">
        <v>973</v>
      </c>
      <c r="M73" s="13" t="s">
        <v>197</v>
      </c>
      <c r="N73" s="13" t="s">
        <v>198</v>
      </c>
      <c r="O73" s="13">
        <v>144</v>
      </c>
      <c r="P73" s="13" t="s">
        <v>205</v>
      </c>
      <c r="Q73" s="13" t="s">
        <v>243</v>
      </c>
      <c r="R73" s="13" t="s">
        <v>269</v>
      </c>
      <c r="S73" s="13">
        <v>8</v>
      </c>
      <c r="T73" s="13">
        <v>136</v>
      </c>
      <c r="U73" s="13">
        <v>143.555555555555</v>
      </c>
      <c r="V73" s="13">
        <v>17.9444444444444</v>
      </c>
      <c r="W73" s="13">
        <v>125.611111111111</v>
      </c>
      <c r="X73" s="13" t="s">
        <v>40</v>
      </c>
      <c r="Y73" s="13"/>
      <c r="Z73" s="13" t="s">
        <v>202</v>
      </c>
      <c r="AA73" s="13" t="b">
        <v>1</v>
      </c>
      <c r="AB73" s="13" t="b">
        <v>1</v>
      </c>
      <c r="AC73" s="13" t="b">
        <v>1</v>
      </c>
      <c r="AD73" s="8">
        <v>1</v>
      </c>
    </row>
    <row r="74" spans="1:30">
      <c r="A74" s="14" t="s">
        <v>129</v>
      </c>
      <c r="B74" s="14" t="s">
        <v>28</v>
      </c>
      <c r="C74" s="14" t="s">
        <v>130</v>
      </c>
      <c r="D74" s="14" t="s">
        <v>49</v>
      </c>
      <c r="E74" s="14" t="s">
        <v>50</v>
      </c>
      <c r="F74" s="14">
        <v>8</v>
      </c>
      <c r="G74" s="14">
        <v>1</v>
      </c>
      <c r="H74" s="14" t="s">
        <v>51</v>
      </c>
      <c r="I74" s="14">
        <v>0</v>
      </c>
      <c r="J74" s="14" t="s">
        <v>51</v>
      </c>
      <c r="K74" s="14" t="s">
        <v>34</v>
      </c>
      <c r="L74" s="14" t="s">
        <v>35</v>
      </c>
      <c r="M74" s="14" t="s">
        <v>36</v>
      </c>
      <c r="N74" s="14" t="s">
        <v>52</v>
      </c>
      <c r="O74" s="14">
        <v>12</v>
      </c>
      <c r="P74" s="14" t="s">
        <v>38</v>
      </c>
      <c r="Q74" s="14" t="s">
        <v>39</v>
      </c>
      <c r="R74" s="14" t="s">
        <v>39</v>
      </c>
      <c r="S74" s="14">
        <v>0</v>
      </c>
      <c r="T74" s="14">
        <v>12</v>
      </c>
      <c r="U74" s="14">
        <v>12</v>
      </c>
      <c r="V74" s="14">
        <v>1.5</v>
      </c>
      <c r="W74" s="14">
        <v>10.5</v>
      </c>
      <c r="X74" s="14" t="s">
        <v>40</v>
      </c>
      <c r="Y74" s="14"/>
      <c r="Z74" s="14" t="s">
        <v>41</v>
      </c>
      <c r="AA74" s="14" t="b">
        <v>1</v>
      </c>
      <c r="AB74" s="14" t="b">
        <v>1</v>
      </c>
      <c r="AC74" s="14" t="b">
        <v>1</v>
      </c>
      <c r="AD74" s="8">
        <v>1</v>
      </c>
    </row>
    <row r="75" spans="1:30">
      <c r="A75" s="8" t="s">
        <v>131</v>
      </c>
      <c r="B75" s="8" t="s">
        <v>28</v>
      </c>
      <c r="C75" s="8" t="s">
        <v>132</v>
      </c>
      <c r="D75" s="8" t="s">
        <v>30</v>
      </c>
      <c r="E75" s="8" t="s">
        <v>31</v>
      </c>
      <c r="F75" s="8">
        <v>9</v>
      </c>
      <c r="G75" s="8">
        <v>1</v>
      </c>
      <c r="H75" s="8" t="s">
        <v>32</v>
      </c>
      <c r="I75" s="8">
        <v>9</v>
      </c>
      <c r="J75" s="8" t="s">
        <v>33</v>
      </c>
      <c r="K75" s="8" t="s">
        <v>34</v>
      </c>
      <c r="L75" s="8" t="s">
        <v>35</v>
      </c>
      <c r="M75" s="8" t="s">
        <v>36</v>
      </c>
      <c r="N75" s="8" t="s">
        <v>37</v>
      </c>
      <c r="O75" s="8">
        <v>135</v>
      </c>
      <c r="P75" s="8" t="s">
        <v>38</v>
      </c>
      <c r="Q75" s="8" t="s">
        <v>39</v>
      </c>
      <c r="R75" s="8" t="s">
        <v>39</v>
      </c>
      <c r="S75" s="8">
        <v>0</v>
      </c>
      <c r="T75" s="8">
        <v>135</v>
      </c>
      <c r="U75" s="8">
        <v>143.4375</v>
      </c>
      <c r="V75" s="8">
        <v>17.9296875</v>
      </c>
      <c r="W75" s="8">
        <v>125.5078125</v>
      </c>
      <c r="X75" s="8" t="s">
        <v>40</v>
      </c>
      <c r="Y75" s="8"/>
      <c r="Z75" s="8" t="s">
        <v>41</v>
      </c>
      <c r="AA75" s="8" t="b">
        <v>1</v>
      </c>
      <c r="AB75" s="8" t="b">
        <v>1</v>
      </c>
      <c r="AC75" s="8" t="b">
        <v>1</v>
      </c>
      <c r="AD75" s="8">
        <v>1</v>
      </c>
    </row>
    <row r="76" spans="1:30">
      <c r="A76" s="13" t="s">
        <v>272</v>
      </c>
      <c r="B76" s="13" t="s">
        <v>193</v>
      </c>
      <c r="C76" s="13" t="s">
        <v>273</v>
      </c>
      <c r="D76" s="13" t="s">
        <v>30</v>
      </c>
      <c r="E76" s="13" t="s">
        <v>195</v>
      </c>
      <c r="F76" s="13">
        <v>9</v>
      </c>
      <c r="G76" s="13">
        <v>1</v>
      </c>
      <c r="H76" s="13" t="s">
        <v>45</v>
      </c>
      <c r="I76" s="13">
        <v>9</v>
      </c>
      <c r="J76" s="13" t="s">
        <v>196</v>
      </c>
      <c r="K76" s="13" t="s">
        <v>34</v>
      </c>
      <c r="L76" s="13" t="s">
        <v>973</v>
      </c>
      <c r="M76" s="13" t="s">
        <v>197</v>
      </c>
      <c r="N76" s="13" t="s">
        <v>198</v>
      </c>
      <c r="O76" s="13">
        <v>135</v>
      </c>
      <c r="P76" s="13" t="s">
        <v>199</v>
      </c>
      <c r="Q76" s="13" t="s">
        <v>243</v>
      </c>
      <c r="R76" s="13" t="s">
        <v>274</v>
      </c>
      <c r="S76" s="13">
        <v>-8.4375</v>
      </c>
      <c r="T76" s="13">
        <v>143.4375</v>
      </c>
      <c r="U76" s="13">
        <v>152.40234375</v>
      </c>
      <c r="V76" s="13">
        <v>19.05029296875</v>
      </c>
      <c r="W76" s="13">
        <v>133.35205078125</v>
      </c>
      <c r="X76" s="13" t="s">
        <v>40</v>
      </c>
      <c r="Y76" s="13"/>
      <c r="Z76" s="13" t="s">
        <v>202</v>
      </c>
      <c r="AA76" s="13" t="b">
        <v>1</v>
      </c>
      <c r="AB76" s="13" t="b">
        <v>1</v>
      </c>
      <c r="AC76" s="13" t="b">
        <v>1</v>
      </c>
      <c r="AD76" s="8">
        <v>1</v>
      </c>
    </row>
    <row r="77" spans="1:30">
      <c r="A77" s="8" t="s">
        <v>133</v>
      </c>
      <c r="B77" s="8" t="s">
        <v>28</v>
      </c>
      <c r="C77" s="8" t="s">
        <v>134</v>
      </c>
      <c r="D77" s="8" t="s">
        <v>30</v>
      </c>
      <c r="E77" s="8" t="s">
        <v>31</v>
      </c>
      <c r="F77" s="8">
        <v>9</v>
      </c>
      <c r="G77" s="8">
        <v>1</v>
      </c>
      <c r="H77" s="8" t="s">
        <v>45</v>
      </c>
      <c r="I77" s="8">
        <v>9</v>
      </c>
      <c r="J77" s="8" t="s">
        <v>46</v>
      </c>
      <c r="K77" s="8" t="s">
        <v>34</v>
      </c>
      <c r="L77" s="8" t="s">
        <v>35</v>
      </c>
      <c r="M77" s="8" t="s">
        <v>36</v>
      </c>
      <c r="N77" s="8" t="s">
        <v>37</v>
      </c>
      <c r="O77" s="8">
        <v>162</v>
      </c>
      <c r="P77" s="8" t="s">
        <v>38</v>
      </c>
      <c r="Q77" s="8" t="s">
        <v>39</v>
      </c>
      <c r="R77" s="8" t="s">
        <v>39</v>
      </c>
      <c r="S77" s="8">
        <v>0</v>
      </c>
      <c r="T77" s="8">
        <v>162</v>
      </c>
      <c r="U77" s="8">
        <v>172.125</v>
      </c>
      <c r="V77" s="8">
        <v>21.515625</v>
      </c>
      <c r="W77" s="8">
        <v>150.609375</v>
      </c>
      <c r="X77" s="8" t="s">
        <v>40</v>
      </c>
      <c r="Y77" s="8"/>
      <c r="Z77" s="8" t="s">
        <v>41</v>
      </c>
      <c r="AA77" s="8" t="b">
        <v>1</v>
      </c>
      <c r="AB77" s="8" t="b">
        <v>1</v>
      </c>
      <c r="AC77" s="8" t="b">
        <v>1</v>
      </c>
      <c r="AD77" s="8">
        <v>1</v>
      </c>
    </row>
    <row r="78" spans="1:30">
      <c r="A78" s="13" t="s">
        <v>275</v>
      </c>
      <c r="B78" s="13" t="s">
        <v>193</v>
      </c>
      <c r="C78" s="13" t="s">
        <v>276</v>
      </c>
      <c r="D78" s="13" t="s">
        <v>30</v>
      </c>
      <c r="E78" s="13" t="s">
        <v>195</v>
      </c>
      <c r="F78" s="13">
        <v>9</v>
      </c>
      <c r="G78" s="13">
        <v>1</v>
      </c>
      <c r="H78" s="13" t="s">
        <v>32</v>
      </c>
      <c r="I78" s="13">
        <v>9</v>
      </c>
      <c r="J78" s="13" t="s">
        <v>196</v>
      </c>
      <c r="K78" s="13" t="s">
        <v>34</v>
      </c>
      <c r="L78" s="13" t="s">
        <v>973</v>
      </c>
      <c r="M78" s="13" t="s">
        <v>197</v>
      </c>
      <c r="N78" s="13" t="s">
        <v>198</v>
      </c>
      <c r="O78" s="13">
        <v>162</v>
      </c>
      <c r="P78" s="13" t="s">
        <v>205</v>
      </c>
      <c r="Q78" s="13" t="s">
        <v>243</v>
      </c>
      <c r="R78" s="13" t="s">
        <v>274</v>
      </c>
      <c r="S78" s="13">
        <v>10.125</v>
      </c>
      <c r="T78" s="13">
        <v>151.875</v>
      </c>
      <c r="U78" s="13">
        <v>161.3671875</v>
      </c>
      <c r="V78" s="13">
        <v>20.1708984375</v>
      </c>
      <c r="W78" s="13">
        <v>141.1962890625</v>
      </c>
      <c r="X78" s="13" t="s">
        <v>40</v>
      </c>
      <c r="Y78" s="13"/>
      <c r="Z78" s="13" t="s">
        <v>202</v>
      </c>
      <c r="AA78" s="13" t="b">
        <v>1</v>
      </c>
      <c r="AB78" s="13" t="b">
        <v>1</v>
      </c>
      <c r="AC78" s="13" t="b">
        <v>1</v>
      </c>
      <c r="AD78" s="8">
        <v>1</v>
      </c>
    </row>
    <row r="79" spans="1:30">
      <c r="A79" s="14" t="s">
        <v>135</v>
      </c>
      <c r="B79" s="14" t="s">
        <v>28</v>
      </c>
      <c r="C79" s="14" t="s">
        <v>136</v>
      </c>
      <c r="D79" s="14" t="s">
        <v>49</v>
      </c>
      <c r="E79" s="14" t="s">
        <v>50</v>
      </c>
      <c r="F79" s="14">
        <v>9</v>
      </c>
      <c r="G79" s="14">
        <v>1</v>
      </c>
      <c r="H79" s="14" t="s">
        <v>51</v>
      </c>
      <c r="I79" s="14">
        <v>0</v>
      </c>
      <c r="J79" s="14" t="s">
        <v>51</v>
      </c>
      <c r="K79" s="14" t="s">
        <v>34</v>
      </c>
      <c r="L79" s="14" t="s">
        <v>35</v>
      </c>
      <c r="M79" s="14" t="s">
        <v>36</v>
      </c>
      <c r="N79" s="14" t="s">
        <v>52</v>
      </c>
      <c r="O79" s="14">
        <v>13.5</v>
      </c>
      <c r="P79" s="14" t="s">
        <v>38</v>
      </c>
      <c r="Q79" s="14" t="s">
        <v>39</v>
      </c>
      <c r="R79" s="14" t="s">
        <v>39</v>
      </c>
      <c r="S79" s="14">
        <v>0</v>
      </c>
      <c r="T79" s="14">
        <v>13.5</v>
      </c>
      <c r="U79" s="14">
        <v>13.5</v>
      </c>
      <c r="V79" s="14">
        <v>1.6875</v>
      </c>
      <c r="W79" s="14">
        <v>11.8125</v>
      </c>
      <c r="X79" s="14" t="s">
        <v>40</v>
      </c>
      <c r="Y79" s="14"/>
      <c r="Z79" s="14" t="s">
        <v>41</v>
      </c>
      <c r="AA79" s="14" t="b">
        <v>1</v>
      </c>
      <c r="AB79" s="14" t="b">
        <v>1</v>
      </c>
      <c r="AC79" s="14" t="b">
        <v>1</v>
      </c>
      <c r="AD79" s="8">
        <v>1</v>
      </c>
    </row>
    <row r="80" spans="1:30">
      <c r="A80" s="8" t="s">
        <v>137</v>
      </c>
      <c r="B80" s="8" t="s">
        <v>28</v>
      </c>
      <c r="C80" s="8" t="s">
        <v>138</v>
      </c>
      <c r="D80" s="8" t="s">
        <v>30</v>
      </c>
      <c r="E80" s="8" t="s">
        <v>31</v>
      </c>
      <c r="F80" s="8">
        <v>12</v>
      </c>
      <c r="G80" s="8">
        <v>1</v>
      </c>
      <c r="H80" s="8" t="s">
        <v>32</v>
      </c>
      <c r="I80" s="8">
        <v>12</v>
      </c>
      <c r="J80" s="8" t="s">
        <v>33</v>
      </c>
      <c r="K80" s="8" t="s">
        <v>34</v>
      </c>
      <c r="L80" s="8" t="s">
        <v>35</v>
      </c>
      <c r="M80" s="8" t="s">
        <v>36</v>
      </c>
      <c r="N80" s="8" t="s">
        <v>37</v>
      </c>
      <c r="O80" s="8">
        <v>180</v>
      </c>
      <c r="P80" s="8" t="s">
        <v>38</v>
      </c>
      <c r="Q80" s="8" t="s">
        <v>39</v>
      </c>
      <c r="R80" s="8" t="s">
        <v>39</v>
      </c>
      <c r="S80" s="8">
        <v>0</v>
      </c>
      <c r="T80" s="8">
        <v>180</v>
      </c>
      <c r="U80" s="8">
        <v>194.99999999999901</v>
      </c>
      <c r="V80" s="8">
        <v>24.374999999999901</v>
      </c>
      <c r="W80" s="8">
        <v>170.62499999999901</v>
      </c>
      <c r="X80" s="8" t="s">
        <v>40</v>
      </c>
      <c r="Y80" s="8"/>
      <c r="Z80" s="8" t="s">
        <v>41</v>
      </c>
      <c r="AA80" s="8" t="b">
        <v>1</v>
      </c>
      <c r="AB80" s="8" t="b">
        <v>1</v>
      </c>
      <c r="AC80" s="8" t="b">
        <v>1</v>
      </c>
      <c r="AD80" s="8">
        <v>1</v>
      </c>
    </row>
    <row r="81" spans="1:30">
      <c r="A81" s="13" t="s">
        <v>277</v>
      </c>
      <c r="B81" s="13" t="s">
        <v>193</v>
      </c>
      <c r="C81" s="13" t="s">
        <v>278</v>
      </c>
      <c r="D81" s="13" t="s">
        <v>30</v>
      </c>
      <c r="E81" s="13" t="s">
        <v>195</v>
      </c>
      <c r="F81" s="13">
        <v>12</v>
      </c>
      <c r="G81" s="13">
        <v>1</v>
      </c>
      <c r="H81" s="13" t="s">
        <v>45</v>
      </c>
      <c r="I81" s="13">
        <v>12</v>
      </c>
      <c r="J81" s="13" t="s">
        <v>196</v>
      </c>
      <c r="K81" s="13" t="s">
        <v>34</v>
      </c>
      <c r="L81" s="13" t="s">
        <v>973</v>
      </c>
      <c r="M81" s="13" t="s">
        <v>197</v>
      </c>
      <c r="N81" s="13" t="s">
        <v>198</v>
      </c>
      <c r="O81" s="13">
        <v>180</v>
      </c>
      <c r="P81" s="13" t="s">
        <v>199</v>
      </c>
      <c r="Q81" s="13" t="s">
        <v>243</v>
      </c>
      <c r="R81" s="13" t="s">
        <v>279</v>
      </c>
      <c r="S81" s="13">
        <v>-15</v>
      </c>
      <c r="T81" s="13">
        <v>195</v>
      </c>
      <c r="U81" s="13">
        <v>211.24999999999901</v>
      </c>
      <c r="V81" s="13">
        <v>26.406249999999901</v>
      </c>
      <c r="W81" s="13">
        <v>184.84374999999901</v>
      </c>
      <c r="X81" s="13" t="s">
        <v>40</v>
      </c>
      <c r="Y81" s="13"/>
      <c r="Z81" s="13" t="s">
        <v>202</v>
      </c>
      <c r="AA81" s="13" t="b">
        <v>1</v>
      </c>
      <c r="AB81" s="13" t="b">
        <v>1</v>
      </c>
      <c r="AC81" s="13" t="b">
        <v>1</v>
      </c>
      <c r="AD81" s="8">
        <v>1</v>
      </c>
    </row>
    <row r="82" spans="1:30">
      <c r="A82" s="8" t="s">
        <v>139</v>
      </c>
      <c r="B82" s="8" t="s">
        <v>28</v>
      </c>
      <c r="C82" s="8" t="s">
        <v>140</v>
      </c>
      <c r="D82" s="8" t="s">
        <v>30</v>
      </c>
      <c r="E82" s="8" t="s">
        <v>31</v>
      </c>
      <c r="F82" s="8">
        <v>12</v>
      </c>
      <c r="G82" s="8">
        <v>1</v>
      </c>
      <c r="H82" s="8" t="s">
        <v>45</v>
      </c>
      <c r="I82" s="8">
        <v>12</v>
      </c>
      <c r="J82" s="8" t="s">
        <v>46</v>
      </c>
      <c r="K82" s="8" t="s">
        <v>34</v>
      </c>
      <c r="L82" s="8" t="s">
        <v>35</v>
      </c>
      <c r="M82" s="8" t="s">
        <v>36</v>
      </c>
      <c r="N82" s="8" t="s">
        <v>37</v>
      </c>
      <c r="O82" s="8">
        <v>216</v>
      </c>
      <c r="P82" s="8" t="s">
        <v>38</v>
      </c>
      <c r="Q82" s="8" t="s">
        <v>39</v>
      </c>
      <c r="R82" s="8" t="s">
        <v>39</v>
      </c>
      <c r="S82" s="8">
        <v>0</v>
      </c>
      <c r="T82" s="8">
        <v>216</v>
      </c>
      <c r="U82" s="8">
        <v>233.99999999999901</v>
      </c>
      <c r="V82" s="8">
        <v>29.249999999999901</v>
      </c>
      <c r="W82" s="8">
        <v>204.74999999999901</v>
      </c>
      <c r="X82" s="8" t="s">
        <v>40</v>
      </c>
      <c r="Y82" s="8"/>
      <c r="Z82" s="8" t="s">
        <v>41</v>
      </c>
      <c r="AA82" s="8" t="b">
        <v>1</v>
      </c>
      <c r="AB82" s="8" t="b">
        <v>1</v>
      </c>
      <c r="AC82" s="8" t="b">
        <v>1</v>
      </c>
      <c r="AD82" s="8">
        <v>1</v>
      </c>
    </row>
    <row r="83" spans="1:30">
      <c r="A83" s="13" t="s">
        <v>280</v>
      </c>
      <c r="B83" s="13" t="s">
        <v>193</v>
      </c>
      <c r="C83" s="13" t="s">
        <v>281</v>
      </c>
      <c r="D83" s="13" t="s">
        <v>30</v>
      </c>
      <c r="E83" s="13" t="s">
        <v>195</v>
      </c>
      <c r="F83" s="13">
        <v>12</v>
      </c>
      <c r="G83" s="13">
        <v>1</v>
      </c>
      <c r="H83" s="13" t="s">
        <v>32</v>
      </c>
      <c r="I83" s="13">
        <v>12</v>
      </c>
      <c r="J83" s="13" t="s">
        <v>196</v>
      </c>
      <c r="K83" s="13" t="s">
        <v>34</v>
      </c>
      <c r="L83" s="13" t="s">
        <v>973</v>
      </c>
      <c r="M83" s="13" t="s">
        <v>197</v>
      </c>
      <c r="N83" s="13" t="s">
        <v>198</v>
      </c>
      <c r="O83" s="13">
        <v>216</v>
      </c>
      <c r="P83" s="13" t="s">
        <v>205</v>
      </c>
      <c r="Q83" s="13" t="s">
        <v>243</v>
      </c>
      <c r="R83" s="13" t="s">
        <v>279</v>
      </c>
      <c r="S83" s="13">
        <v>18</v>
      </c>
      <c r="T83" s="13">
        <v>198</v>
      </c>
      <c r="U83" s="13">
        <v>214.49999999999901</v>
      </c>
      <c r="V83" s="13">
        <v>26.812499999999901</v>
      </c>
      <c r="W83" s="13">
        <v>187.68749999999901</v>
      </c>
      <c r="X83" s="13" t="s">
        <v>40</v>
      </c>
      <c r="Y83" s="13"/>
      <c r="Z83" s="13" t="s">
        <v>202</v>
      </c>
      <c r="AA83" s="13" t="b">
        <v>1</v>
      </c>
      <c r="AB83" s="13" t="b">
        <v>1</v>
      </c>
      <c r="AC83" s="13" t="b">
        <v>1</v>
      </c>
      <c r="AD83" s="8">
        <v>1</v>
      </c>
    </row>
    <row r="84" spans="1:30">
      <c r="A84" s="14" t="s">
        <v>141</v>
      </c>
      <c r="B84" s="14" t="s">
        <v>28</v>
      </c>
      <c r="C84" s="14" t="s">
        <v>142</v>
      </c>
      <c r="D84" s="14" t="s">
        <v>49</v>
      </c>
      <c r="E84" s="14" t="s">
        <v>50</v>
      </c>
      <c r="F84" s="14">
        <v>12</v>
      </c>
      <c r="G84" s="14">
        <v>1</v>
      </c>
      <c r="H84" s="14" t="s">
        <v>51</v>
      </c>
      <c r="I84" s="14">
        <v>0</v>
      </c>
      <c r="J84" s="14" t="s">
        <v>51</v>
      </c>
      <c r="K84" s="14" t="s">
        <v>34</v>
      </c>
      <c r="L84" s="14" t="s">
        <v>35</v>
      </c>
      <c r="M84" s="14" t="s">
        <v>36</v>
      </c>
      <c r="N84" s="14" t="s">
        <v>52</v>
      </c>
      <c r="O84" s="14">
        <v>18</v>
      </c>
      <c r="P84" s="14" t="s">
        <v>38</v>
      </c>
      <c r="Q84" s="14" t="s">
        <v>39</v>
      </c>
      <c r="R84" s="14" t="s">
        <v>39</v>
      </c>
      <c r="S84" s="14">
        <v>0</v>
      </c>
      <c r="T84" s="14">
        <v>18</v>
      </c>
      <c r="U84" s="14">
        <v>18</v>
      </c>
      <c r="V84" s="14">
        <v>2.25</v>
      </c>
      <c r="W84" s="14">
        <v>15.75</v>
      </c>
      <c r="X84" s="14" t="s">
        <v>40</v>
      </c>
      <c r="Y84" s="14"/>
      <c r="Z84" s="14" t="s">
        <v>41</v>
      </c>
      <c r="AA84" s="14" t="b">
        <v>1</v>
      </c>
      <c r="AB84" s="14" t="b">
        <v>1</v>
      </c>
      <c r="AC84" s="14" t="b">
        <v>1</v>
      </c>
      <c r="AD84" s="8">
        <v>1</v>
      </c>
    </row>
    <row r="85" spans="1:30">
      <c r="A85" s="8" t="s">
        <v>143</v>
      </c>
      <c r="B85" s="8" t="s">
        <v>28</v>
      </c>
      <c r="C85" s="8" t="s">
        <v>144</v>
      </c>
      <c r="D85" s="8" t="s">
        <v>30</v>
      </c>
      <c r="E85" s="8" t="s">
        <v>31</v>
      </c>
      <c r="F85" s="8">
        <v>1</v>
      </c>
      <c r="G85" s="8">
        <v>2</v>
      </c>
      <c r="H85" s="8" t="s">
        <v>32</v>
      </c>
      <c r="I85" s="8">
        <v>1</v>
      </c>
      <c r="J85" s="8" t="s">
        <v>33</v>
      </c>
      <c r="K85" s="8" t="s">
        <v>34</v>
      </c>
      <c r="L85" s="8" t="s">
        <v>35</v>
      </c>
      <c r="M85" s="8" t="s">
        <v>36</v>
      </c>
      <c r="N85" s="8" t="s">
        <v>37</v>
      </c>
      <c r="O85" s="8">
        <v>180</v>
      </c>
      <c r="P85" s="8" t="s">
        <v>38</v>
      </c>
      <c r="Q85" s="8" t="s">
        <v>39</v>
      </c>
      <c r="R85" s="8" t="s">
        <v>39</v>
      </c>
      <c r="S85" s="8">
        <v>0</v>
      </c>
      <c r="T85" s="8">
        <v>180</v>
      </c>
      <c r="U85" s="8">
        <v>181.24999999999901</v>
      </c>
      <c r="V85" s="8">
        <v>22.656249999999901</v>
      </c>
      <c r="W85" s="8">
        <v>158.59374999999901</v>
      </c>
      <c r="X85" s="8" t="s">
        <v>40</v>
      </c>
      <c r="Y85" s="8"/>
      <c r="Z85" s="8" t="s">
        <v>41</v>
      </c>
      <c r="AA85" s="8" t="b">
        <v>1</v>
      </c>
      <c r="AB85" s="8" t="b">
        <v>1</v>
      </c>
      <c r="AC85" s="8" t="b">
        <v>1</v>
      </c>
      <c r="AD85" s="8">
        <v>1</v>
      </c>
    </row>
    <row r="86" spans="1:30">
      <c r="A86" s="13" t="s">
        <v>282</v>
      </c>
      <c r="B86" s="13" t="s">
        <v>193</v>
      </c>
      <c r="C86" s="13" t="s">
        <v>283</v>
      </c>
      <c r="D86" s="13" t="s">
        <v>30</v>
      </c>
      <c r="E86" s="13" t="s">
        <v>195</v>
      </c>
      <c r="F86" s="13">
        <v>1</v>
      </c>
      <c r="G86" s="13">
        <v>2</v>
      </c>
      <c r="H86" s="13" t="s">
        <v>45</v>
      </c>
      <c r="I86" s="13">
        <v>1</v>
      </c>
      <c r="J86" s="13" t="s">
        <v>196</v>
      </c>
      <c r="K86" s="13" t="s">
        <v>34</v>
      </c>
      <c r="L86" s="13" t="s">
        <v>973</v>
      </c>
      <c r="M86" s="13" t="s">
        <v>197</v>
      </c>
      <c r="N86" s="13" t="s">
        <v>198</v>
      </c>
      <c r="O86" s="13">
        <v>180</v>
      </c>
      <c r="P86" s="13" t="s">
        <v>199</v>
      </c>
      <c r="Q86" s="13" t="s">
        <v>284</v>
      </c>
      <c r="R86" s="13" t="s">
        <v>285</v>
      </c>
      <c r="S86" s="13">
        <v>-0.10416666666666601</v>
      </c>
      <c r="T86" s="13">
        <v>180.104166666666</v>
      </c>
      <c r="U86" s="13">
        <v>181.35489004629599</v>
      </c>
      <c r="V86" s="13">
        <v>22.669361255786999</v>
      </c>
      <c r="W86" s="13">
        <v>158.68552879050901</v>
      </c>
      <c r="X86" s="13" t="s">
        <v>40</v>
      </c>
      <c r="Y86" s="13"/>
      <c r="Z86" s="13" t="s">
        <v>202</v>
      </c>
      <c r="AA86" s="13" t="b">
        <v>1</v>
      </c>
      <c r="AB86" s="13" t="b">
        <v>1</v>
      </c>
      <c r="AC86" s="13" t="b">
        <v>1</v>
      </c>
      <c r="AD86" s="8">
        <v>1</v>
      </c>
    </row>
    <row r="87" spans="1:30">
      <c r="A87" s="8" t="s">
        <v>145</v>
      </c>
      <c r="B87" s="8" t="s">
        <v>28</v>
      </c>
      <c r="C87" s="8" t="s">
        <v>146</v>
      </c>
      <c r="D87" s="8" t="s">
        <v>30</v>
      </c>
      <c r="E87" s="8" t="s">
        <v>31</v>
      </c>
      <c r="F87" s="8">
        <v>1</v>
      </c>
      <c r="G87" s="8">
        <v>2</v>
      </c>
      <c r="H87" s="8" t="s">
        <v>45</v>
      </c>
      <c r="I87" s="8">
        <v>1</v>
      </c>
      <c r="J87" s="8" t="s">
        <v>46</v>
      </c>
      <c r="K87" s="8" t="s">
        <v>34</v>
      </c>
      <c r="L87" s="8" t="s">
        <v>35</v>
      </c>
      <c r="M87" s="8" t="s">
        <v>36</v>
      </c>
      <c r="N87" s="8" t="s">
        <v>37</v>
      </c>
      <c r="O87" s="8">
        <v>216</v>
      </c>
      <c r="P87" s="8" t="s">
        <v>38</v>
      </c>
      <c r="Q87" s="8" t="s">
        <v>39</v>
      </c>
      <c r="R87" s="8" t="s">
        <v>39</v>
      </c>
      <c r="S87" s="8">
        <v>0</v>
      </c>
      <c r="T87" s="8">
        <v>216</v>
      </c>
      <c r="U87" s="8">
        <v>217.49999999999901</v>
      </c>
      <c r="V87" s="8">
        <v>27.187499999999901</v>
      </c>
      <c r="W87" s="8">
        <v>190.31249999999901</v>
      </c>
      <c r="X87" s="8" t="s">
        <v>40</v>
      </c>
      <c r="Y87" s="8"/>
      <c r="Z87" s="8" t="s">
        <v>41</v>
      </c>
      <c r="AA87" s="8" t="b">
        <v>1</v>
      </c>
      <c r="AB87" s="8" t="b">
        <v>1</v>
      </c>
      <c r="AC87" s="8" t="b">
        <v>1</v>
      </c>
      <c r="AD87" s="8">
        <v>1</v>
      </c>
    </row>
    <row r="88" spans="1:30">
      <c r="A88" s="13" t="s">
        <v>286</v>
      </c>
      <c r="B88" s="13" t="s">
        <v>193</v>
      </c>
      <c r="C88" s="13" t="s">
        <v>287</v>
      </c>
      <c r="D88" s="13" t="s">
        <v>30</v>
      </c>
      <c r="E88" s="13" t="s">
        <v>195</v>
      </c>
      <c r="F88" s="13">
        <v>1</v>
      </c>
      <c r="G88" s="13">
        <v>2</v>
      </c>
      <c r="H88" s="13" t="s">
        <v>32</v>
      </c>
      <c r="I88" s="13">
        <v>1</v>
      </c>
      <c r="J88" s="13" t="s">
        <v>196</v>
      </c>
      <c r="K88" s="13" t="s">
        <v>34</v>
      </c>
      <c r="L88" s="13" t="s">
        <v>973</v>
      </c>
      <c r="M88" s="13" t="s">
        <v>197</v>
      </c>
      <c r="N88" s="13" t="s">
        <v>198</v>
      </c>
      <c r="O88" s="13">
        <v>216</v>
      </c>
      <c r="P88" s="13" t="s">
        <v>205</v>
      </c>
      <c r="Q88" s="13" t="s">
        <v>284</v>
      </c>
      <c r="R88" s="13" t="s">
        <v>285</v>
      </c>
      <c r="S88" s="13">
        <v>0.125</v>
      </c>
      <c r="T88" s="13">
        <v>215.875</v>
      </c>
      <c r="U88" s="13">
        <v>217.374131944444</v>
      </c>
      <c r="V88" s="13">
        <v>27.1717664930555</v>
      </c>
      <c r="W88" s="13">
        <v>190.202365451388</v>
      </c>
      <c r="X88" s="13" t="s">
        <v>40</v>
      </c>
      <c r="Y88" s="13"/>
      <c r="Z88" s="13" t="s">
        <v>202</v>
      </c>
      <c r="AA88" s="13" t="b">
        <v>1</v>
      </c>
      <c r="AB88" s="13" t="b">
        <v>1</v>
      </c>
      <c r="AC88" s="13" t="b">
        <v>1</v>
      </c>
      <c r="AD88" s="8">
        <v>1</v>
      </c>
    </row>
    <row r="89" spans="1:30">
      <c r="A89" s="14" t="s">
        <v>147</v>
      </c>
      <c r="B89" s="14" t="s">
        <v>28</v>
      </c>
      <c r="C89" s="14" t="s">
        <v>148</v>
      </c>
      <c r="D89" s="14" t="s">
        <v>49</v>
      </c>
      <c r="E89" s="14" t="s">
        <v>50</v>
      </c>
      <c r="F89" s="14">
        <v>1</v>
      </c>
      <c r="G89" s="14">
        <v>2</v>
      </c>
      <c r="H89" s="14" t="s">
        <v>51</v>
      </c>
      <c r="I89" s="14">
        <v>0</v>
      </c>
      <c r="J89" s="14" t="s">
        <v>51</v>
      </c>
      <c r="K89" s="14" t="s">
        <v>34</v>
      </c>
      <c r="L89" s="14" t="s">
        <v>35</v>
      </c>
      <c r="M89" s="14" t="s">
        <v>36</v>
      </c>
      <c r="N89" s="14" t="s">
        <v>52</v>
      </c>
      <c r="O89" s="14">
        <v>18</v>
      </c>
      <c r="P89" s="14" t="s">
        <v>38</v>
      </c>
      <c r="Q89" s="14" t="s">
        <v>39</v>
      </c>
      <c r="R89" s="14" t="s">
        <v>39</v>
      </c>
      <c r="S89" s="14">
        <v>0</v>
      </c>
      <c r="T89" s="14">
        <v>18</v>
      </c>
      <c r="U89" s="14">
        <v>18</v>
      </c>
      <c r="V89" s="14">
        <v>2.25</v>
      </c>
      <c r="W89" s="14">
        <v>15.75</v>
      </c>
      <c r="X89" s="14" t="s">
        <v>40</v>
      </c>
      <c r="Y89" s="14"/>
      <c r="Z89" s="14" t="s">
        <v>41</v>
      </c>
      <c r="AA89" s="14" t="b">
        <v>1</v>
      </c>
      <c r="AB89" s="14" t="b">
        <v>1</v>
      </c>
      <c r="AC89" s="14" t="b">
        <v>1</v>
      </c>
      <c r="AD89" s="8">
        <v>1</v>
      </c>
    </row>
    <row r="90" spans="1:30">
      <c r="A90" s="8" t="s">
        <v>149</v>
      </c>
      <c r="B90" s="8" t="s">
        <v>28</v>
      </c>
      <c r="C90" s="8" t="s">
        <v>150</v>
      </c>
      <c r="D90" s="8" t="s">
        <v>30</v>
      </c>
      <c r="E90" s="8" t="s">
        <v>31</v>
      </c>
      <c r="F90" s="8">
        <v>2</v>
      </c>
      <c r="G90" s="8">
        <v>2</v>
      </c>
      <c r="H90" s="8" t="s">
        <v>32</v>
      </c>
      <c r="I90" s="8">
        <v>2</v>
      </c>
      <c r="J90" s="8" t="s">
        <v>33</v>
      </c>
      <c r="K90" s="8" t="s">
        <v>34</v>
      </c>
      <c r="L90" s="8" t="s">
        <v>35</v>
      </c>
      <c r="M90" s="8" t="s">
        <v>36</v>
      </c>
      <c r="N90" s="8" t="s">
        <v>37</v>
      </c>
      <c r="O90" s="8">
        <v>360</v>
      </c>
      <c r="P90" s="8" t="s">
        <v>38</v>
      </c>
      <c r="Q90" s="8" t="s">
        <v>39</v>
      </c>
      <c r="R90" s="8" t="s">
        <v>39</v>
      </c>
      <c r="S90" s="8">
        <v>0</v>
      </c>
      <c r="T90" s="8">
        <v>360</v>
      </c>
      <c r="U90" s="8">
        <v>365</v>
      </c>
      <c r="V90" s="8">
        <v>45.625</v>
      </c>
      <c r="W90" s="8">
        <v>319.375</v>
      </c>
      <c r="X90" s="8" t="s">
        <v>40</v>
      </c>
      <c r="Y90" s="8"/>
      <c r="Z90" s="8" t="s">
        <v>41</v>
      </c>
      <c r="AA90" s="8" t="b">
        <v>1</v>
      </c>
      <c r="AB90" s="8" t="b">
        <v>1</v>
      </c>
      <c r="AC90" s="8" t="b">
        <v>1</v>
      </c>
      <c r="AD90" s="8">
        <v>1</v>
      </c>
    </row>
    <row r="91" spans="1:30">
      <c r="A91" s="13" t="s">
        <v>288</v>
      </c>
      <c r="B91" s="13" t="s">
        <v>193</v>
      </c>
      <c r="C91" s="13" t="s">
        <v>289</v>
      </c>
      <c r="D91" s="13" t="s">
        <v>30</v>
      </c>
      <c r="E91" s="13" t="s">
        <v>195</v>
      </c>
      <c r="F91" s="13">
        <v>2</v>
      </c>
      <c r="G91" s="13">
        <v>2</v>
      </c>
      <c r="H91" s="13" t="s">
        <v>45</v>
      </c>
      <c r="I91" s="13">
        <v>2</v>
      </c>
      <c r="J91" s="13" t="s">
        <v>196</v>
      </c>
      <c r="K91" s="13" t="s">
        <v>34</v>
      </c>
      <c r="L91" s="13" t="s">
        <v>973</v>
      </c>
      <c r="M91" s="13" t="s">
        <v>197</v>
      </c>
      <c r="N91" s="13" t="s">
        <v>198</v>
      </c>
      <c r="O91" s="13">
        <v>360</v>
      </c>
      <c r="P91" s="13" t="s">
        <v>199</v>
      </c>
      <c r="Q91" s="13" t="s">
        <v>284</v>
      </c>
      <c r="R91" s="13" t="s">
        <v>290</v>
      </c>
      <c r="S91" s="13">
        <v>-0.41666666666666602</v>
      </c>
      <c r="T91" s="13">
        <v>360.416666666666</v>
      </c>
      <c r="U91" s="13">
        <v>365.42245370370301</v>
      </c>
      <c r="V91" s="13">
        <v>45.677806712962898</v>
      </c>
      <c r="W91" s="13">
        <v>319.74464699074002</v>
      </c>
      <c r="X91" s="13" t="s">
        <v>40</v>
      </c>
      <c r="Y91" s="13"/>
      <c r="Z91" s="13" t="s">
        <v>202</v>
      </c>
      <c r="AA91" s="13" t="b">
        <v>1</v>
      </c>
      <c r="AB91" s="13" t="b">
        <v>1</v>
      </c>
      <c r="AC91" s="13" t="b">
        <v>1</v>
      </c>
      <c r="AD91" s="8">
        <v>1</v>
      </c>
    </row>
    <row r="92" spans="1:30">
      <c r="A92" s="8" t="s">
        <v>151</v>
      </c>
      <c r="B92" s="8" t="s">
        <v>28</v>
      </c>
      <c r="C92" s="8" t="s">
        <v>152</v>
      </c>
      <c r="D92" s="8" t="s">
        <v>30</v>
      </c>
      <c r="E92" s="8" t="s">
        <v>31</v>
      </c>
      <c r="F92" s="8">
        <v>2</v>
      </c>
      <c r="G92" s="8">
        <v>2</v>
      </c>
      <c r="H92" s="8" t="s">
        <v>45</v>
      </c>
      <c r="I92" s="8">
        <v>2</v>
      </c>
      <c r="J92" s="8" t="s">
        <v>46</v>
      </c>
      <c r="K92" s="8" t="s">
        <v>34</v>
      </c>
      <c r="L92" s="8" t="s">
        <v>35</v>
      </c>
      <c r="M92" s="8" t="s">
        <v>36</v>
      </c>
      <c r="N92" s="8" t="s">
        <v>37</v>
      </c>
      <c r="O92" s="8">
        <v>432</v>
      </c>
      <c r="P92" s="8" t="s">
        <v>38</v>
      </c>
      <c r="Q92" s="8" t="s">
        <v>39</v>
      </c>
      <c r="R92" s="8" t="s">
        <v>39</v>
      </c>
      <c r="S92" s="8">
        <v>0</v>
      </c>
      <c r="T92" s="8">
        <v>432</v>
      </c>
      <c r="U92" s="8">
        <v>438</v>
      </c>
      <c r="V92" s="8">
        <v>54.75</v>
      </c>
      <c r="W92" s="8">
        <v>383.25</v>
      </c>
      <c r="X92" s="8" t="s">
        <v>40</v>
      </c>
      <c r="Y92" s="8"/>
      <c r="Z92" s="8" t="s">
        <v>41</v>
      </c>
      <c r="AA92" s="8" t="b">
        <v>1</v>
      </c>
      <c r="AB92" s="8" t="b">
        <v>1</v>
      </c>
      <c r="AC92" s="8" t="b">
        <v>1</v>
      </c>
      <c r="AD92" s="8">
        <v>1</v>
      </c>
    </row>
    <row r="93" spans="1:30">
      <c r="A93" s="13" t="s">
        <v>291</v>
      </c>
      <c r="B93" s="13" t="s">
        <v>193</v>
      </c>
      <c r="C93" s="13" t="s">
        <v>292</v>
      </c>
      <c r="D93" s="13" t="s">
        <v>30</v>
      </c>
      <c r="E93" s="13" t="s">
        <v>195</v>
      </c>
      <c r="F93" s="13">
        <v>2</v>
      </c>
      <c r="G93" s="13">
        <v>2</v>
      </c>
      <c r="H93" s="13" t="s">
        <v>32</v>
      </c>
      <c r="I93" s="13">
        <v>2</v>
      </c>
      <c r="J93" s="13" t="s">
        <v>196</v>
      </c>
      <c r="K93" s="13" t="s">
        <v>34</v>
      </c>
      <c r="L93" s="13" t="s">
        <v>973</v>
      </c>
      <c r="M93" s="13" t="s">
        <v>197</v>
      </c>
      <c r="N93" s="13" t="s">
        <v>198</v>
      </c>
      <c r="O93" s="13">
        <v>432</v>
      </c>
      <c r="P93" s="13" t="s">
        <v>205</v>
      </c>
      <c r="Q93" s="13" t="s">
        <v>284</v>
      </c>
      <c r="R93" s="13" t="s">
        <v>290</v>
      </c>
      <c r="S93" s="13">
        <v>0.5</v>
      </c>
      <c r="T93" s="13">
        <v>431.5</v>
      </c>
      <c r="U93" s="13">
        <v>437.49305555555497</v>
      </c>
      <c r="V93" s="13">
        <v>54.6866319444444</v>
      </c>
      <c r="W93" s="13">
        <v>382.80642361111097</v>
      </c>
      <c r="X93" s="13" t="s">
        <v>40</v>
      </c>
      <c r="Y93" s="13"/>
      <c r="Z93" s="13" t="s">
        <v>202</v>
      </c>
      <c r="AA93" s="13" t="b">
        <v>1</v>
      </c>
      <c r="AB93" s="13" t="b">
        <v>1</v>
      </c>
      <c r="AC93" s="13" t="b">
        <v>1</v>
      </c>
      <c r="AD93" s="8">
        <v>1</v>
      </c>
    </row>
    <row r="94" spans="1:30">
      <c r="A94" s="14" t="s">
        <v>153</v>
      </c>
      <c r="B94" s="14" t="s">
        <v>28</v>
      </c>
      <c r="C94" s="14" t="s">
        <v>154</v>
      </c>
      <c r="D94" s="14" t="s">
        <v>49</v>
      </c>
      <c r="E94" s="14" t="s">
        <v>50</v>
      </c>
      <c r="F94" s="14">
        <v>2</v>
      </c>
      <c r="G94" s="14">
        <v>2</v>
      </c>
      <c r="H94" s="14" t="s">
        <v>51</v>
      </c>
      <c r="I94" s="14">
        <v>0</v>
      </c>
      <c r="J94" s="14" t="s">
        <v>51</v>
      </c>
      <c r="K94" s="14" t="s">
        <v>34</v>
      </c>
      <c r="L94" s="14" t="s">
        <v>35</v>
      </c>
      <c r="M94" s="14" t="s">
        <v>36</v>
      </c>
      <c r="N94" s="14" t="s">
        <v>52</v>
      </c>
      <c r="O94" s="14">
        <v>36</v>
      </c>
      <c r="P94" s="14" t="s">
        <v>38</v>
      </c>
      <c r="Q94" s="14" t="s">
        <v>39</v>
      </c>
      <c r="R94" s="14" t="s">
        <v>39</v>
      </c>
      <c r="S94" s="14">
        <v>0</v>
      </c>
      <c r="T94" s="14">
        <v>36</v>
      </c>
      <c r="U94" s="14">
        <v>36</v>
      </c>
      <c r="V94" s="14">
        <v>4.5</v>
      </c>
      <c r="W94" s="14">
        <v>31.5</v>
      </c>
      <c r="X94" s="14" t="s">
        <v>40</v>
      </c>
      <c r="Y94" s="14"/>
      <c r="Z94" s="14" t="s">
        <v>41</v>
      </c>
      <c r="AA94" s="14" t="b">
        <v>1</v>
      </c>
      <c r="AB94" s="14" t="b">
        <v>1</v>
      </c>
      <c r="AC94" s="14" t="b">
        <v>1</v>
      </c>
      <c r="AD94" s="8">
        <v>1</v>
      </c>
    </row>
    <row r="95" spans="1:30">
      <c r="A95" s="8" t="s">
        <v>155</v>
      </c>
      <c r="B95" s="8" t="s">
        <v>28</v>
      </c>
      <c r="C95" s="8" t="s">
        <v>156</v>
      </c>
      <c r="D95" s="8" t="s">
        <v>30</v>
      </c>
      <c r="E95" s="8" t="s">
        <v>31</v>
      </c>
      <c r="F95" s="8">
        <v>3</v>
      </c>
      <c r="G95" s="8">
        <v>2</v>
      </c>
      <c r="H95" s="8" t="s">
        <v>32</v>
      </c>
      <c r="I95" s="8">
        <v>3</v>
      </c>
      <c r="J95" s="8" t="s">
        <v>33</v>
      </c>
      <c r="K95" s="8" t="s">
        <v>34</v>
      </c>
      <c r="L95" s="8" t="s">
        <v>35</v>
      </c>
      <c r="M95" s="8" t="s">
        <v>36</v>
      </c>
      <c r="N95" s="8" t="s">
        <v>37</v>
      </c>
      <c r="O95" s="8">
        <v>540</v>
      </c>
      <c r="P95" s="8" t="s">
        <v>38</v>
      </c>
      <c r="Q95" s="8" t="s">
        <v>39</v>
      </c>
      <c r="R95" s="8" t="s">
        <v>39</v>
      </c>
      <c r="S95" s="8">
        <v>0</v>
      </c>
      <c r="T95" s="8">
        <v>540</v>
      </c>
      <c r="U95" s="8">
        <v>551.24999999999898</v>
      </c>
      <c r="V95" s="8">
        <v>68.906249999999901</v>
      </c>
      <c r="W95" s="8">
        <v>482.34374999999898</v>
      </c>
      <c r="X95" s="8" t="s">
        <v>40</v>
      </c>
      <c r="Y95" s="8"/>
      <c r="Z95" s="8" t="s">
        <v>41</v>
      </c>
      <c r="AA95" s="8" t="b">
        <v>1</v>
      </c>
      <c r="AB95" s="8" t="b">
        <v>1</v>
      </c>
      <c r="AC95" s="8" t="b">
        <v>1</v>
      </c>
      <c r="AD95" s="8">
        <v>1</v>
      </c>
    </row>
    <row r="96" spans="1:30">
      <c r="A96" s="13" t="s">
        <v>293</v>
      </c>
      <c r="B96" s="13" t="s">
        <v>193</v>
      </c>
      <c r="C96" s="13" t="s">
        <v>294</v>
      </c>
      <c r="D96" s="13" t="s">
        <v>30</v>
      </c>
      <c r="E96" s="13" t="s">
        <v>195</v>
      </c>
      <c r="F96" s="13">
        <v>3</v>
      </c>
      <c r="G96" s="13">
        <v>2</v>
      </c>
      <c r="H96" s="13" t="s">
        <v>45</v>
      </c>
      <c r="I96" s="13">
        <v>3</v>
      </c>
      <c r="J96" s="13" t="s">
        <v>196</v>
      </c>
      <c r="K96" s="13" t="s">
        <v>34</v>
      </c>
      <c r="L96" s="13" t="s">
        <v>973</v>
      </c>
      <c r="M96" s="13" t="s">
        <v>197</v>
      </c>
      <c r="N96" s="13" t="s">
        <v>198</v>
      </c>
      <c r="O96" s="13">
        <v>540</v>
      </c>
      <c r="P96" s="13" t="s">
        <v>199</v>
      </c>
      <c r="Q96" s="13" t="s">
        <v>284</v>
      </c>
      <c r="R96" s="13" t="s">
        <v>295</v>
      </c>
      <c r="S96" s="13">
        <v>-0.9375</v>
      </c>
      <c r="T96" s="13">
        <v>540.9375</v>
      </c>
      <c r="U96" s="13">
        <v>552.20703124999898</v>
      </c>
      <c r="V96" s="13">
        <v>69.025878906249901</v>
      </c>
      <c r="W96" s="13">
        <v>483.18115234374898</v>
      </c>
      <c r="X96" s="13" t="s">
        <v>40</v>
      </c>
      <c r="Y96" s="13"/>
      <c r="Z96" s="13" t="s">
        <v>202</v>
      </c>
      <c r="AA96" s="13" t="b">
        <v>1</v>
      </c>
      <c r="AB96" s="13" t="b">
        <v>1</v>
      </c>
      <c r="AC96" s="13" t="b">
        <v>1</v>
      </c>
      <c r="AD96" s="8">
        <v>1</v>
      </c>
    </row>
    <row r="97" spans="1:30">
      <c r="A97" s="8" t="s">
        <v>157</v>
      </c>
      <c r="B97" s="8" t="s">
        <v>28</v>
      </c>
      <c r="C97" s="8" t="s">
        <v>158</v>
      </c>
      <c r="D97" s="8" t="s">
        <v>30</v>
      </c>
      <c r="E97" s="8" t="s">
        <v>31</v>
      </c>
      <c r="F97" s="8">
        <v>3</v>
      </c>
      <c r="G97" s="8">
        <v>2</v>
      </c>
      <c r="H97" s="8" t="s">
        <v>45</v>
      </c>
      <c r="I97" s="8">
        <v>3</v>
      </c>
      <c r="J97" s="8" t="s">
        <v>46</v>
      </c>
      <c r="K97" s="8" t="s">
        <v>34</v>
      </c>
      <c r="L97" s="8" t="s">
        <v>35</v>
      </c>
      <c r="M97" s="8" t="s">
        <v>36</v>
      </c>
      <c r="N97" s="8" t="s">
        <v>37</v>
      </c>
      <c r="O97" s="8">
        <v>648</v>
      </c>
      <c r="P97" s="8" t="s">
        <v>38</v>
      </c>
      <c r="Q97" s="8" t="s">
        <v>39</v>
      </c>
      <c r="R97" s="8" t="s">
        <v>39</v>
      </c>
      <c r="S97" s="8">
        <v>0</v>
      </c>
      <c r="T97" s="8">
        <v>648</v>
      </c>
      <c r="U97" s="8">
        <v>661.49999999999898</v>
      </c>
      <c r="V97" s="8">
        <v>82.687499999999901</v>
      </c>
      <c r="W97" s="8">
        <v>578.81249999999898</v>
      </c>
      <c r="X97" s="8" t="s">
        <v>40</v>
      </c>
      <c r="Y97" s="8"/>
      <c r="Z97" s="8" t="s">
        <v>41</v>
      </c>
      <c r="AA97" s="8" t="b">
        <v>1</v>
      </c>
      <c r="AB97" s="8" t="b">
        <v>1</v>
      </c>
      <c r="AC97" s="8" t="b">
        <v>1</v>
      </c>
      <c r="AD97" s="8">
        <v>1</v>
      </c>
    </row>
    <row r="98" spans="1:30">
      <c r="A98" s="13" t="s">
        <v>296</v>
      </c>
      <c r="B98" s="13" t="s">
        <v>193</v>
      </c>
      <c r="C98" s="13" t="s">
        <v>297</v>
      </c>
      <c r="D98" s="13" t="s">
        <v>30</v>
      </c>
      <c r="E98" s="13" t="s">
        <v>195</v>
      </c>
      <c r="F98" s="13">
        <v>3</v>
      </c>
      <c r="G98" s="13">
        <v>2</v>
      </c>
      <c r="H98" s="13" t="s">
        <v>32</v>
      </c>
      <c r="I98" s="13">
        <v>3</v>
      </c>
      <c r="J98" s="13" t="s">
        <v>196</v>
      </c>
      <c r="K98" s="13" t="s">
        <v>34</v>
      </c>
      <c r="L98" s="13" t="s">
        <v>973</v>
      </c>
      <c r="M98" s="13" t="s">
        <v>197</v>
      </c>
      <c r="N98" s="13" t="s">
        <v>198</v>
      </c>
      <c r="O98" s="13">
        <v>648</v>
      </c>
      <c r="P98" s="13" t="s">
        <v>205</v>
      </c>
      <c r="Q98" s="13" t="s">
        <v>284</v>
      </c>
      <c r="R98" s="13" t="s">
        <v>295</v>
      </c>
      <c r="S98" s="13">
        <v>1.125</v>
      </c>
      <c r="T98" s="13">
        <v>646.875</v>
      </c>
      <c r="U98" s="13">
        <v>660.35156249999898</v>
      </c>
      <c r="V98" s="13">
        <v>82.543945312499901</v>
      </c>
      <c r="W98" s="13">
        <v>577.80761718749898</v>
      </c>
      <c r="X98" s="13" t="s">
        <v>40</v>
      </c>
      <c r="Y98" s="13"/>
      <c r="Z98" s="13" t="s">
        <v>202</v>
      </c>
      <c r="AA98" s="13" t="b">
        <v>1</v>
      </c>
      <c r="AB98" s="13" t="b">
        <v>1</v>
      </c>
      <c r="AC98" s="13" t="b">
        <v>1</v>
      </c>
      <c r="AD98" s="8">
        <v>1</v>
      </c>
    </row>
    <row r="99" spans="1:30">
      <c r="A99" s="14" t="s">
        <v>159</v>
      </c>
      <c r="B99" s="14" t="s">
        <v>28</v>
      </c>
      <c r="C99" s="14" t="s">
        <v>160</v>
      </c>
      <c r="D99" s="14" t="s">
        <v>49</v>
      </c>
      <c r="E99" s="14" t="s">
        <v>50</v>
      </c>
      <c r="F99" s="14">
        <v>3</v>
      </c>
      <c r="G99" s="14">
        <v>2</v>
      </c>
      <c r="H99" s="14" t="s">
        <v>51</v>
      </c>
      <c r="I99" s="14">
        <v>0</v>
      </c>
      <c r="J99" s="14" t="s">
        <v>51</v>
      </c>
      <c r="K99" s="14" t="s">
        <v>34</v>
      </c>
      <c r="L99" s="14" t="s">
        <v>35</v>
      </c>
      <c r="M99" s="14" t="s">
        <v>36</v>
      </c>
      <c r="N99" s="14" t="s">
        <v>52</v>
      </c>
      <c r="O99" s="14">
        <v>54</v>
      </c>
      <c r="P99" s="14" t="s">
        <v>38</v>
      </c>
      <c r="Q99" s="14" t="s">
        <v>39</v>
      </c>
      <c r="R99" s="14" t="s">
        <v>39</v>
      </c>
      <c r="S99" s="14">
        <v>0</v>
      </c>
      <c r="T99" s="14">
        <v>54</v>
      </c>
      <c r="U99" s="14">
        <v>54</v>
      </c>
      <c r="V99" s="14">
        <v>6.75</v>
      </c>
      <c r="W99" s="14">
        <v>47.25</v>
      </c>
      <c r="X99" s="14" t="s">
        <v>40</v>
      </c>
      <c r="Y99" s="14"/>
      <c r="Z99" s="14" t="s">
        <v>41</v>
      </c>
      <c r="AA99" s="14" t="b">
        <v>1</v>
      </c>
      <c r="AB99" s="14" t="b">
        <v>1</v>
      </c>
      <c r="AC99" s="14" t="b">
        <v>1</v>
      </c>
      <c r="AD99" s="8">
        <v>1</v>
      </c>
    </row>
    <row r="100" spans="1:30">
      <c r="A100" s="8" t="s">
        <v>161</v>
      </c>
      <c r="B100" s="8" t="s">
        <v>28</v>
      </c>
      <c r="C100" s="8" t="s">
        <v>162</v>
      </c>
      <c r="D100" s="8" t="s">
        <v>30</v>
      </c>
      <c r="E100" s="8" t="s">
        <v>31</v>
      </c>
      <c r="F100" s="8">
        <v>4</v>
      </c>
      <c r="G100" s="8">
        <v>2</v>
      </c>
      <c r="H100" s="8" t="s">
        <v>32</v>
      </c>
      <c r="I100" s="8">
        <v>4</v>
      </c>
      <c r="J100" s="8" t="s">
        <v>33</v>
      </c>
      <c r="K100" s="8" t="s">
        <v>34</v>
      </c>
      <c r="L100" s="8" t="s">
        <v>35</v>
      </c>
      <c r="M100" s="8" t="s">
        <v>36</v>
      </c>
      <c r="N100" s="8" t="s">
        <v>37</v>
      </c>
      <c r="O100" s="8">
        <v>720</v>
      </c>
      <c r="P100" s="8" t="s">
        <v>38</v>
      </c>
      <c r="Q100" s="8" t="s">
        <v>39</v>
      </c>
      <c r="R100" s="8" t="s">
        <v>39</v>
      </c>
      <c r="S100" s="8">
        <v>0</v>
      </c>
      <c r="T100" s="8">
        <v>720</v>
      </c>
      <c r="U100" s="8">
        <v>740</v>
      </c>
      <c r="V100" s="8">
        <v>92.5</v>
      </c>
      <c r="W100" s="8">
        <v>647.5</v>
      </c>
      <c r="X100" s="8" t="s">
        <v>40</v>
      </c>
      <c r="Y100" s="8"/>
      <c r="Z100" s="8" t="s">
        <v>41</v>
      </c>
      <c r="AA100" s="8" t="b">
        <v>1</v>
      </c>
      <c r="AB100" s="8" t="b">
        <v>1</v>
      </c>
      <c r="AC100" s="8" t="b">
        <v>1</v>
      </c>
      <c r="AD100" s="8">
        <v>1</v>
      </c>
    </row>
    <row r="101" spans="1:30">
      <c r="A101" s="13" t="s">
        <v>298</v>
      </c>
      <c r="B101" s="13" t="s">
        <v>193</v>
      </c>
      <c r="C101" s="13" t="s">
        <v>299</v>
      </c>
      <c r="D101" s="13" t="s">
        <v>30</v>
      </c>
      <c r="E101" s="13" t="s">
        <v>195</v>
      </c>
      <c r="F101" s="13">
        <v>4</v>
      </c>
      <c r="G101" s="13">
        <v>2</v>
      </c>
      <c r="H101" s="13" t="s">
        <v>45</v>
      </c>
      <c r="I101" s="13">
        <v>4</v>
      </c>
      <c r="J101" s="13" t="s">
        <v>196</v>
      </c>
      <c r="K101" s="13" t="s">
        <v>34</v>
      </c>
      <c r="L101" s="13" t="s">
        <v>973</v>
      </c>
      <c r="M101" s="13" t="s">
        <v>197</v>
      </c>
      <c r="N101" s="13" t="s">
        <v>198</v>
      </c>
      <c r="O101" s="13">
        <v>720</v>
      </c>
      <c r="P101" s="13" t="s">
        <v>199</v>
      </c>
      <c r="Q101" s="13" t="s">
        <v>284</v>
      </c>
      <c r="R101" s="13" t="s">
        <v>300</v>
      </c>
      <c r="S101" s="13">
        <v>-1.6666666666666601</v>
      </c>
      <c r="T101" s="13">
        <v>721.66666666666595</v>
      </c>
      <c r="U101" s="13">
        <v>741.71296296296202</v>
      </c>
      <c r="V101" s="13">
        <v>92.714120370370296</v>
      </c>
      <c r="W101" s="13">
        <v>648.99884259259204</v>
      </c>
      <c r="X101" s="13" t="s">
        <v>40</v>
      </c>
      <c r="Y101" s="13"/>
      <c r="Z101" s="13" t="s">
        <v>202</v>
      </c>
      <c r="AA101" s="13" t="b">
        <v>1</v>
      </c>
      <c r="AB101" s="13" t="b">
        <v>1</v>
      </c>
      <c r="AC101" s="13" t="b">
        <v>1</v>
      </c>
      <c r="AD101" s="8">
        <v>1</v>
      </c>
    </row>
    <row r="102" spans="1:30">
      <c r="A102" s="8" t="s">
        <v>163</v>
      </c>
      <c r="B102" s="8" t="s">
        <v>28</v>
      </c>
      <c r="C102" s="8" t="s">
        <v>164</v>
      </c>
      <c r="D102" s="8" t="s">
        <v>30</v>
      </c>
      <c r="E102" s="8" t="s">
        <v>31</v>
      </c>
      <c r="F102" s="8">
        <v>4</v>
      </c>
      <c r="G102" s="8">
        <v>2</v>
      </c>
      <c r="H102" s="8" t="s">
        <v>45</v>
      </c>
      <c r="I102" s="8">
        <v>4</v>
      </c>
      <c r="J102" s="8" t="s">
        <v>46</v>
      </c>
      <c r="K102" s="8" t="s">
        <v>34</v>
      </c>
      <c r="L102" s="8" t="s">
        <v>35</v>
      </c>
      <c r="M102" s="8" t="s">
        <v>36</v>
      </c>
      <c r="N102" s="8" t="s">
        <v>37</v>
      </c>
      <c r="O102" s="8">
        <v>864</v>
      </c>
      <c r="P102" s="8" t="s">
        <v>38</v>
      </c>
      <c r="Q102" s="8" t="s">
        <v>39</v>
      </c>
      <c r="R102" s="8" t="s">
        <v>39</v>
      </c>
      <c r="S102" s="8">
        <v>0</v>
      </c>
      <c r="T102" s="8">
        <v>864</v>
      </c>
      <c r="U102" s="8">
        <v>888</v>
      </c>
      <c r="V102" s="8">
        <v>111</v>
      </c>
      <c r="W102" s="8">
        <v>777</v>
      </c>
      <c r="X102" s="8" t="s">
        <v>40</v>
      </c>
      <c r="Y102" s="8"/>
      <c r="Z102" s="8" t="s">
        <v>41</v>
      </c>
      <c r="AA102" s="8" t="b">
        <v>1</v>
      </c>
      <c r="AB102" s="8" t="b">
        <v>1</v>
      </c>
      <c r="AC102" s="8" t="b">
        <v>1</v>
      </c>
      <c r="AD102" s="8">
        <v>1</v>
      </c>
    </row>
    <row r="103" spans="1:30">
      <c r="A103" s="13" t="s">
        <v>301</v>
      </c>
      <c r="B103" s="13" t="s">
        <v>193</v>
      </c>
      <c r="C103" s="13" t="s">
        <v>302</v>
      </c>
      <c r="D103" s="13" t="s">
        <v>30</v>
      </c>
      <c r="E103" s="13" t="s">
        <v>195</v>
      </c>
      <c r="F103" s="13">
        <v>4</v>
      </c>
      <c r="G103" s="13">
        <v>2</v>
      </c>
      <c r="H103" s="13" t="s">
        <v>32</v>
      </c>
      <c r="I103" s="13">
        <v>4</v>
      </c>
      <c r="J103" s="13" t="s">
        <v>196</v>
      </c>
      <c r="K103" s="13" t="s">
        <v>34</v>
      </c>
      <c r="L103" s="13" t="s">
        <v>973</v>
      </c>
      <c r="M103" s="13" t="s">
        <v>197</v>
      </c>
      <c r="N103" s="13" t="s">
        <v>198</v>
      </c>
      <c r="O103" s="13">
        <v>864</v>
      </c>
      <c r="P103" s="13" t="s">
        <v>205</v>
      </c>
      <c r="Q103" s="13" t="s">
        <v>284</v>
      </c>
      <c r="R103" s="13" t="s">
        <v>300</v>
      </c>
      <c r="S103" s="13">
        <v>2</v>
      </c>
      <c r="T103" s="13">
        <v>862</v>
      </c>
      <c r="U103" s="13">
        <v>885.944444444444</v>
      </c>
      <c r="V103" s="13">
        <v>110.743055555555</v>
      </c>
      <c r="W103" s="13">
        <v>775.201388888888</v>
      </c>
      <c r="X103" s="13" t="s">
        <v>40</v>
      </c>
      <c r="Y103" s="13"/>
      <c r="Z103" s="13" t="s">
        <v>202</v>
      </c>
      <c r="AA103" s="13" t="b">
        <v>1</v>
      </c>
      <c r="AB103" s="13" t="b">
        <v>1</v>
      </c>
      <c r="AC103" s="13" t="b">
        <v>1</v>
      </c>
      <c r="AD103" s="8">
        <v>1</v>
      </c>
    </row>
    <row r="104" spans="1:30">
      <c r="A104" s="14" t="s">
        <v>165</v>
      </c>
      <c r="B104" s="14" t="s">
        <v>28</v>
      </c>
      <c r="C104" s="14" t="s">
        <v>166</v>
      </c>
      <c r="D104" s="14" t="s">
        <v>49</v>
      </c>
      <c r="E104" s="14" t="s">
        <v>50</v>
      </c>
      <c r="F104" s="14">
        <v>4</v>
      </c>
      <c r="G104" s="14">
        <v>2</v>
      </c>
      <c r="H104" s="14" t="s">
        <v>51</v>
      </c>
      <c r="I104" s="14">
        <v>0</v>
      </c>
      <c r="J104" s="14" t="s">
        <v>51</v>
      </c>
      <c r="K104" s="14" t="s">
        <v>34</v>
      </c>
      <c r="L104" s="14" t="s">
        <v>35</v>
      </c>
      <c r="M104" s="14" t="s">
        <v>36</v>
      </c>
      <c r="N104" s="14" t="s">
        <v>52</v>
      </c>
      <c r="O104" s="14">
        <v>72</v>
      </c>
      <c r="P104" s="14" t="s">
        <v>38</v>
      </c>
      <c r="Q104" s="14" t="s">
        <v>39</v>
      </c>
      <c r="R104" s="14" t="s">
        <v>39</v>
      </c>
      <c r="S104" s="14">
        <v>0</v>
      </c>
      <c r="T104" s="14">
        <v>72</v>
      </c>
      <c r="U104" s="14">
        <v>72</v>
      </c>
      <c r="V104" s="14">
        <v>9</v>
      </c>
      <c r="W104" s="14">
        <v>63</v>
      </c>
      <c r="X104" s="14" t="s">
        <v>40</v>
      </c>
      <c r="Y104" s="14"/>
      <c r="Z104" s="14" t="s">
        <v>41</v>
      </c>
      <c r="AA104" s="14" t="b">
        <v>1</v>
      </c>
      <c r="AB104" s="14" t="b">
        <v>1</v>
      </c>
      <c r="AC104" s="14" t="b">
        <v>1</v>
      </c>
      <c r="AD104" s="8">
        <v>1</v>
      </c>
    </row>
    <row r="105" spans="1:30">
      <c r="A105" s="8" t="s">
        <v>167</v>
      </c>
      <c r="B105" s="8" t="s">
        <v>28</v>
      </c>
      <c r="C105" s="8" t="s">
        <v>168</v>
      </c>
      <c r="D105" s="8" t="s">
        <v>30</v>
      </c>
      <c r="E105" s="8" t="s">
        <v>31</v>
      </c>
      <c r="F105" s="8">
        <v>6</v>
      </c>
      <c r="G105" s="8">
        <v>2</v>
      </c>
      <c r="H105" s="8" t="s">
        <v>32</v>
      </c>
      <c r="I105" s="8">
        <v>6</v>
      </c>
      <c r="J105" s="8" t="s">
        <v>33</v>
      </c>
      <c r="K105" s="8" t="s">
        <v>34</v>
      </c>
      <c r="L105" s="8" t="s">
        <v>35</v>
      </c>
      <c r="M105" s="8" t="s">
        <v>36</v>
      </c>
      <c r="N105" s="8" t="s">
        <v>37</v>
      </c>
      <c r="O105" s="8">
        <v>1080</v>
      </c>
      <c r="P105" s="8" t="s">
        <v>38</v>
      </c>
      <c r="Q105" s="8" t="s">
        <v>39</v>
      </c>
      <c r="R105" s="8" t="s">
        <v>39</v>
      </c>
      <c r="S105" s="8">
        <v>0</v>
      </c>
      <c r="T105" s="8">
        <v>1080</v>
      </c>
      <c r="U105" s="8">
        <v>1125</v>
      </c>
      <c r="V105" s="8">
        <v>140.625</v>
      </c>
      <c r="W105" s="8">
        <v>984.375</v>
      </c>
      <c r="X105" s="8" t="s">
        <v>40</v>
      </c>
      <c r="Y105" s="8"/>
      <c r="Z105" s="8" t="s">
        <v>41</v>
      </c>
      <c r="AA105" s="8" t="b">
        <v>1</v>
      </c>
      <c r="AB105" s="8" t="b">
        <v>1</v>
      </c>
      <c r="AC105" s="8" t="b">
        <v>1</v>
      </c>
      <c r="AD105" s="8">
        <v>1</v>
      </c>
    </row>
    <row r="106" spans="1:30">
      <c r="A106" s="13" t="s">
        <v>303</v>
      </c>
      <c r="B106" s="13" t="s">
        <v>193</v>
      </c>
      <c r="C106" s="13" t="s">
        <v>304</v>
      </c>
      <c r="D106" s="13" t="s">
        <v>30</v>
      </c>
      <c r="E106" s="13" t="s">
        <v>195</v>
      </c>
      <c r="F106" s="13">
        <v>6</v>
      </c>
      <c r="G106" s="13">
        <v>2</v>
      </c>
      <c r="H106" s="13" t="s">
        <v>45</v>
      </c>
      <c r="I106" s="13">
        <v>6</v>
      </c>
      <c r="J106" s="13" t="s">
        <v>196</v>
      </c>
      <c r="K106" s="13" t="s">
        <v>34</v>
      </c>
      <c r="L106" s="13" t="s">
        <v>973</v>
      </c>
      <c r="M106" s="13" t="s">
        <v>197</v>
      </c>
      <c r="N106" s="13" t="s">
        <v>198</v>
      </c>
      <c r="O106" s="13">
        <v>1080</v>
      </c>
      <c r="P106" s="13" t="s">
        <v>199</v>
      </c>
      <c r="Q106" s="13" t="s">
        <v>284</v>
      </c>
      <c r="R106" s="13" t="s">
        <v>305</v>
      </c>
      <c r="S106" s="13">
        <v>-3.75</v>
      </c>
      <c r="T106" s="13">
        <v>1083.75</v>
      </c>
      <c r="U106" s="13">
        <v>1128.90625</v>
      </c>
      <c r="V106" s="13">
        <v>141.11328125</v>
      </c>
      <c r="W106" s="13">
        <v>987.79296875</v>
      </c>
      <c r="X106" s="13" t="s">
        <v>40</v>
      </c>
      <c r="Y106" s="13"/>
      <c r="Z106" s="13" t="s">
        <v>202</v>
      </c>
      <c r="AA106" s="13" t="b">
        <v>1</v>
      </c>
      <c r="AB106" s="13" t="b">
        <v>1</v>
      </c>
      <c r="AC106" s="13" t="b">
        <v>1</v>
      </c>
      <c r="AD106" s="8">
        <v>1</v>
      </c>
    </row>
    <row r="107" spans="1:30">
      <c r="A107" s="8" t="s">
        <v>169</v>
      </c>
      <c r="B107" s="8" t="s">
        <v>28</v>
      </c>
      <c r="C107" s="8" t="s">
        <v>170</v>
      </c>
      <c r="D107" s="8" t="s">
        <v>30</v>
      </c>
      <c r="E107" s="8" t="s">
        <v>31</v>
      </c>
      <c r="F107" s="8">
        <v>6</v>
      </c>
      <c r="G107" s="8">
        <v>2</v>
      </c>
      <c r="H107" s="8" t="s">
        <v>45</v>
      </c>
      <c r="I107" s="8">
        <v>6</v>
      </c>
      <c r="J107" s="8" t="s">
        <v>46</v>
      </c>
      <c r="K107" s="8" t="s">
        <v>34</v>
      </c>
      <c r="L107" s="8" t="s">
        <v>35</v>
      </c>
      <c r="M107" s="8" t="s">
        <v>36</v>
      </c>
      <c r="N107" s="8" t="s">
        <v>37</v>
      </c>
      <c r="O107" s="8">
        <v>1296</v>
      </c>
      <c r="P107" s="8" t="s">
        <v>38</v>
      </c>
      <c r="Q107" s="8" t="s">
        <v>39</v>
      </c>
      <c r="R107" s="8" t="s">
        <v>39</v>
      </c>
      <c r="S107" s="8">
        <v>0</v>
      </c>
      <c r="T107" s="8">
        <v>1296</v>
      </c>
      <c r="U107" s="8">
        <v>1350</v>
      </c>
      <c r="V107" s="8">
        <v>168.75</v>
      </c>
      <c r="W107" s="8">
        <v>1181.25</v>
      </c>
      <c r="X107" s="8" t="s">
        <v>40</v>
      </c>
      <c r="Y107" s="8"/>
      <c r="Z107" s="8" t="s">
        <v>41</v>
      </c>
      <c r="AA107" s="8" t="b">
        <v>1</v>
      </c>
      <c r="AB107" s="8" t="b">
        <v>1</v>
      </c>
      <c r="AC107" s="8" t="b">
        <v>1</v>
      </c>
      <c r="AD107" s="8">
        <v>1</v>
      </c>
    </row>
    <row r="108" spans="1:30">
      <c r="A108" s="13" t="s">
        <v>306</v>
      </c>
      <c r="B108" s="13" t="s">
        <v>193</v>
      </c>
      <c r="C108" s="13" t="s">
        <v>307</v>
      </c>
      <c r="D108" s="13" t="s">
        <v>30</v>
      </c>
      <c r="E108" s="13" t="s">
        <v>195</v>
      </c>
      <c r="F108" s="13">
        <v>6</v>
      </c>
      <c r="G108" s="13">
        <v>2</v>
      </c>
      <c r="H108" s="13" t="s">
        <v>32</v>
      </c>
      <c r="I108" s="13">
        <v>6</v>
      </c>
      <c r="J108" s="13" t="s">
        <v>196</v>
      </c>
      <c r="K108" s="13" t="s">
        <v>34</v>
      </c>
      <c r="L108" s="13" t="s">
        <v>973</v>
      </c>
      <c r="M108" s="13" t="s">
        <v>197</v>
      </c>
      <c r="N108" s="13" t="s">
        <v>198</v>
      </c>
      <c r="O108" s="13">
        <v>1296</v>
      </c>
      <c r="P108" s="13" t="s">
        <v>205</v>
      </c>
      <c r="Q108" s="13" t="s">
        <v>284</v>
      </c>
      <c r="R108" s="13" t="s">
        <v>305</v>
      </c>
      <c r="S108" s="13">
        <v>4.5</v>
      </c>
      <c r="T108" s="13">
        <v>1291.5</v>
      </c>
      <c r="U108" s="13">
        <v>1345.3125</v>
      </c>
      <c r="V108" s="13">
        <v>168.1640625</v>
      </c>
      <c r="W108" s="13">
        <v>1177.1484375</v>
      </c>
      <c r="X108" s="13" t="s">
        <v>40</v>
      </c>
      <c r="Y108" s="13"/>
      <c r="Z108" s="13" t="s">
        <v>202</v>
      </c>
      <c r="AA108" s="13" t="b">
        <v>1</v>
      </c>
      <c r="AB108" s="13" t="b">
        <v>1</v>
      </c>
      <c r="AC108" s="13" t="b">
        <v>1</v>
      </c>
      <c r="AD108" s="8">
        <v>1</v>
      </c>
    </row>
    <row r="109" spans="1:30">
      <c r="A109" s="14" t="s">
        <v>171</v>
      </c>
      <c r="B109" s="14" t="s">
        <v>28</v>
      </c>
      <c r="C109" s="14" t="s">
        <v>172</v>
      </c>
      <c r="D109" s="14" t="s">
        <v>49</v>
      </c>
      <c r="E109" s="14" t="s">
        <v>50</v>
      </c>
      <c r="F109" s="14">
        <v>6</v>
      </c>
      <c r="G109" s="14">
        <v>2</v>
      </c>
      <c r="H109" s="14" t="s">
        <v>51</v>
      </c>
      <c r="I109" s="14">
        <v>0</v>
      </c>
      <c r="J109" s="14" t="s">
        <v>51</v>
      </c>
      <c r="K109" s="14" t="s">
        <v>34</v>
      </c>
      <c r="L109" s="14" t="s">
        <v>35</v>
      </c>
      <c r="M109" s="14" t="s">
        <v>36</v>
      </c>
      <c r="N109" s="14" t="s">
        <v>52</v>
      </c>
      <c r="O109" s="14">
        <v>108</v>
      </c>
      <c r="P109" s="14" t="s">
        <v>38</v>
      </c>
      <c r="Q109" s="14" t="s">
        <v>39</v>
      </c>
      <c r="R109" s="14" t="s">
        <v>39</v>
      </c>
      <c r="S109" s="14">
        <v>0</v>
      </c>
      <c r="T109" s="14">
        <v>108</v>
      </c>
      <c r="U109" s="14">
        <v>108</v>
      </c>
      <c r="V109" s="14">
        <v>13.5</v>
      </c>
      <c r="W109" s="14">
        <v>94.5</v>
      </c>
      <c r="X109" s="14" t="s">
        <v>40</v>
      </c>
      <c r="Y109" s="14"/>
      <c r="Z109" s="14" t="s">
        <v>41</v>
      </c>
      <c r="AA109" s="14" t="b">
        <v>1</v>
      </c>
      <c r="AB109" s="14" t="b">
        <v>1</v>
      </c>
      <c r="AC109" s="14" t="b">
        <v>1</v>
      </c>
      <c r="AD109" s="8">
        <v>1</v>
      </c>
    </row>
    <row r="110" spans="1:30">
      <c r="A110" s="8" t="s">
        <v>173</v>
      </c>
      <c r="B110" s="8" t="s">
        <v>28</v>
      </c>
      <c r="C110" s="8" t="s">
        <v>175</v>
      </c>
      <c r="D110" s="8" t="s">
        <v>30</v>
      </c>
      <c r="E110" s="8" t="s">
        <v>31</v>
      </c>
      <c r="F110" s="8">
        <v>8</v>
      </c>
      <c r="G110" s="8">
        <v>2</v>
      </c>
      <c r="H110" s="8" t="s">
        <v>32</v>
      </c>
      <c r="I110" s="8">
        <v>8</v>
      </c>
      <c r="J110" s="8" t="s">
        <v>33</v>
      </c>
      <c r="K110" s="8" t="s">
        <v>34</v>
      </c>
      <c r="L110" s="8" t="s">
        <v>35</v>
      </c>
      <c r="M110" s="8" t="s">
        <v>36</v>
      </c>
      <c r="N110" s="8" t="s">
        <v>1004</v>
      </c>
      <c r="O110" s="8">
        <v>1440</v>
      </c>
      <c r="P110" s="8" t="s">
        <v>38</v>
      </c>
      <c r="Q110" s="8" t="s">
        <v>39</v>
      </c>
      <c r="R110" s="8" t="s">
        <v>39</v>
      </c>
      <c r="S110" s="8">
        <v>0</v>
      </c>
      <c r="T110" s="8">
        <v>1440</v>
      </c>
      <c r="U110" s="8">
        <v>1520</v>
      </c>
      <c r="V110" s="8">
        <v>190</v>
      </c>
      <c r="W110" s="8">
        <v>1330</v>
      </c>
      <c r="X110" s="8" t="s">
        <v>40</v>
      </c>
      <c r="Y110" s="8"/>
      <c r="Z110" s="8" t="s">
        <v>1005</v>
      </c>
      <c r="AA110" s="8" t="b">
        <v>1</v>
      </c>
      <c r="AB110" s="8" t="b">
        <v>1</v>
      </c>
      <c r="AC110" s="8" t="b">
        <v>1</v>
      </c>
      <c r="AD110" s="8">
        <v>1</v>
      </c>
    </row>
    <row r="111" spans="1:30">
      <c r="A111" s="9" t="s">
        <v>176</v>
      </c>
      <c r="B111" s="9" t="s">
        <v>28</v>
      </c>
      <c r="C111" s="9" t="s">
        <v>177</v>
      </c>
      <c r="D111" s="9" t="s">
        <v>30</v>
      </c>
      <c r="E111" s="9" t="s">
        <v>31</v>
      </c>
      <c r="F111" s="9">
        <v>8</v>
      </c>
      <c r="G111" s="9">
        <v>2</v>
      </c>
      <c r="H111" s="9" t="s">
        <v>45</v>
      </c>
      <c r="I111" s="9">
        <v>8</v>
      </c>
      <c r="J111" s="9" t="s">
        <v>46</v>
      </c>
      <c r="K111" s="9" t="s">
        <v>34</v>
      </c>
      <c r="L111" s="9" t="s">
        <v>35</v>
      </c>
      <c r="M111" s="9" t="s">
        <v>36</v>
      </c>
      <c r="N111" s="9" t="s">
        <v>1004</v>
      </c>
      <c r="O111" s="9">
        <v>1728</v>
      </c>
      <c r="P111" s="9" t="s">
        <v>38</v>
      </c>
      <c r="Q111" s="9" t="s">
        <v>39</v>
      </c>
      <c r="R111" s="9" t="s">
        <v>39</v>
      </c>
      <c r="S111" s="9">
        <v>0</v>
      </c>
      <c r="T111" s="9">
        <v>1728</v>
      </c>
      <c r="U111" s="9">
        <v>1824</v>
      </c>
      <c r="V111" s="9">
        <v>228</v>
      </c>
      <c r="W111" s="9">
        <v>1596</v>
      </c>
      <c r="X111" s="9" t="s">
        <v>40</v>
      </c>
      <c r="Y111" s="9"/>
      <c r="Z111" s="9" t="s">
        <v>1005</v>
      </c>
      <c r="AA111" s="9" t="b">
        <v>1</v>
      </c>
      <c r="AB111" s="9" t="b">
        <v>1</v>
      </c>
      <c r="AC111" s="9" t="b">
        <v>1</v>
      </c>
      <c r="AD111" s="8">
        <v>1</v>
      </c>
    </row>
    <row r="112" spans="1:30" ht="26.2">
      <c r="A112" s="15" t="s">
        <v>178</v>
      </c>
      <c r="B112" s="16" t="s">
        <v>28</v>
      </c>
      <c r="C112" s="16" t="s">
        <v>179</v>
      </c>
      <c r="D112" s="16" t="s">
        <v>49</v>
      </c>
      <c r="E112" s="16" t="s">
        <v>50</v>
      </c>
      <c r="F112" s="16">
        <v>8</v>
      </c>
      <c r="G112" s="16">
        <v>2</v>
      </c>
      <c r="H112" s="16" t="s">
        <v>51</v>
      </c>
      <c r="I112" s="16">
        <v>0</v>
      </c>
      <c r="J112" s="16" t="s">
        <v>51</v>
      </c>
      <c r="K112" s="16" t="s">
        <v>34</v>
      </c>
      <c r="L112" s="16" t="s">
        <v>35</v>
      </c>
      <c r="M112" s="16" t="s">
        <v>36</v>
      </c>
      <c r="N112" s="16" t="s">
        <v>1004</v>
      </c>
      <c r="O112" s="16">
        <v>144</v>
      </c>
      <c r="P112" s="16" t="s">
        <v>38</v>
      </c>
      <c r="Q112" s="16" t="s">
        <v>39</v>
      </c>
      <c r="R112" s="16" t="s">
        <v>39</v>
      </c>
      <c r="S112" s="16">
        <v>0</v>
      </c>
      <c r="T112" s="16">
        <v>144</v>
      </c>
      <c r="U112" s="16">
        <v>144</v>
      </c>
      <c r="V112" s="16">
        <v>18</v>
      </c>
      <c r="W112" s="16">
        <v>126</v>
      </c>
      <c r="X112" s="16" t="s">
        <v>40</v>
      </c>
      <c r="Y112" s="16"/>
      <c r="Z112" s="16" t="s">
        <v>1005</v>
      </c>
      <c r="AA112" s="16" t="b">
        <v>1</v>
      </c>
      <c r="AB112" s="16" t="b">
        <v>1</v>
      </c>
      <c r="AC112" s="17" t="b">
        <v>1</v>
      </c>
      <c r="AD112" s="8">
        <v>1</v>
      </c>
    </row>
    <row r="113" spans="1:30">
      <c r="A113" s="10" t="s">
        <v>180</v>
      </c>
      <c r="B113" s="11" t="s">
        <v>28</v>
      </c>
      <c r="C113" s="11" t="s">
        <v>181</v>
      </c>
      <c r="D113" s="11" t="s">
        <v>30</v>
      </c>
      <c r="E113" s="11" t="s">
        <v>31</v>
      </c>
      <c r="F113" s="11">
        <v>9</v>
      </c>
      <c r="G113" s="11">
        <v>2</v>
      </c>
      <c r="H113" s="11" t="s">
        <v>32</v>
      </c>
      <c r="I113" s="11">
        <v>9</v>
      </c>
      <c r="J113" s="11" t="s">
        <v>33</v>
      </c>
      <c r="K113" s="11" t="s">
        <v>34</v>
      </c>
      <c r="L113" s="11" t="s">
        <v>35</v>
      </c>
      <c r="M113" s="11" t="s">
        <v>36</v>
      </c>
      <c r="N113" s="11" t="s">
        <v>1004</v>
      </c>
      <c r="O113" s="11">
        <v>1620</v>
      </c>
      <c r="P113" s="11" t="s">
        <v>38</v>
      </c>
      <c r="Q113" s="11" t="s">
        <v>39</v>
      </c>
      <c r="R113" s="11" t="s">
        <v>39</v>
      </c>
      <c r="S113" s="11">
        <v>0</v>
      </c>
      <c r="T113" s="11">
        <v>1620</v>
      </c>
      <c r="U113" s="11">
        <v>1721.25</v>
      </c>
      <c r="V113" s="11">
        <v>215.15625</v>
      </c>
      <c r="W113" s="11">
        <v>1506.09375</v>
      </c>
      <c r="X113" s="11" t="s">
        <v>40</v>
      </c>
      <c r="Y113" s="11"/>
      <c r="Z113" s="11" t="s">
        <v>1005</v>
      </c>
      <c r="AA113" s="11" t="b">
        <v>1</v>
      </c>
      <c r="AB113" s="11" t="b">
        <v>1</v>
      </c>
      <c r="AC113" s="12" t="b">
        <v>1</v>
      </c>
      <c r="AD113" s="8">
        <v>1</v>
      </c>
    </row>
    <row r="114" spans="1:30">
      <c r="A114" s="10" t="s">
        <v>182</v>
      </c>
      <c r="B114" s="11" t="s">
        <v>28</v>
      </c>
      <c r="C114" s="11" t="s">
        <v>183</v>
      </c>
      <c r="D114" s="11" t="s">
        <v>30</v>
      </c>
      <c r="E114" s="11" t="s">
        <v>31</v>
      </c>
      <c r="F114" s="11">
        <v>9</v>
      </c>
      <c r="G114" s="11">
        <v>2</v>
      </c>
      <c r="H114" s="11" t="s">
        <v>45</v>
      </c>
      <c r="I114" s="11">
        <v>9</v>
      </c>
      <c r="J114" s="11" t="s">
        <v>46</v>
      </c>
      <c r="K114" s="11" t="s">
        <v>34</v>
      </c>
      <c r="L114" s="11" t="s">
        <v>35</v>
      </c>
      <c r="M114" s="11" t="s">
        <v>36</v>
      </c>
      <c r="N114" s="11" t="s">
        <v>1004</v>
      </c>
      <c r="O114" s="11">
        <v>1944</v>
      </c>
      <c r="P114" s="11" t="s">
        <v>38</v>
      </c>
      <c r="Q114" s="11" t="s">
        <v>39</v>
      </c>
      <c r="R114" s="11" t="s">
        <v>39</v>
      </c>
      <c r="S114" s="11">
        <v>0</v>
      </c>
      <c r="T114" s="11">
        <v>1944</v>
      </c>
      <c r="U114" s="11">
        <v>2065.5</v>
      </c>
      <c r="V114" s="11">
        <v>258.1875</v>
      </c>
      <c r="W114" s="11">
        <v>1807.3125</v>
      </c>
      <c r="X114" s="11" t="s">
        <v>40</v>
      </c>
      <c r="Y114" s="11"/>
      <c r="Z114" s="11" t="s">
        <v>1005</v>
      </c>
      <c r="AA114" s="11" t="b">
        <v>1</v>
      </c>
      <c r="AB114" s="11" t="b">
        <v>1</v>
      </c>
      <c r="AC114" s="12" t="b">
        <v>1</v>
      </c>
      <c r="AD114" s="8">
        <v>1</v>
      </c>
    </row>
    <row r="115" spans="1:30">
      <c r="A115" s="18" t="s">
        <v>184</v>
      </c>
      <c r="B115" s="19" t="s">
        <v>28</v>
      </c>
      <c r="C115" s="19" t="s">
        <v>185</v>
      </c>
      <c r="D115" s="19" t="s">
        <v>49</v>
      </c>
      <c r="E115" s="19" t="s">
        <v>50</v>
      </c>
      <c r="F115" s="19">
        <v>9</v>
      </c>
      <c r="G115" s="19">
        <v>2</v>
      </c>
      <c r="H115" s="19" t="s">
        <v>51</v>
      </c>
      <c r="I115" s="19">
        <v>0</v>
      </c>
      <c r="J115" s="19" t="s">
        <v>51</v>
      </c>
      <c r="K115" s="19" t="s">
        <v>34</v>
      </c>
      <c r="L115" s="19" t="s">
        <v>35</v>
      </c>
      <c r="M115" s="19" t="s">
        <v>36</v>
      </c>
      <c r="N115" s="19" t="s">
        <v>1004</v>
      </c>
      <c r="O115" s="19">
        <v>162</v>
      </c>
      <c r="P115" s="19" t="s">
        <v>38</v>
      </c>
      <c r="Q115" s="19" t="s">
        <v>39</v>
      </c>
      <c r="R115" s="19" t="s">
        <v>39</v>
      </c>
      <c r="S115" s="19">
        <v>0</v>
      </c>
      <c r="T115" s="19">
        <v>162</v>
      </c>
      <c r="U115" s="19">
        <v>162</v>
      </c>
      <c r="V115" s="19">
        <v>20.25</v>
      </c>
      <c r="W115" s="19">
        <v>141.75</v>
      </c>
      <c r="X115" s="19" t="s">
        <v>40</v>
      </c>
      <c r="Y115" s="19"/>
      <c r="Z115" s="19" t="s">
        <v>1005</v>
      </c>
      <c r="AA115" s="19" t="b">
        <v>1</v>
      </c>
      <c r="AB115" s="19" t="b">
        <v>1</v>
      </c>
      <c r="AC115" s="20" t="b">
        <v>1</v>
      </c>
      <c r="AD115" s="8">
        <v>1</v>
      </c>
    </row>
    <row r="116" spans="1:30">
      <c r="A116" s="10" t="s">
        <v>186</v>
      </c>
      <c r="B116" s="11" t="s">
        <v>28</v>
      </c>
      <c r="C116" s="11" t="s">
        <v>187</v>
      </c>
      <c r="D116" s="11" t="s">
        <v>30</v>
      </c>
      <c r="E116" s="11" t="s">
        <v>31</v>
      </c>
      <c r="F116" s="11">
        <v>12</v>
      </c>
      <c r="G116" s="11">
        <v>2</v>
      </c>
      <c r="H116" s="11" t="s">
        <v>32</v>
      </c>
      <c r="I116" s="11">
        <v>12</v>
      </c>
      <c r="J116" s="11" t="s">
        <v>33</v>
      </c>
      <c r="K116" s="11" t="s">
        <v>34</v>
      </c>
      <c r="L116" s="11" t="s">
        <v>35</v>
      </c>
      <c r="M116" s="11" t="s">
        <v>36</v>
      </c>
      <c r="N116" s="11" t="s">
        <v>1004</v>
      </c>
      <c r="O116" s="11">
        <v>2160</v>
      </c>
      <c r="P116" s="11" t="s">
        <v>38</v>
      </c>
      <c r="Q116" s="11" t="s">
        <v>39</v>
      </c>
      <c r="R116" s="11" t="s">
        <v>39</v>
      </c>
      <c r="S116" s="11">
        <v>0</v>
      </c>
      <c r="T116" s="11">
        <v>2160</v>
      </c>
      <c r="U116" s="11">
        <v>2339.99999999999</v>
      </c>
      <c r="V116" s="11">
        <v>292.49999999999898</v>
      </c>
      <c r="W116" s="11">
        <v>2047.49999999999</v>
      </c>
      <c r="X116" s="11" t="s">
        <v>40</v>
      </c>
      <c r="Y116" s="11"/>
      <c r="Z116" s="11" t="s">
        <v>1005</v>
      </c>
      <c r="AA116" s="11" t="b">
        <v>1</v>
      </c>
      <c r="AB116" s="11" t="b">
        <v>1</v>
      </c>
      <c r="AC116" s="12" t="b">
        <v>1</v>
      </c>
      <c r="AD116" s="8">
        <v>1</v>
      </c>
    </row>
    <row r="117" spans="1:30">
      <c r="A117" s="10" t="s">
        <v>188</v>
      </c>
      <c r="B117" s="11" t="s">
        <v>28</v>
      </c>
      <c r="C117" s="11" t="s">
        <v>189</v>
      </c>
      <c r="D117" s="11" t="s">
        <v>30</v>
      </c>
      <c r="E117" s="11" t="s">
        <v>31</v>
      </c>
      <c r="F117" s="11">
        <v>12</v>
      </c>
      <c r="G117" s="11">
        <v>2</v>
      </c>
      <c r="H117" s="11" t="s">
        <v>45</v>
      </c>
      <c r="I117" s="11">
        <v>12</v>
      </c>
      <c r="J117" s="11" t="s">
        <v>46</v>
      </c>
      <c r="K117" s="11" t="s">
        <v>34</v>
      </c>
      <c r="L117" s="11" t="s">
        <v>35</v>
      </c>
      <c r="M117" s="11" t="s">
        <v>36</v>
      </c>
      <c r="N117" s="11" t="s">
        <v>1004</v>
      </c>
      <c r="O117" s="11">
        <v>2592</v>
      </c>
      <c r="P117" s="11" t="s">
        <v>38</v>
      </c>
      <c r="Q117" s="11" t="s">
        <v>39</v>
      </c>
      <c r="R117" s="11" t="s">
        <v>39</v>
      </c>
      <c r="S117" s="11">
        <v>0</v>
      </c>
      <c r="T117" s="11">
        <v>2592</v>
      </c>
      <c r="U117" s="11">
        <v>2807.99999999999</v>
      </c>
      <c r="V117" s="11">
        <v>350.99999999999898</v>
      </c>
      <c r="W117" s="11">
        <v>2456.99999999999</v>
      </c>
      <c r="X117" s="11" t="s">
        <v>40</v>
      </c>
      <c r="Y117" s="11"/>
      <c r="Z117" s="11" t="s">
        <v>1005</v>
      </c>
      <c r="AA117" s="11" t="b">
        <v>1</v>
      </c>
      <c r="AB117" s="11" t="b">
        <v>1</v>
      </c>
      <c r="AC117" s="12" t="b">
        <v>1</v>
      </c>
      <c r="AD117" s="8">
        <v>1</v>
      </c>
    </row>
    <row r="118" spans="1:30">
      <c r="A118" s="18" t="s">
        <v>190</v>
      </c>
      <c r="B118" s="19" t="s">
        <v>28</v>
      </c>
      <c r="C118" s="19" t="s">
        <v>191</v>
      </c>
      <c r="D118" s="19" t="s">
        <v>49</v>
      </c>
      <c r="E118" s="19" t="s">
        <v>50</v>
      </c>
      <c r="F118" s="19">
        <v>12</v>
      </c>
      <c r="G118" s="19">
        <v>2</v>
      </c>
      <c r="H118" s="19" t="s">
        <v>51</v>
      </c>
      <c r="I118" s="19">
        <v>0</v>
      </c>
      <c r="J118" s="19" t="s">
        <v>51</v>
      </c>
      <c r="K118" s="19" t="s">
        <v>34</v>
      </c>
      <c r="L118" s="19" t="s">
        <v>35</v>
      </c>
      <c r="M118" s="19" t="s">
        <v>36</v>
      </c>
      <c r="N118" s="19" t="s">
        <v>1004</v>
      </c>
      <c r="O118" s="19">
        <v>216</v>
      </c>
      <c r="P118" s="19" t="s">
        <v>38</v>
      </c>
      <c r="Q118" s="19" t="s">
        <v>39</v>
      </c>
      <c r="R118" s="19" t="s">
        <v>39</v>
      </c>
      <c r="S118" s="19">
        <v>0</v>
      </c>
      <c r="T118" s="19">
        <v>216</v>
      </c>
      <c r="U118" s="19">
        <v>216</v>
      </c>
      <c r="V118" s="19">
        <v>27</v>
      </c>
      <c r="W118" s="19">
        <v>189</v>
      </c>
      <c r="X118" s="19" t="s">
        <v>40</v>
      </c>
      <c r="Y118" s="19"/>
      <c r="Z118" s="19" t="s">
        <v>1005</v>
      </c>
      <c r="AA118" s="19" t="b">
        <v>1</v>
      </c>
      <c r="AB118" s="19" t="b">
        <v>1</v>
      </c>
      <c r="AC118" s="20" t="b">
        <v>1</v>
      </c>
      <c r="AD118" s="8">
        <v>1</v>
      </c>
    </row>
    <row r="119" spans="1:30">
      <c r="A119" s="18" t="s">
        <v>924</v>
      </c>
      <c r="B119" s="19" t="s">
        <v>28</v>
      </c>
      <c r="C119" s="19" t="s">
        <v>926</v>
      </c>
      <c r="D119" s="19" t="s">
        <v>927</v>
      </c>
      <c r="E119" s="19" t="s">
        <v>928</v>
      </c>
      <c r="F119" s="19">
        <v>18</v>
      </c>
      <c r="G119" s="19">
        <v>3</v>
      </c>
      <c r="H119" s="19" t="s">
        <v>51</v>
      </c>
      <c r="I119" s="19">
        <v>0</v>
      </c>
      <c r="J119" s="19" t="s">
        <v>929</v>
      </c>
      <c r="K119" s="19" t="s">
        <v>930</v>
      </c>
      <c r="L119" s="19" t="s">
        <v>976</v>
      </c>
      <c r="M119" s="19" t="s">
        <v>931</v>
      </c>
      <c r="N119" s="19" t="s">
        <v>999</v>
      </c>
      <c r="O119" s="19">
        <v>18</v>
      </c>
      <c r="P119" s="19" t="s">
        <v>933</v>
      </c>
      <c r="Q119" s="19" t="s">
        <v>934</v>
      </c>
      <c r="R119" s="19" t="s">
        <v>934</v>
      </c>
      <c r="S119" s="19">
        <v>0</v>
      </c>
      <c r="T119" s="19">
        <v>18</v>
      </c>
      <c r="U119" s="19">
        <v>0</v>
      </c>
      <c r="V119" s="19">
        <v>0</v>
      </c>
      <c r="W119" s="19">
        <v>0</v>
      </c>
      <c r="X119" s="19" t="s">
        <v>40</v>
      </c>
      <c r="Y119" s="19"/>
      <c r="Z119" s="19" t="s">
        <v>1000</v>
      </c>
      <c r="AA119" s="19" t="b">
        <v>1</v>
      </c>
      <c r="AB119" s="19" t="b">
        <v>1</v>
      </c>
      <c r="AC119" s="20" t="b">
        <v>1</v>
      </c>
      <c r="AD119" s="8">
        <v>1</v>
      </c>
    </row>
    <row r="120" spans="1:30">
      <c r="A120" s="18" t="s">
        <v>936</v>
      </c>
      <c r="B120" s="19" t="s">
        <v>28</v>
      </c>
      <c r="C120" s="19" t="s">
        <v>937</v>
      </c>
      <c r="D120" s="19" t="s">
        <v>938</v>
      </c>
      <c r="E120" s="19" t="s">
        <v>928</v>
      </c>
      <c r="F120" s="19">
        <v>1</v>
      </c>
      <c r="G120" s="19">
        <v>3</v>
      </c>
      <c r="H120" s="19" t="s">
        <v>51</v>
      </c>
      <c r="I120" s="19">
        <v>0</v>
      </c>
      <c r="J120" s="19" t="s">
        <v>929</v>
      </c>
      <c r="K120" s="19" t="s">
        <v>939</v>
      </c>
      <c r="L120" s="19" t="s">
        <v>976</v>
      </c>
      <c r="M120" s="19" t="s">
        <v>931</v>
      </c>
      <c r="N120" s="19" t="s">
        <v>999</v>
      </c>
      <c r="O120" s="19">
        <v>0</v>
      </c>
      <c r="P120" s="19" t="s">
        <v>933</v>
      </c>
      <c r="Q120" s="19" t="s">
        <v>934</v>
      </c>
      <c r="R120" s="19" t="s">
        <v>934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 t="s">
        <v>40</v>
      </c>
      <c r="Y120" s="19"/>
      <c r="Z120" s="19" t="s">
        <v>1000</v>
      </c>
      <c r="AA120" s="19" t="b">
        <v>1</v>
      </c>
      <c r="AB120" s="19" t="b">
        <v>1</v>
      </c>
      <c r="AC120" s="20" t="b">
        <v>1</v>
      </c>
      <c r="AD120" s="8">
        <v>1</v>
      </c>
    </row>
    <row r="121" spans="1:30">
      <c r="A121" s="18" t="s">
        <v>940</v>
      </c>
      <c r="B121" s="19" t="s">
        <v>28</v>
      </c>
      <c r="C121" s="19" t="s">
        <v>941</v>
      </c>
      <c r="D121" s="19" t="s">
        <v>942</v>
      </c>
      <c r="E121" s="19" t="s">
        <v>928</v>
      </c>
      <c r="F121" s="19">
        <v>9</v>
      </c>
      <c r="G121" s="19">
        <v>3</v>
      </c>
      <c r="H121" s="19" t="s">
        <v>51</v>
      </c>
      <c r="I121" s="19">
        <v>0</v>
      </c>
      <c r="J121" s="19" t="s">
        <v>929</v>
      </c>
      <c r="K121" s="19" t="s">
        <v>943</v>
      </c>
      <c r="L121" s="19" t="s">
        <v>976</v>
      </c>
      <c r="M121" s="19" t="s">
        <v>931</v>
      </c>
      <c r="N121" s="19" t="s">
        <v>999</v>
      </c>
      <c r="O121" s="19">
        <v>9</v>
      </c>
      <c r="P121" s="19" t="s">
        <v>933</v>
      </c>
      <c r="Q121" s="19" t="s">
        <v>934</v>
      </c>
      <c r="R121" s="19" t="s">
        <v>934</v>
      </c>
      <c r="S121" s="19">
        <v>0</v>
      </c>
      <c r="T121" s="19">
        <v>9</v>
      </c>
      <c r="U121" s="19">
        <v>0</v>
      </c>
      <c r="V121" s="19">
        <v>0</v>
      </c>
      <c r="W121" s="19">
        <v>0</v>
      </c>
      <c r="X121" s="19" t="s">
        <v>40</v>
      </c>
      <c r="Y121" s="19"/>
      <c r="Z121" s="19" t="s">
        <v>1000</v>
      </c>
      <c r="AA121" s="19" t="b">
        <v>1</v>
      </c>
      <c r="AB121" s="19" t="b">
        <v>1</v>
      </c>
      <c r="AC121" s="20" t="b">
        <v>1</v>
      </c>
      <c r="AD121" s="8">
        <v>1</v>
      </c>
    </row>
    <row r="122" spans="1:30">
      <c r="A122" s="18" t="s">
        <v>946</v>
      </c>
      <c r="B122" s="19" t="s">
        <v>28</v>
      </c>
      <c r="C122" s="19" t="s">
        <v>947</v>
      </c>
      <c r="D122" s="19" t="s">
        <v>948</v>
      </c>
      <c r="E122" s="19" t="s">
        <v>928</v>
      </c>
      <c r="F122" s="19">
        <v>8</v>
      </c>
      <c r="G122" s="19">
        <v>3</v>
      </c>
      <c r="H122" s="19" t="s">
        <v>51</v>
      </c>
      <c r="I122" s="19">
        <v>0</v>
      </c>
      <c r="J122" s="19" t="s">
        <v>929</v>
      </c>
      <c r="K122" s="19" t="s">
        <v>949</v>
      </c>
      <c r="L122" s="19" t="s">
        <v>976</v>
      </c>
      <c r="M122" s="19" t="s">
        <v>931</v>
      </c>
      <c r="N122" s="19" t="s">
        <v>999</v>
      </c>
      <c r="O122" s="19">
        <v>8</v>
      </c>
      <c r="P122" s="19" t="s">
        <v>933</v>
      </c>
      <c r="Q122" s="19" t="s">
        <v>934</v>
      </c>
      <c r="R122" s="19" t="s">
        <v>934</v>
      </c>
      <c r="S122" s="19">
        <v>0</v>
      </c>
      <c r="T122" s="19">
        <v>8</v>
      </c>
      <c r="U122" s="19">
        <v>0</v>
      </c>
      <c r="V122" s="19">
        <v>0</v>
      </c>
      <c r="W122" s="19">
        <v>0</v>
      </c>
      <c r="X122" s="19" t="s">
        <v>40</v>
      </c>
      <c r="Y122" s="19"/>
      <c r="Z122" s="19" t="s">
        <v>1000</v>
      </c>
      <c r="AA122" s="19" t="b">
        <v>1</v>
      </c>
      <c r="AB122" s="19" t="b">
        <v>1</v>
      </c>
      <c r="AC122" s="20" t="b">
        <v>1</v>
      </c>
      <c r="AD122" s="8">
        <v>1</v>
      </c>
    </row>
    <row r="123" spans="1:30">
      <c r="A123" s="10" t="s">
        <v>950</v>
      </c>
      <c r="B123" s="11" t="s">
        <v>28</v>
      </c>
      <c r="C123" s="11" t="s">
        <v>951</v>
      </c>
      <c r="D123" s="11" t="s">
        <v>952</v>
      </c>
      <c r="E123" s="11" t="s">
        <v>953</v>
      </c>
      <c r="F123" s="11">
        <v>1</v>
      </c>
      <c r="G123" s="11">
        <v>3</v>
      </c>
      <c r="H123" s="11" t="s">
        <v>32</v>
      </c>
      <c r="I123" s="11">
        <v>1</v>
      </c>
      <c r="J123" s="11" t="s">
        <v>954</v>
      </c>
      <c r="K123" s="11" t="s">
        <v>955</v>
      </c>
      <c r="L123" s="11" t="s">
        <v>981</v>
      </c>
      <c r="M123" s="11" t="s">
        <v>956</v>
      </c>
      <c r="N123" s="11" t="s">
        <v>1001</v>
      </c>
      <c r="O123" s="11">
        <v>1.00694444444444</v>
      </c>
      <c r="P123" s="11" t="s">
        <v>933</v>
      </c>
      <c r="Q123" s="11" t="s">
        <v>934</v>
      </c>
      <c r="R123" s="11" t="s">
        <v>934</v>
      </c>
      <c r="S123" s="11">
        <v>0</v>
      </c>
      <c r="T123" s="11">
        <v>1.00694444444444</v>
      </c>
      <c r="U123" s="11">
        <v>0</v>
      </c>
      <c r="V123" s="11">
        <v>0</v>
      </c>
      <c r="W123" s="11">
        <v>0</v>
      </c>
      <c r="X123" s="11" t="s">
        <v>40</v>
      </c>
      <c r="Y123" s="11"/>
      <c r="Z123" s="11" t="s">
        <v>1000</v>
      </c>
      <c r="AA123" s="11" t="b">
        <v>1</v>
      </c>
      <c r="AB123" s="11" t="b">
        <v>1</v>
      </c>
      <c r="AC123" s="12" t="b">
        <v>1</v>
      </c>
      <c r="AD123" s="8">
        <v>1</v>
      </c>
    </row>
    <row r="124" spans="1:30">
      <c r="A124" s="10" t="s">
        <v>957</v>
      </c>
      <c r="B124" s="11" t="s">
        <v>28</v>
      </c>
      <c r="C124" s="11" t="s">
        <v>958</v>
      </c>
      <c r="D124" s="11" t="s">
        <v>952</v>
      </c>
      <c r="E124" s="11" t="s">
        <v>953</v>
      </c>
      <c r="F124" s="11">
        <v>2</v>
      </c>
      <c r="G124" s="11">
        <v>3</v>
      </c>
      <c r="H124" s="11" t="s">
        <v>32</v>
      </c>
      <c r="I124" s="11">
        <v>2</v>
      </c>
      <c r="J124" s="11" t="s">
        <v>954</v>
      </c>
      <c r="K124" s="11" t="s">
        <v>955</v>
      </c>
      <c r="L124" s="11" t="s">
        <v>981</v>
      </c>
      <c r="M124" s="11" t="s">
        <v>956</v>
      </c>
      <c r="N124" s="11" t="s">
        <v>1001</v>
      </c>
      <c r="O124" s="11">
        <v>2.0277777777777701</v>
      </c>
      <c r="P124" s="11" t="s">
        <v>933</v>
      </c>
      <c r="Q124" s="11" t="s">
        <v>934</v>
      </c>
      <c r="R124" s="11" t="s">
        <v>934</v>
      </c>
      <c r="S124" s="11">
        <v>0</v>
      </c>
      <c r="T124" s="11">
        <v>2.0277777777777701</v>
      </c>
      <c r="U124" s="11">
        <v>0</v>
      </c>
      <c r="V124" s="11">
        <v>0</v>
      </c>
      <c r="W124" s="11">
        <v>0</v>
      </c>
      <c r="X124" s="11" t="s">
        <v>40</v>
      </c>
      <c r="Y124" s="11"/>
      <c r="Z124" s="11" t="s">
        <v>1000</v>
      </c>
      <c r="AA124" s="11" t="b">
        <v>1</v>
      </c>
      <c r="AB124" s="11" t="b">
        <v>1</v>
      </c>
      <c r="AC124" s="12" t="b">
        <v>1</v>
      </c>
      <c r="AD124" s="8">
        <v>1</v>
      </c>
    </row>
    <row r="125" spans="1:30">
      <c r="A125" s="10" t="s">
        <v>959</v>
      </c>
      <c r="B125" s="11" t="s">
        <v>28</v>
      </c>
      <c r="C125" s="11" t="s">
        <v>960</v>
      </c>
      <c r="D125" s="11" t="s">
        <v>952</v>
      </c>
      <c r="E125" s="11" t="s">
        <v>953</v>
      </c>
      <c r="F125" s="11">
        <v>3</v>
      </c>
      <c r="G125" s="11">
        <v>3</v>
      </c>
      <c r="H125" s="11" t="s">
        <v>32</v>
      </c>
      <c r="I125" s="11">
        <v>3</v>
      </c>
      <c r="J125" s="11" t="s">
        <v>954</v>
      </c>
      <c r="K125" s="11" t="s">
        <v>955</v>
      </c>
      <c r="L125" s="11" t="s">
        <v>981</v>
      </c>
      <c r="M125" s="11" t="s">
        <v>956</v>
      </c>
      <c r="N125" s="11" t="s">
        <v>1001</v>
      </c>
      <c r="O125" s="11">
        <v>3.0624999999999898</v>
      </c>
      <c r="P125" s="11" t="s">
        <v>933</v>
      </c>
      <c r="Q125" s="11" t="s">
        <v>934</v>
      </c>
      <c r="R125" s="11" t="s">
        <v>934</v>
      </c>
      <c r="S125" s="11">
        <v>0</v>
      </c>
      <c r="T125" s="11">
        <v>3.0624999999999898</v>
      </c>
      <c r="U125" s="11">
        <v>0</v>
      </c>
      <c r="V125" s="11">
        <v>0</v>
      </c>
      <c r="W125" s="11">
        <v>0</v>
      </c>
      <c r="X125" s="11" t="s">
        <v>40</v>
      </c>
      <c r="Y125" s="11"/>
      <c r="Z125" s="11" t="s">
        <v>1000</v>
      </c>
      <c r="AA125" s="11" t="b">
        <v>1</v>
      </c>
      <c r="AB125" s="11" t="b">
        <v>1</v>
      </c>
      <c r="AC125" s="12" t="b">
        <v>1</v>
      </c>
      <c r="AD125" s="8">
        <v>1</v>
      </c>
    </row>
    <row r="126" spans="1:30">
      <c r="A126" s="10" t="s">
        <v>961</v>
      </c>
      <c r="B126" s="11" t="s">
        <v>28</v>
      </c>
      <c r="C126" s="11" t="s">
        <v>962</v>
      </c>
      <c r="D126" s="11" t="s">
        <v>952</v>
      </c>
      <c r="E126" s="11" t="s">
        <v>953</v>
      </c>
      <c r="F126" s="11">
        <v>4</v>
      </c>
      <c r="G126" s="11">
        <v>3</v>
      </c>
      <c r="H126" s="11" t="s">
        <v>32</v>
      </c>
      <c r="I126" s="11">
        <v>4</v>
      </c>
      <c r="J126" s="11" t="s">
        <v>954</v>
      </c>
      <c r="K126" s="11" t="s">
        <v>955</v>
      </c>
      <c r="L126" s="11" t="s">
        <v>981</v>
      </c>
      <c r="M126" s="11" t="s">
        <v>956</v>
      </c>
      <c r="N126" s="11" t="s">
        <v>1001</v>
      </c>
      <c r="O126" s="11">
        <v>4.1111111111111098</v>
      </c>
      <c r="P126" s="11" t="s">
        <v>933</v>
      </c>
      <c r="Q126" s="11" t="s">
        <v>934</v>
      </c>
      <c r="R126" s="11" t="s">
        <v>934</v>
      </c>
      <c r="S126" s="11">
        <v>0</v>
      </c>
      <c r="T126" s="11">
        <v>4.1111111111111098</v>
      </c>
      <c r="U126" s="11">
        <v>0</v>
      </c>
      <c r="V126" s="11">
        <v>0</v>
      </c>
      <c r="W126" s="11">
        <v>0</v>
      </c>
      <c r="X126" s="11" t="s">
        <v>40</v>
      </c>
      <c r="Y126" s="11"/>
      <c r="Z126" s="11" t="s">
        <v>1000</v>
      </c>
      <c r="AA126" s="11" t="b">
        <v>1</v>
      </c>
      <c r="AB126" s="11" t="b">
        <v>1</v>
      </c>
      <c r="AC126" s="12" t="b">
        <v>1</v>
      </c>
      <c r="AD126" s="8">
        <v>1</v>
      </c>
    </row>
    <row r="127" spans="1:30">
      <c r="A127" s="10" t="s">
        <v>963</v>
      </c>
      <c r="B127" s="11" t="s">
        <v>28</v>
      </c>
      <c r="C127" s="11" t="s">
        <v>964</v>
      </c>
      <c r="D127" s="11" t="s">
        <v>952</v>
      </c>
      <c r="E127" s="11" t="s">
        <v>953</v>
      </c>
      <c r="F127" s="11">
        <v>6</v>
      </c>
      <c r="G127" s="11">
        <v>3</v>
      </c>
      <c r="H127" s="11" t="s">
        <v>32</v>
      </c>
      <c r="I127" s="11">
        <v>6</v>
      </c>
      <c r="J127" s="11" t="s">
        <v>954</v>
      </c>
      <c r="K127" s="11" t="s">
        <v>955</v>
      </c>
      <c r="L127" s="11" t="s">
        <v>981</v>
      </c>
      <c r="M127" s="11" t="s">
        <v>956</v>
      </c>
      <c r="N127" s="11" t="s">
        <v>1001</v>
      </c>
      <c r="O127" s="11">
        <v>6.25</v>
      </c>
      <c r="P127" s="11" t="s">
        <v>933</v>
      </c>
      <c r="Q127" s="11" t="s">
        <v>934</v>
      </c>
      <c r="R127" s="11" t="s">
        <v>934</v>
      </c>
      <c r="S127" s="11">
        <v>0</v>
      </c>
      <c r="T127" s="11">
        <v>6.25</v>
      </c>
      <c r="U127" s="11">
        <v>0</v>
      </c>
      <c r="V127" s="11">
        <v>0</v>
      </c>
      <c r="W127" s="11">
        <v>0</v>
      </c>
      <c r="X127" s="11" t="s">
        <v>40</v>
      </c>
      <c r="Y127" s="11"/>
      <c r="Z127" s="11" t="s">
        <v>1000</v>
      </c>
      <c r="AA127" s="11" t="b">
        <v>1</v>
      </c>
      <c r="AB127" s="11" t="b">
        <v>1</v>
      </c>
      <c r="AC127" s="12" t="b">
        <v>1</v>
      </c>
      <c r="AD127" s="8">
        <v>1</v>
      </c>
    </row>
    <row r="128" spans="1:30">
      <c r="A128" s="10" t="s">
        <v>965</v>
      </c>
      <c r="B128" s="11" t="s">
        <v>28</v>
      </c>
      <c r="C128" s="11" t="s">
        <v>966</v>
      </c>
      <c r="D128" s="11" t="s">
        <v>952</v>
      </c>
      <c r="E128" s="11" t="s">
        <v>953</v>
      </c>
      <c r="F128" s="11">
        <v>8</v>
      </c>
      <c r="G128" s="11">
        <v>3</v>
      </c>
      <c r="H128" s="11" t="s">
        <v>32</v>
      </c>
      <c r="I128" s="11">
        <v>8</v>
      </c>
      <c r="J128" s="11" t="s">
        <v>954</v>
      </c>
      <c r="K128" s="11" t="s">
        <v>955</v>
      </c>
      <c r="L128" s="11" t="s">
        <v>981</v>
      </c>
      <c r="M128" s="11" t="s">
        <v>956</v>
      </c>
      <c r="N128" s="11" t="s">
        <v>1001</v>
      </c>
      <c r="O128" s="11">
        <v>8.4444444444444393</v>
      </c>
      <c r="P128" s="11" t="s">
        <v>933</v>
      </c>
      <c r="Q128" s="11" t="s">
        <v>934</v>
      </c>
      <c r="R128" s="11" t="s">
        <v>934</v>
      </c>
      <c r="S128" s="11">
        <v>0</v>
      </c>
      <c r="T128" s="11">
        <v>8.4444444444444393</v>
      </c>
      <c r="U128" s="11">
        <v>0</v>
      </c>
      <c r="V128" s="11">
        <v>0</v>
      </c>
      <c r="W128" s="11">
        <v>0</v>
      </c>
      <c r="X128" s="11" t="s">
        <v>40</v>
      </c>
      <c r="Y128" s="11"/>
      <c r="Z128" s="11" t="s">
        <v>1000</v>
      </c>
      <c r="AA128" s="11" t="b">
        <v>1</v>
      </c>
      <c r="AB128" s="11" t="b">
        <v>1</v>
      </c>
      <c r="AC128" s="12" t="b">
        <v>1</v>
      </c>
      <c r="AD128" s="8">
        <v>1</v>
      </c>
    </row>
    <row r="129" spans="1:35">
      <c r="A129" s="10" t="s">
        <v>967</v>
      </c>
      <c r="B129" s="11" t="s">
        <v>28</v>
      </c>
      <c r="C129" s="11" t="s">
        <v>968</v>
      </c>
      <c r="D129" s="11" t="s">
        <v>952</v>
      </c>
      <c r="E129" s="11" t="s">
        <v>953</v>
      </c>
      <c r="F129" s="11">
        <v>9</v>
      </c>
      <c r="G129" s="11">
        <v>3</v>
      </c>
      <c r="H129" s="11" t="s">
        <v>32</v>
      </c>
      <c r="I129" s="11">
        <v>9</v>
      </c>
      <c r="J129" s="11" t="s">
        <v>954</v>
      </c>
      <c r="K129" s="11" t="s">
        <v>955</v>
      </c>
      <c r="L129" s="11" t="s">
        <v>981</v>
      </c>
      <c r="M129" s="11" t="s">
        <v>956</v>
      </c>
      <c r="N129" s="11" t="s">
        <v>1001</v>
      </c>
      <c r="O129" s="11">
        <v>9.5625</v>
      </c>
      <c r="P129" s="11" t="s">
        <v>933</v>
      </c>
      <c r="Q129" s="11" t="s">
        <v>934</v>
      </c>
      <c r="R129" s="11" t="s">
        <v>934</v>
      </c>
      <c r="S129" s="11">
        <v>0</v>
      </c>
      <c r="T129" s="11">
        <v>9.5625</v>
      </c>
      <c r="U129" s="11">
        <v>0</v>
      </c>
      <c r="V129" s="11">
        <v>0</v>
      </c>
      <c r="W129" s="11">
        <v>0</v>
      </c>
      <c r="X129" s="11" t="s">
        <v>40</v>
      </c>
      <c r="Y129" s="11"/>
      <c r="Z129" s="11" t="s">
        <v>1000</v>
      </c>
      <c r="AA129" s="11" t="b">
        <v>1</v>
      </c>
      <c r="AB129" s="11" t="b">
        <v>1</v>
      </c>
      <c r="AC129" s="12" t="b">
        <v>1</v>
      </c>
      <c r="AD129" s="8">
        <v>1</v>
      </c>
    </row>
    <row r="130" spans="1:35">
      <c r="A130" s="10" t="s">
        <v>969</v>
      </c>
      <c r="B130" s="11" t="s">
        <v>28</v>
      </c>
      <c r="C130" s="11" t="s">
        <v>970</v>
      </c>
      <c r="D130" s="11" t="s">
        <v>952</v>
      </c>
      <c r="E130" s="11" t="s">
        <v>953</v>
      </c>
      <c r="F130" s="11">
        <v>12</v>
      </c>
      <c r="G130" s="11">
        <v>3</v>
      </c>
      <c r="H130" s="11" t="s">
        <v>32</v>
      </c>
      <c r="I130" s="11">
        <v>12</v>
      </c>
      <c r="J130" s="11" t="s">
        <v>954</v>
      </c>
      <c r="K130" s="11" t="s">
        <v>955</v>
      </c>
      <c r="L130" s="11" t="s">
        <v>981</v>
      </c>
      <c r="M130" s="11" t="s">
        <v>956</v>
      </c>
      <c r="N130" s="11" t="s">
        <v>1001</v>
      </c>
      <c r="O130" s="11">
        <v>13</v>
      </c>
      <c r="P130" s="11" t="s">
        <v>933</v>
      </c>
      <c r="Q130" s="11" t="s">
        <v>934</v>
      </c>
      <c r="R130" s="11" t="s">
        <v>934</v>
      </c>
      <c r="S130" s="11">
        <v>0</v>
      </c>
      <c r="T130" s="11">
        <v>13</v>
      </c>
      <c r="U130" s="11">
        <v>0</v>
      </c>
      <c r="V130" s="11">
        <v>0</v>
      </c>
      <c r="W130" s="11">
        <v>0</v>
      </c>
      <c r="X130" s="11" t="s">
        <v>40</v>
      </c>
      <c r="Y130" s="11"/>
      <c r="Z130" s="11" t="s">
        <v>1000</v>
      </c>
      <c r="AA130" s="11" t="b">
        <v>1</v>
      </c>
      <c r="AB130" s="11" t="b">
        <v>1</v>
      </c>
      <c r="AC130" s="12" t="b">
        <v>1</v>
      </c>
      <c r="AD130" s="8">
        <v>1</v>
      </c>
    </row>
    <row r="131" spans="1:35">
      <c r="A131" s="8"/>
      <c r="B131" s="8"/>
      <c r="C131" s="8"/>
      <c r="D131" s="8"/>
      <c r="E131" s="8"/>
      <c r="F131" s="8">
        <f>SUBTOTAL(9,F5:F130)</f>
        <v>698</v>
      </c>
      <c r="G131" s="8"/>
      <c r="H131" s="8"/>
      <c r="I131" s="8"/>
      <c r="J131" s="8"/>
      <c r="K131" s="8"/>
      <c r="L131" s="8"/>
      <c r="M131" s="8"/>
      <c r="N131" s="8"/>
      <c r="O131" s="8">
        <f>SUBTOTAL(9,O5:O130)</f>
        <v>28339.090277777777</v>
      </c>
      <c r="P131" s="8"/>
      <c r="Q131" s="8"/>
      <c r="R131" s="8"/>
      <c r="S131" s="8">
        <f>SUBTOTAL(9,S5:S122)</f>
        <v>16.166666666666703</v>
      </c>
      <c r="T131" s="8">
        <f>SUBTOTAL(9,T5:T122)</f>
        <v>28275.458333333328</v>
      </c>
      <c r="U131" s="8">
        <f>SUBTOTAL(9,U5:U130)</f>
        <v>29573.479456018482</v>
      </c>
      <c r="V131" s="8">
        <f>SUBTOTAL(9,V5:V130)</f>
        <v>3696.6849320023107</v>
      </c>
      <c r="W131" s="8">
        <f>SUBTOTAL(9,W5:W130)</f>
        <v>25876.794524016168</v>
      </c>
      <c r="X131" s="8"/>
      <c r="Y131" s="8"/>
      <c r="Z131" s="8"/>
      <c r="AA131" s="8"/>
      <c r="AB131" s="8"/>
      <c r="AC131" s="8"/>
      <c r="AD131" s="8">
        <f>SUBTOTAL(9,tblStableMatter[count])</f>
        <v>126</v>
      </c>
    </row>
    <row r="132" spans="1:35">
      <c r="T132">
        <f>tblStableMatter[[#Totals],[M_native]]-tblStableMatter[[#Totals],[M_observed_candidate]]</f>
        <v>63.631944444448891</v>
      </c>
    </row>
    <row r="136" spans="1:35" ht="13.95" thickBot="1">
      <c r="AE136" s="3" t="s">
        <v>997</v>
      </c>
      <c r="AF136" s="3" t="s">
        <v>984</v>
      </c>
    </row>
    <row r="137" spans="1:35" ht="13.95" thickTop="1">
      <c r="AE137" t="s">
        <v>985</v>
      </c>
      <c r="AF137" t="s">
        <v>986</v>
      </c>
    </row>
    <row r="138" spans="1:35">
      <c r="AE138" t="s">
        <v>987</v>
      </c>
      <c r="AF138" t="s">
        <v>988</v>
      </c>
    </row>
    <row r="139" spans="1:35">
      <c r="AE139" t="s">
        <v>989</v>
      </c>
      <c r="AF139" t="s">
        <v>990</v>
      </c>
    </row>
    <row r="140" spans="1:35" ht="13.95">
      <c r="AE140" t="s">
        <v>991</v>
      </c>
      <c r="AF140" s="6" t="s">
        <v>995</v>
      </c>
    </row>
    <row r="142" spans="1:35" ht="13.95">
      <c r="AE142" s="4" t="s">
        <v>992</v>
      </c>
      <c r="AF142" s="4" t="s">
        <v>987</v>
      </c>
      <c r="AG142" s="4" t="s">
        <v>989</v>
      </c>
      <c r="AH142" s="4" t="s">
        <v>985</v>
      </c>
      <c r="AI142" s="4" t="s">
        <v>993</v>
      </c>
    </row>
    <row r="143" spans="1:35" ht="13.95">
      <c r="AE143">
        <v>6</v>
      </c>
      <c r="AF143" s="5">
        <f>$O$65</f>
        <v>90</v>
      </c>
      <c r="AG143" s="5">
        <f>$O$66</f>
        <v>90</v>
      </c>
      <c r="AH143" s="5">
        <f>$O$67</f>
        <v>108</v>
      </c>
      <c r="AI143" t="s">
        <v>994</v>
      </c>
    </row>
    <row r="144" spans="1:35" ht="13.95">
      <c r="AE144">
        <v>8</v>
      </c>
      <c r="AF144" s="5">
        <f>$O$68</f>
        <v>108</v>
      </c>
      <c r="AG144" s="5">
        <f>$O$69</f>
        <v>9</v>
      </c>
      <c r="AH144" s="5">
        <f>$O$70</f>
        <v>120</v>
      </c>
      <c r="AI144" t="s">
        <v>998</v>
      </c>
    </row>
    <row r="145" spans="1:35" ht="13.95">
      <c r="AE145">
        <v>9</v>
      </c>
      <c r="AF145" s="5">
        <f>$O$71</f>
        <v>120</v>
      </c>
      <c r="AG145" s="5">
        <f>$O$72</f>
        <v>144</v>
      </c>
      <c r="AH145" s="5">
        <f>$O$73</f>
        <v>144</v>
      </c>
      <c r="AI145" t="s">
        <v>998</v>
      </c>
    </row>
    <row r="146" spans="1:35" ht="13.95">
      <c r="AE146">
        <v>12</v>
      </c>
      <c r="AF146" s="5">
        <f>$O$74</f>
        <v>12</v>
      </c>
      <c r="AG146" s="5">
        <f>$O$75</f>
        <v>135</v>
      </c>
      <c r="AH146" s="5">
        <f>$O$76</f>
        <v>135</v>
      </c>
      <c r="AI146" t="s">
        <v>998</v>
      </c>
    </row>
    <row r="155" spans="1: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35">
      <c r="A156" s="39" t="s">
        <v>996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</row>
    <row r="157" spans="1:35">
      <c r="A157" s="1" t="s">
        <v>1</v>
      </c>
      <c r="B157" s="1" t="s">
        <v>2</v>
      </c>
      <c r="C157" s="1" t="s">
        <v>3</v>
      </c>
      <c r="D157" s="1" t="s">
        <v>4</v>
      </c>
      <c r="E157" s="1" t="s">
        <v>5</v>
      </c>
      <c r="F157" s="1" t="s">
        <v>6</v>
      </c>
      <c r="G157" s="1" t="s">
        <v>7</v>
      </c>
      <c r="H157" s="1" t="s">
        <v>8</v>
      </c>
      <c r="I157" s="1" t="s">
        <v>9</v>
      </c>
      <c r="J157" s="1" t="s">
        <v>10</v>
      </c>
      <c r="K157" s="1" t="s">
        <v>11</v>
      </c>
      <c r="L157" s="1" t="s">
        <v>12</v>
      </c>
      <c r="M157" s="1" t="s">
        <v>13</v>
      </c>
      <c r="N157" s="1" t="s">
        <v>14</v>
      </c>
      <c r="O157" s="1" t="s">
        <v>15</v>
      </c>
      <c r="P157" s="1" t="s">
        <v>16</v>
      </c>
      <c r="Q157" s="1" t="s">
        <v>17</v>
      </c>
      <c r="R157" s="1" t="s">
        <v>18</v>
      </c>
      <c r="S157" s="1" t="s">
        <v>19</v>
      </c>
      <c r="T157" s="1" t="s">
        <v>20</v>
      </c>
      <c r="U157" s="1" t="s">
        <v>21</v>
      </c>
      <c r="V157" s="1" t="s">
        <v>22</v>
      </c>
      <c r="W157" s="1" t="s">
        <v>23</v>
      </c>
      <c r="X157" s="1" t="s">
        <v>24</v>
      </c>
      <c r="Y157" s="1" t="s">
        <v>25</v>
      </c>
      <c r="Z157" s="1" t="s">
        <v>26</v>
      </c>
      <c r="AA157" s="1" t="s">
        <v>971</v>
      </c>
      <c r="AB157" s="1" t="s">
        <v>972</v>
      </c>
      <c r="AC157" s="1" t="s">
        <v>982</v>
      </c>
    </row>
    <row r="158" spans="1:35">
      <c r="A158" s="2" t="s">
        <v>308</v>
      </c>
      <c r="B158" s="2" t="s">
        <v>309</v>
      </c>
      <c r="C158" s="2" t="s">
        <v>310</v>
      </c>
      <c r="D158" s="2" t="s">
        <v>311</v>
      </c>
      <c r="E158" s="2" t="s">
        <v>312</v>
      </c>
      <c r="F158" s="2" t="s">
        <v>313</v>
      </c>
      <c r="G158" s="2">
        <v>0</v>
      </c>
      <c r="H158" s="2" t="s">
        <v>32</v>
      </c>
      <c r="I158" s="2">
        <v>1</v>
      </c>
      <c r="J158" s="2" t="s">
        <v>314</v>
      </c>
      <c r="K158" s="2" t="s">
        <v>315</v>
      </c>
      <c r="L158" s="2" t="s">
        <v>316</v>
      </c>
      <c r="M158" s="2" t="s">
        <v>317</v>
      </c>
      <c r="N158" s="2" t="s">
        <v>318</v>
      </c>
      <c r="O158" s="2">
        <v>108</v>
      </c>
      <c r="P158" s="2" t="s">
        <v>205</v>
      </c>
      <c r="Q158" s="2" t="s">
        <v>200</v>
      </c>
      <c r="R158" s="2" t="s">
        <v>319</v>
      </c>
      <c r="S158" s="2">
        <v>36</v>
      </c>
      <c r="T158" s="2">
        <v>72</v>
      </c>
      <c r="U158" s="2">
        <v>72.499999999999901</v>
      </c>
      <c r="V158" s="2">
        <v>9.0624999999999893</v>
      </c>
      <c r="W158" s="2">
        <v>63.437499999999901</v>
      </c>
      <c r="X158" s="2" t="s">
        <v>40</v>
      </c>
      <c r="Y158" s="2"/>
      <c r="Z158" s="2" t="s">
        <v>320</v>
      </c>
      <c r="AA158" s="2" t="b">
        <v>1</v>
      </c>
      <c r="AB158" s="2" t="b">
        <v>1</v>
      </c>
      <c r="AC158" s="2" t="b">
        <v>1</v>
      </c>
    </row>
    <row r="159" spans="1:35">
      <c r="A159" s="2" t="s">
        <v>321</v>
      </c>
      <c r="B159" s="2" t="s">
        <v>309</v>
      </c>
      <c r="C159" s="2" t="s">
        <v>322</v>
      </c>
      <c r="D159" s="2" t="s">
        <v>323</v>
      </c>
      <c r="E159" s="2" t="s">
        <v>312</v>
      </c>
      <c r="F159" s="2" t="s">
        <v>324</v>
      </c>
      <c r="G159" s="2">
        <v>3</v>
      </c>
      <c r="H159" s="2" t="s">
        <v>32</v>
      </c>
      <c r="I159" s="2">
        <v>2</v>
      </c>
      <c r="J159" s="2" t="s">
        <v>314</v>
      </c>
      <c r="K159" s="2" t="s">
        <v>315</v>
      </c>
      <c r="L159" s="2" t="s">
        <v>316</v>
      </c>
      <c r="M159" s="2" t="s">
        <v>317</v>
      </c>
      <c r="N159" s="2" t="s">
        <v>325</v>
      </c>
      <c r="O159" s="2">
        <v>216</v>
      </c>
      <c r="P159" s="2" t="s">
        <v>205</v>
      </c>
      <c r="Q159" s="2" t="s">
        <v>326</v>
      </c>
      <c r="R159" s="2" t="s">
        <v>327</v>
      </c>
      <c r="S159" s="2">
        <v>2.8645833333333301E-2</v>
      </c>
      <c r="T159" s="2">
        <v>215.971354166666</v>
      </c>
      <c r="U159" s="2">
        <v>218.97095630787001</v>
      </c>
      <c r="V159" s="2">
        <v>27.371369538483702</v>
      </c>
      <c r="W159" s="2">
        <v>191.59958676938601</v>
      </c>
      <c r="X159" s="2" t="s">
        <v>40</v>
      </c>
      <c r="Y159" s="2"/>
      <c r="Z159" s="2" t="s">
        <v>320</v>
      </c>
      <c r="AA159" s="2" t="b">
        <v>1</v>
      </c>
      <c r="AB159" s="2" t="b">
        <v>1</v>
      </c>
      <c r="AC159" s="2" t="b">
        <v>0</v>
      </c>
    </row>
    <row r="160" spans="1:35">
      <c r="A160" s="2" t="s">
        <v>328</v>
      </c>
      <c r="B160" s="2" t="s">
        <v>309</v>
      </c>
      <c r="C160" s="2" t="s">
        <v>329</v>
      </c>
      <c r="D160" s="2" t="s">
        <v>323</v>
      </c>
      <c r="E160" s="2" t="s">
        <v>312</v>
      </c>
      <c r="F160" s="2" t="s">
        <v>330</v>
      </c>
      <c r="G160" s="2">
        <v>3</v>
      </c>
      <c r="H160" s="2" t="s">
        <v>51</v>
      </c>
      <c r="I160" s="2">
        <v>0</v>
      </c>
      <c r="J160" s="2" t="s">
        <v>314</v>
      </c>
      <c r="K160" s="2" t="s">
        <v>315</v>
      </c>
      <c r="L160" s="2" t="s">
        <v>316</v>
      </c>
      <c r="M160" s="2" t="s">
        <v>317</v>
      </c>
      <c r="N160" s="2" t="s">
        <v>325</v>
      </c>
      <c r="O160" s="2">
        <v>396</v>
      </c>
      <c r="P160" s="2" t="s">
        <v>205</v>
      </c>
      <c r="Q160" s="2" t="s">
        <v>326</v>
      </c>
      <c r="R160" s="2" t="s">
        <v>331</v>
      </c>
      <c r="S160" s="2">
        <v>0.24348958333333301</v>
      </c>
      <c r="T160" s="2">
        <v>395.756510416666</v>
      </c>
      <c r="U160" s="2">
        <v>395.756510416666</v>
      </c>
      <c r="V160" s="2">
        <v>49.4695638020833</v>
      </c>
      <c r="W160" s="2">
        <v>346.28694661458297</v>
      </c>
      <c r="X160" s="2" t="s">
        <v>40</v>
      </c>
      <c r="Y160" s="2"/>
      <c r="Z160" s="2" t="s">
        <v>320</v>
      </c>
      <c r="AA160" s="2" t="b">
        <v>1</v>
      </c>
      <c r="AB160" s="2" t="b">
        <v>1</v>
      </c>
      <c r="AC160" s="2" t="b">
        <v>0</v>
      </c>
    </row>
    <row r="161" spans="1:29">
      <c r="A161" s="2" t="s">
        <v>332</v>
      </c>
      <c r="B161" s="2" t="s">
        <v>309</v>
      </c>
      <c r="C161" s="2" t="s">
        <v>333</v>
      </c>
      <c r="D161" s="2" t="s">
        <v>311</v>
      </c>
      <c r="E161" s="2" t="s">
        <v>312</v>
      </c>
      <c r="F161" s="2" t="s">
        <v>334</v>
      </c>
      <c r="G161" s="2">
        <v>0</v>
      </c>
      <c r="H161" s="2" t="s">
        <v>32</v>
      </c>
      <c r="I161" s="2">
        <v>1</v>
      </c>
      <c r="J161" s="2" t="s">
        <v>314</v>
      </c>
      <c r="K161" s="2" t="s">
        <v>315</v>
      </c>
      <c r="L161" s="2" t="s">
        <v>316</v>
      </c>
      <c r="M161" s="2" t="s">
        <v>317</v>
      </c>
      <c r="N161" s="2" t="s">
        <v>318</v>
      </c>
      <c r="O161" s="2">
        <v>648</v>
      </c>
      <c r="P161" s="2" t="s">
        <v>205</v>
      </c>
      <c r="Q161" s="2" t="s">
        <v>200</v>
      </c>
      <c r="R161" s="2" t="s">
        <v>319</v>
      </c>
      <c r="S161" s="2">
        <v>216</v>
      </c>
      <c r="T161" s="2">
        <v>432</v>
      </c>
      <c r="U161" s="2">
        <v>434.99999999999898</v>
      </c>
      <c r="V161" s="2">
        <v>54.374999999999901</v>
      </c>
      <c r="W161" s="2">
        <v>380.62499999999898</v>
      </c>
      <c r="X161" s="2" t="s">
        <v>40</v>
      </c>
      <c r="Y161" s="2"/>
      <c r="Z161" s="2" t="s">
        <v>320</v>
      </c>
      <c r="AA161" s="2" t="b">
        <v>1</v>
      </c>
      <c r="AB161" s="2" t="b">
        <v>1</v>
      </c>
      <c r="AC161" s="2" t="b">
        <v>1</v>
      </c>
    </row>
    <row r="162" spans="1:29">
      <c r="A162" s="2" t="s">
        <v>335</v>
      </c>
      <c r="B162" s="2" t="s">
        <v>309</v>
      </c>
      <c r="C162" s="2" t="s">
        <v>336</v>
      </c>
      <c r="D162" s="2" t="s">
        <v>323</v>
      </c>
      <c r="E162" s="2" t="s">
        <v>312</v>
      </c>
      <c r="F162" s="2" t="s">
        <v>337</v>
      </c>
      <c r="G162" s="2">
        <v>3</v>
      </c>
      <c r="H162" s="2" t="s">
        <v>51</v>
      </c>
      <c r="I162" s="2">
        <v>0</v>
      </c>
      <c r="J162" s="2" t="s">
        <v>314</v>
      </c>
      <c r="K162" s="2" t="s">
        <v>315</v>
      </c>
      <c r="L162" s="2" t="s">
        <v>316</v>
      </c>
      <c r="M162" s="2" t="s">
        <v>317</v>
      </c>
      <c r="N162" s="2" t="s">
        <v>325</v>
      </c>
      <c r="O162" s="2">
        <v>1368</v>
      </c>
      <c r="P162" s="2" t="s">
        <v>205</v>
      </c>
      <c r="Q162" s="2" t="s">
        <v>326</v>
      </c>
      <c r="R162" s="2" t="s">
        <v>331</v>
      </c>
      <c r="S162" s="2">
        <v>0.84114583333333304</v>
      </c>
      <c r="T162" s="2">
        <v>1367.1588541666599</v>
      </c>
      <c r="U162" s="2">
        <v>1367.1588541666599</v>
      </c>
      <c r="V162" s="2">
        <v>170.894856770833</v>
      </c>
      <c r="W162" s="2">
        <v>1196.2639973958301</v>
      </c>
      <c r="X162" s="2" t="s">
        <v>40</v>
      </c>
      <c r="Y162" s="2"/>
      <c r="Z162" s="2" t="s">
        <v>320</v>
      </c>
      <c r="AA162" s="2" t="b">
        <v>1</v>
      </c>
      <c r="AB162" s="2" t="b">
        <v>1</v>
      </c>
      <c r="AC162" s="2" t="b">
        <v>0</v>
      </c>
    </row>
    <row r="163" spans="1:29">
      <c r="A163" s="2" t="s">
        <v>338</v>
      </c>
      <c r="B163" s="2" t="s">
        <v>309</v>
      </c>
      <c r="C163" s="2" t="s">
        <v>339</v>
      </c>
      <c r="D163" s="2" t="s">
        <v>323</v>
      </c>
      <c r="E163" s="2" t="s">
        <v>312</v>
      </c>
      <c r="F163" s="2" t="s">
        <v>340</v>
      </c>
      <c r="G163" s="2">
        <v>3</v>
      </c>
      <c r="H163" s="2" t="s">
        <v>32</v>
      </c>
      <c r="I163" s="2">
        <v>2</v>
      </c>
      <c r="J163" s="2" t="s">
        <v>314</v>
      </c>
      <c r="K163" s="2" t="s">
        <v>315</v>
      </c>
      <c r="L163" s="2" t="s">
        <v>316</v>
      </c>
      <c r="M163" s="2" t="s">
        <v>317</v>
      </c>
      <c r="N163" s="2" t="s">
        <v>325</v>
      </c>
      <c r="O163" s="2">
        <v>2376</v>
      </c>
      <c r="P163" s="2" t="s">
        <v>205</v>
      </c>
      <c r="Q163" s="2" t="s">
        <v>326</v>
      </c>
      <c r="R163" s="2" t="s">
        <v>327</v>
      </c>
      <c r="S163" s="2">
        <v>0.31510416666666602</v>
      </c>
      <c r="T163" s="2">
        <v>2375.6848958333298</v>
      </c>
      <c r="U163" s="2">
        <v>2408.6805193865698</v>
      </c>
      <c r="V163" s="2">
        <v>301.085064923321</v>
      </c>
      <c r="W163" s="2">
        <v>2107.59545446325</v>
      </c>
      <c r="X163" s="2" t="s">
        <v>40</v>
      </c>
      <c r="Y163" s="2"/>
      <c r="Z163" s="2" t="s">
        <v>320</v>
      </c>
      <c r="AA163" s="2" t="b">
        <v>1</v>
      </c>
      <c r="AB163" s="2" t="b">
        <v>1</v>
      </c>
      <c r="AC163" s="2" t="b">
        <v>0</v>
      </c>
    </row>
    <row r="164" spans="1:29">
      <c r="A164" s="2" t="s">
        <v>341</v>
      </c>
      <c r="B164" s="2" t="s">
        <v>309</v>
      </c>
      <c r="C164" s="2" t="s">
        <v>342</v>
      </c>
      <c r="D164" s="2" t="s">
        <v>323</v>
      </c>
      <c r="E164" s="2" t="s">
        <v>312</v>
      </c>
      <c r="F164" s="2" t="s">
        <v>343</v>
      </c>
      <c r="G164" s="2">
        <v>3</v>
      </c>
      <c r="H164" s="2" t="s">
        <v>51</v>
      </c>
      <c r="I164" s="2">
        <v>0</v>
      </c>
      <c r="J164" s="2" t="s">
        <v>314</v>
      </c>
      <c r="K164" s="2" t="s">
        <v>315</v>
      </c>
      <c r="L164" s="2" t="s">
        <v>316</v>
      </c>
      <c r="M164" s="2" t="s">
        <v>317</v>
      </c>
      <c r="N164" s="2" t="s">
        <v>325</v>
      </c>
      <c r="O164" s="2">
        <v>2988</v>
      </c>
      <c r="P164" s="2" t="s">
        <v>205</v>
      </c>
      <c r="Q164" s="2" t="s">
        <v>326</v>
      </c>
      <c r="R164" s="2" t="s">
        <v>331</v>
      </c>
      <c r="S164" s="2">
        <v>1.8372395833333299</v>
      </c>
      <c r="T164" s="2">
        <v>2986.1627604166601</v>
      </c>
      <c r="U164" s="2">
        <v>2986.1627604166601</v>
      </c>
      <c r="V164" s="2">
        <v>373.27034505208297</v>
      </c>
      <c r="W164" s="2">
        <v>2612.8924153645798</v>
      </c>
      <c r="X164" s="2" t="s">
        <v>40</v>
      </c>
      <c r="Y164" s="2"/>
      <c r="Z164" s="2" t="s">
        <v>320</v>
      </c>
      <c r="AA164" s="2" t="b">
        <v>1</v>
      </c>
      <c r="AB164" s="2" t="b">
        <v>1</v>
      </c>
      <c r="AC164" s="2" t="b">
        <v>0</v>
      </c>
    </row>
    <row r="165" spans="1:29">
      <c r="A165" s="2" t="s">
        <v>344</v>
      </c>
      <c r="B165" s="2" t="s">
        <v>309</v>
      </c>
      <c r="C165" s="2" t="s">
        <v>345</v>
      </c>
      <c r="D165" s="2" t="s">
        <v>323</v>
      </c>
      <c r="E165" s="2" t="s">
        <v>312</v>
      </c>
      <c r="F165" s="2" t="s">
        <v>346</v>
      </c>
      <c r="G165" s="2">
        <v>3</v>
      </c>
      <c r="H165" s="2" t="s">
        <v>51</v>
      </c>
      <c r="I165" s="2">
        <v>0</v>
      </c>
      <c r="J165" s="2" t="s">
        <v>314</v>
      </c>
      <c r="K165" s="2" t="s">
        <v>315</v>
      </c>
      <c r="L165" s="2" t="s">
        <v>316</v>
      </c>
      <c r="M165" s="2" t="s">
        <v>317</v>
      </c>
      <c r="N165" s="2" t="s">
        <v>325</v>
      </c>
      <c r="O165" s="2">
        <v>5256</v>
      </c>
      <c r="P165" s="2" t="s">
        <v>205</v>
      </c>
      <c r="Q165" s="2" t="s">
        <v>326</v>
      </c>
      <c r="R165" s="2" t="s">
        <v>331</v>
      </c>
      <c r="S165" s="2">
        <v>3.2317708333333299</v>
      </c>
      <c r="T165" s="2">
        <v>5252.7682291666597</v>
      </c>
      <c r="U165" s="2">
        <v>5252.7682291666597</v>
      </c>
      <c r="V165" s="2">
        <v>656.59602864583303</v>
      </c>
      <c r="W165" s="2">
        <v>4596.1722005208303</v>
      </c>
      <c r="X165" s="2" t="s">
        <v>40</v>
      </c>
      <c r="Y165" s="2"/>
      <c r="Z165" s="2" t="s">
        <v>320</v>
      </c>
      <c r="AA165" s="2" t="b">
        <v>1</v>
      </c>
      <c r="AB165" s="2" t="b">
        <v>1</v>
      </c>
      <c r="AC165" s="2" t="b">
        <v>0</v>
      </c>
    </row>
    <row r="166" spans="1:29">
      <c r="A166" s="2" t="s">
        <v>347</v>
      </c>
      <c r="B166" s="2" t="s">
        <v>309</v>
      </c>
      <c r="C166" s="2" t="s">
        <v>348</v>
      </c>
      <c r="D166" s="2" t="s">
        <v>323</v>
      </c>
      <c r="E166" s="2" t="s">
        <v>312</v>
      </c>
      <c r="F166" s="2" t="s">
        <v>349</v>
      </c>
      <c r="G166" s="2">
        <v>3</v>
      </c>
      <c r="H166" s="2" t="s">
        <v>32</v>
      </c>
      <c r="I166" s="2">
        <v>1</v>
      </c>
      <c r="J166" s="2" t="s">
        <v>314</v>
      </c>
      <c r="K166" s="2" t="s">
        <v>315</v>
      </c>
      <c r="L166" s="2" t="s">
        <v>316</v>
      </c>
      <c r="M166" s="2" t="s">
        <v>317</v>
      </c>
      <c r="N166" s="2" t="s">
        <v>325</v>
      </c>
      <c r="O166" s="2">
        <v>324</v>
      </c>
      <c r="P166" s="2" t="s">
        <v>205</v>
      </c>
      <c r="Q166" s="2" t="s">
        <v>326</v>
      </c>
      <c r="R166" s="2" t="s">
        <v>350</v>
      </c>
      <c r="S166" s="2">
        <v>2.7343749999999899E-2</v>
      </c>
      <c r="T166" s="2">
        <v>323.97265625</v>
      </c>
      <c r="U166" s="2">
        <v>326.222466362847</v>
      </c>
      <c r="V166" s="2">
        <v>40.777808295355896</v>
      </c>
      <c r="W166" s="2">
        <v>285.44465806749099</v>
      </c>
      <c r="X166" s="2" t="s">
        <v>40</v>
      </c>
      <c r="Y166" s="2"/>
      <c r="Z166" s="2" t="s">
        <v>320</v>
      </c>
      <c r="AA166" s="2" t="b">
        <v>1</v>
      </c>
      <c r="AB166" s="2" t="b">
        <v>1</v>
      </c>
      <c r="AC166" s="2" t="b">
        <v>0</v>
      </c>
    </row>
    <row r="167" spans="1:29">
      <c r="A167" s="2" t="s">
        <v>351</v>
      </c>
      <c r="B167" s="2" t="s">
        <v>309</v>
      </c>
      <c r="C167" s="2" t="s">
        <v>352</v>
      </c>
      <c r="D167" s="2" t="s">
        <v>311</v>
      </c>
      <c r="E167" s="2" t="s">
        <v>312</v>
      </c>
      <c r="F167" s="2" t="s">
        <v>353</v>
      </c>
      <c r="G167" s="2">
        <v>0</v>
      </c>
      <c r="H167" s="2" t="s">
        <v>45</v>
      </c>
      <c r="I167" s="2">
        <v>1</v>
      </c>
      <c r="J167" s="2" t="s">
        <v>314</v>
      </c>
      <c r="K167" s="2" t="s">
        <v>315</v>
      </c>
      <c r="L167" s="2" t="s">
        <v>316</v>
      </c>
      <c r="M167" s="2" t="s">
        <v>317</v>
      </c>
      <c r="N167" s="2" t="s">
        <v>318</v>
      </c>
      <c r="O167" s="2">
        <v>504</v>
      </c>
      <c r="P167" s="2" t="s">
        <v>199</v>
      </c>
      <c r="Q167" s="2" t="s">
        <v>200</v>
      </c>
      <c r="R167" s="2" t="s">
        <v>319</v>
      </c>
      <c r="S167" s="2">
        <v>-168</v>
      </c>
      <c r="T167" s="2">
        <v>672</v>
      </c>
      <c r="U167" s="2">
        <v>676.66666666666595</v>
      </c>
      <c r="V167" s="2">
        <v>84.5833333333333</v>
      </c>
      <c r="W167" s="2">
        <v>592.08333333333303</v>
      </c>
      <c r="X167" s="2" t="s">
        <v>40</v>
      </c>
      <c r="Y167" s="2"/>
      <c r="Z167" s="2" t="s">
        <v>320</v>
      </c>
      <c r="AA167" s="2" t="b">
        <v>1</v>
      </c>
      <c r="AB167" s="2" t="b">
        <v>1</v>
      </c>
      <c r="AC167" s="2" t="b">
        <v>1</v>
      </c>
    </row>
    <row r="168" spans="1:29">
      <c r="A168" s="2" t="s">
        <v>354</v>
      </c>
      <c r="B168" s="2" t="s">
        <v>309</v>
      </c>
      <c r="C168" s="2" t="s">
        <v>355</v>
      </c>
      <c r="D168" s="2" t="s">
        <v>323</v>
      </c>
      <c r="E168" s="2" t="s">
        <v>312</v>
      </c>
      <c r="F168" s="2" t="s">
        <v>356</v>
      </c>
      <c r="G168" s="2">
        <v>3</v>
      </c>
      <c r="H168" s="2" t="s">
        <v>51</v>
      </c>
      <c r="I168" s="2">
        <v>0</v>
      </c>
      <c r="J168" s="2" t="s">
        <v>314</v>
      </c>
      <c r="K168" s="2" t="s">
        <v>315</v>
      </c>
      <c r="L168" s="2" t="s">
        <v>316</v>
      </c>
      <c r="M168" s="2" t="s">
        <v>317</v>
      </c>
      <c r="N168" s="2" t="s">
        <v>325</v>
      </c>
      <c r="O168" s="2">
        <v>756</v>
      </c>
      <c r="P168" s="2" t="s">
        <v>205</v>
      </c>
      <c r="Q168" s="2" t="s">
        <v>326</v>
      </c>
      <c r="R168" s="2" t="s">
        <v>331</v>
      </c>
      <c r="S168" s="2">
        <v>0.46484375</v>
      </c>
      <c r="T168" s="2">
        <v>755.53515625</v>
      </c>
      <c r="U168" s="2">
        <v>755.53515625</v>
      </c>
      <c r="V168" s="2">
        <v>94.44189453125</v>
      </c>
      <c r="W168" s="2">
        <v>661.09326171875</v>
      </c>
      <c r="X168" s="2" t="s">
        <v>40</v>
      </c>
      <c r="Y168" s="2"/>
      <c r="Z168" s="2" t="s">
        <v>320</v>
      </c>
      <c r="AA168" s="2" t="b">
        <v>1</v>
      </c>
      <c r="AB168" s="2" t="b">
        <v>1</v>
      </c>
      <c r="AC168" s="2" t="b">
        <v>0</v>
      </c>
    </row>
    <row r="169" spans="1:29">
      <c r="A169" s="2" t="s">
        <v>357</v>
      </c>
      <c r="B169" s="2" t="s">
        <v>309</v>
      </c>
      <c r="C169" s="2" t="s">
        <v>358</v>
      </c>
      <c r="D169" s="2" t="s">
        <v>311</v>
      </c>
      <c r="E169" s="2" t="s">
        <v>312</v>
      </c>
      <c r="F169" s="2" t="s">
        <v>359</v>
      </c>
      <c r="G169" s="2">
        <v>0</v>
      </c>
      <c r="H169" s="2" t="s">
        <v>45</v>
      </c>
      <c r="I169" s="2">
        <v>1</v>
      </c>
      <c r="J169" s="2" t="s">
        <v>314</v>
      </c>
      <c r="K169" s="2" t="s">
        <v>315</v>
      </c>
      <c r="L169" s="2" t="s">
        <v>316</v>
      </c>
      <c r="M169" s="2" t="s">
        <v>317</v>
      </c>
      <c r="N169" s="2" t="s">
        <v>318</v>
      </c>
      <c r="O169" s="2">
        <v>1476</v>
      </c>
      <c r="P169" s="2" t="s">
        <v>199</v>
      </c>
      <c r="Q169" s="2" t="s">
        <v>200</v>
      </c>
      <c r="R169" s="2" t="s">
        <v>319</v>
      </c>
      <c r="S169" s="2">
        <v>-492</v>
      </c>
      <c r="T169" s="2">
        <v>1968</v>
      </c>
      <c r="U169" s="2">
        <v>1981.6666666666599</v>
      </c>
      <c r="V169" s="2">
        <v>247.708333333333</v>
      </c>
      <c r="W169" s="2">
        <v>1733.9583333333301</v>
      </c>
      <c r="X169" s="2" t="s">
        <v>40</v>
      </c>
      <c r="Y169" s="2"/>
      <c r="Z169" s="2" t="s">
        <v>320</v>
      </c>
      <c r="AA169" s="2" t="b">
        <v>1</v>
      </c>
      <c r="AB169" s="2" t="b">
        <v>1</v>
      </c>
      <c r="AC169" s="2" t="b">
        <v>1</v>
      </c>
    </row>
    <row r="170" spans="1:29">
      <c r="A170" s="2" t="s">
        <v>360</v>
      </c>
      <c r="B170" s="2" t="s">
        <v>309</v>
      </c>
      <c r="C170" s="2" t="s">
        <v>361</v>
      </c>
      <c r="D170" s="2" t="s">
        <v>323</v>
      </c>
      <c r="E170" s="2" t="s">
        <v>312</v>
      </c>
      <c r="F170" s="2" t="s">
        <v>362</v>
      </c>
      <c r="G170" s="2">
        <v>3</v>
      </c>
      <c r="H170" s="2" t="s">
        <v>32</v>
      </c>
      <c r="I170" s="2">
        <v>1</v>
      </c>
      <c r="J170" s="2" t="s">
        <v>314</v>
      </c>
      <c r="K170" s="2" t="s">
        <v>315</v>
      </c>
      <c r="L170" s="2" t="s">
        <v>316</v>
      </c>
      <c r="M170" s="2" t="s">
        <v>317</v>
      </c>
      <c r="N170" s="2" t="s">
        <v>325</v>
      </c>
      <c r="O170" s="2">
        <v>2484</v>
      </c>
      <c r="P170" s="2" t="s">
        <v>205</v>
      </c>
      <c r="Q170" s="2" t="s">
        <v>326</v>
      </c>
      <c r="R170" s="2" t="s">
        <v>350</v>
      </c>
      <c r="S170" s="2">
        <v>0.20963541666666599</v>
      </c>
      <c r="T170" s="2">
        <v>2483.7903645833298</v>
      </c>
      <c r="U170" s="2">
        <v>2501.0389087818198</v>
      </c>
      <c r="V170" s="2">
        <v>312.62986359772799</v>
      </c>
      <c r="W170" s="2">
        <v>2188.4090451840998</v>
      </c>
      <c r="X170" s="2" t="s">
        <v>40</v>
      </c>
      <c r="Y170" s="2"/>
      <c r="Z170" s="2" t="s">
        <v>320</v>
      </c>
      <c r="AA170" s="2" t="b">
        <v>1</v>
      </c>
      <c r="AB170" s="2" t="b">
        <v>1</v>
      </c>
      <c r="AC170" s="2" t="b">
        <v>0</v>
      </c>
    </row>
    <row r="171" spans="1:29">
      <c r="A171" s="2" t="s">
        <v>363</v>
      </c>
      <c r="B171" s="2" t="s">
        <v>309</v>
      </c>
      <c r="C171" s="2" t="s">
        <v>364</v>
      </c>
      <c r="D171" s="2" t="s">
        <v>311</v>
      </c>
      <c r="E171" s="2" t="s">
        <v>312</v>
      </c>
      <c r="F171" s="2" t="s">
        <v>365</v>
      </c>
      <c r="G171" s="2">
        <v>0</v>
      </c>
      <c r="H171" s="2" t="s">
        <v>45</v>
      </c>
      <c r="I171" s="2">
        <v>1</v>
      </c>
      <c r="J171" s="2" t="s">
        <v>314</v>
      </c>
      <c r="K171" s="2" t="s">
        <v>315</v>
      </c>
      <c r="L171" s="2" t="s">
        <v>316</v>
      </c>
      <c r="M171" s="2" t="s">
        <v>317</v>
      </c>
      <c r="N171" s="2" t="s">
        <v>325</v>
      </c>
      <c r="O171" s="2">
        <v>3096</v>
      </c>
      <c r="P171" s="2" t="s">
        <v>199</v>
      </c>
      <c r="Q171" s="2" t="s">
        <v>200</v>
      </c>
      <c r="R171" s="2" t="s">
        <v>319</v>
      </c>
      <c r="S171" s="2">
        <v>-1032</v>
      </c>
      <c r="T171" s="2">
        <v>4128</v>
      </c>
      <c r="U171" s="2">
        <v>4156.6666666666597</v>
      </c>
      <c r="V171" s="2">
        <v>519.58333333333303</v>
      </c>
      <c r="W171" s="2">
        <v>3637.0833333333298</v>
      </c>
      <c r="X171" s="2" t="s">
        <v>40</v>
      </c>
      <c r="Y171" s="2"/>
      <c r="Z171" s="2" t="s">
        <v>320</v>
      </c>
      <c r="AA171" s="2" t="b">
        <v>1</v>
      </c>
      <c r="AB171" s="2" t="b">
        <v>1</v>
      </c>
      <c r="AC171" s="2" t="b">
        <v>0</v>
      </c>
    </row>
    <row r="172" spans="1:29">
      <c r="A172" s="2" t="s">
        <v>366</v>
      </c>
      <c r="B172" s="2" t="s">
        <v>309</v>
      </c>
      <c r="C172" s="2" t="s">
        <v>367</v>
      </c>
      <c r="D172" s="2" t="s">
        <v>311</v>
      </c>
      <c r="E172" s="2" t="s">
        <v>312</v>
      </c>
      <c r="F172" s="2" t="s">
        <v>368</v>
      </c>
      <c r="G172" s="2">
        <v>0</v>
      </c>
      <c r="H172" s="2" t="s">
        <v>45</v>
      </c>
      <c r="I172" s="2">
        <v>1</v>
      </c>
      <c r="J172" s="2" t="s">
        <v>314</v>
      </c>
      <c r="K172" s="2" t="s">
        <v>315</v>
      </c>
      <c r="L172" s="2" t="s">
        <v>316</v>
      </c>
      <c r="M172" s="2" t="s">
        <v>317</v>
      </c>
      <c r="N172" s="2" t="s">
        <v>325</v>
      </c>
      <c r="O172" s="2">
        <v>5364</v>
      </c>
      <c r="P172" s="2" t="s">
        <v>199</v>
      </c>
      <c r="Q172" s="2" t="s">
        <v>200</v>
      </c>
      <c r="R172" s="2" t="s">
        <v>319</v>
      </c>
      <c r="S172" s="2">
        <v>-1788</v>
      </c>
      <c r="T172" s="2">
        <v>7152</v>
      </c>
      <c r="U172" s="2">
        <v>7201.6666666666597</v>
      </c>
      <c r="V172" s="2">
        <v>900.20833333333303</v>
      </c>
      <c r="W172" s="2">
        <v>6301.4583333333303</v>
      </c>
      <c r="X172" s="2" t="s">
        <v>40</v>
      </c>
      <c r="Y172" s="2"/>
      <c r="Z172" s="2" t="s">
        <v>320</v>
      </c>
      <c r="AA172" s="2" t="b">
        <v>1</v>
      </c>
      <c r="AB172" s="2" t="b">
        <v>1</v>
      </c>
      <c r="AC172" s="2" t="b">
        <v>0</v>
      </c>
    </row>
    <row r="173" spans="1:29">
      <c r="A173" s="2" t="s">
        <v>369</v>
      </c>
      <c r="B173" s="2" t="s">
        <v>309</v>
      </c>
      <c r="C173" s="2" t="s">
        <v>370</v>
      </c>
      <c r="D173" s="2" t="s">
        <v>323</v>
      </c>
      <c r="E173" s="2" t="s">
        <v>312</v>
      </c>
      <c r="F173" s="2" t="s">
        <v>371</v>
      </c>
      <c r="G173" s="2">
        <v>3</v>
      </c>
      <c r="H173" s="2" t="s">
        <v>45</v>
      </c>
      <c r="I173" s="2">
        <v>2</v>
      </c>
      <c r="J173" s="2" t="s">
        <v>314</v>
      </c>
      <c r="K173" s="2" t="s">
        <v>315</v>
      </c>
      <c r="L173" s="2" t="s">
        <v>316</v>
      </c>
      <c r="M173" s="2" t="s">
        <v>317</v>
      </c>
      <c r="N173" s="2" t="s">
        <v>325</v>
      </c>
      <c r="O173" s="2">
        <v>684</v>
      </c>
      <c r="P173" s="2" t="s">
        <v>199</v>
      </c>
      <c r="Q173" s="2" t="s">
        <v>326</v>
      </c>
      <c r="R173" s="2" t="s">
        <v>327</v>
      </c>
      <c r="S173" s="2">
        <v>-9.0711805555555497E-2</v>
      </c>
      <c r="T173" s="2">
        <v>684.09071180555497</v>
      </c>
      <c r="U173" s="2">
        <v>693.59197169174297</v>
      </c>
      <c r="V173" s="2">
        <v>86.6989964614679</v>
      </c>
      <c r="W173" s="2">
        <v>606.89297523027506</v>
      </c>
      <c r="X173" s="2" t="s">
        <v>40</v>
      </c>
      <c r="Y173" s="2"/>
      <c r="Z173" s="2" t="s">
        <v>320</v>
      </c>
      <c r="AA173" s="2" t="b">
        <v>1</v>
      </c>
      <c r="AB173" s="2" t="b">
        <v>1</v>
      </c>
      <c r="AC173" s="2" t="b">
        <v>0</v>
      </c>
    </row>
    <row r="174" spans="1:29">
      <c r="A174" s="2" t="s">
        <v>372</v>
      </c>
      <c r="B174" s="2" t="s">
        <v>309</v>
      </c>
      <c r="C174" s="2" t="s">
        <v>373</v>
      </c>
      <c r="D174" s="2" t="s">
        <v>323</v>
      </c>
      <c r="E174" s="2" t="s">
        <v>312</v>
      </c>
      <c r="F174" s="2" t="s">
        <v>374</v>
      </c>
      <c r="G174" s="2">
        <v>3</v>
      </c>
      <c r="H174" s="2" t="s">
        <v>45</v>
      </c>
      <c r="I174" s="2">
        <v>1</v>
      </c>
      <c r="J174" s="2" t="s">
        <v>314</v>
      </c>
      <c r="K174" s="2" t="s">
        <v>315</v>
      </c>
      <c r="L174" s="2" t="s">
        <v>316</v>
      </c>
      <c r="M174" s="2" t="s">
        <v>317</v>
      </c>
      <c r="N174" s="2" t="s">
        <v>325</v>
      </c>
      <c r="O174" s="2">
        <v>936</v>
      </c>
      <c r="P174" s="2" t="s">
        <v>199</v>
      </c>
      <c r="Q174" s="2" t="s">
        <v>326</v>
      </c>
      <c r="R174" s="2" t="s">
        <v>350</v>
      </c>
      <c r="S174" s="2">
        <v>-7.8993055555555497E-2</v>
      </c>
      <c r="T174" s="2">
        <v>936.07899305555497</v>
      </c>
      <c r="U174" s="2">
        <v>942.579541618441</v>
      </c>
      <c r="V174" s="2">
        <v>117.822442702305</v>
      </c>
      <c r="W174" s="2">
        <v>824.75709891613599</v>
      </c>
      <c r="X174" s="2" t="s">
        <v>40</v>
      </c>
      <c r="Y174" s="2"/>
      <c r="Z174" s="2" t="s">
        <v>320</v>
      </c>
      <c r="AA174" s="2" t="b">
        <v>1</v>
      </c>
      <c r="AB174" s="2" t="b">
        <v>1</v>
      </c>
      <c r="AC174" s="2" t="b">
        <v>0</v>
      </c>
    </row>
    <row r="175" spans="1:29">
      <c r="A175" s="2" t="s">
        <v>375</v>
      </c>
      <c r="B175" s="2" t="s">
        <v>309</v>
      </c>
      <c r="C175" s="2" t="s">
        <v>376</v>
      </c>
      <c r="D175" s="2" t="s">
        <v>323</v>
      </c>
      <c r="E175" s="2" t="s">
        <v>312</v>
      </c>
      <c r="F175" s="2" t="s">
        <v>377</v>
      </c>
      <c r="G175" s="2">
        <v>3</v>
      </c>
      <c r="H175" s="2" t="s">
        <v>45</v>
      </c>
      <c r="I175" s="2">
        <v>2</v>
      </c>
      <c r="J175" s="2" t="s">
        <v>314</v>
      </c>
      <c r="K175" s="2" t="s">
        <v>315</v>
      </c>
      <c r="L175" s="2" t="s">
        <v>316</v>
      </c>
      <c r="M175" s="2" t="s">
        <v>317</v>
      </c>
      <c r="N175" s="2" t="s">
        <v>325</v>
      </c>
      <c r="O175" s="2">
        <v>1656</v>
      </c>
      <c r="P175" s="2" t="s">
        <v>199</v>
      </c>
      <c r="Q175" s="2" t="s">
        <v>326</v>
      </c>
      <c r="R175" s="2" t="s">
        <v>327</v>
      </c>
      <c r="S175" s="2">
        <v>-0.219618055555555</v>
      </c>
      <c r="T175" s="2">
        <v>1656.21961805555</v>
      </c>
      <c r="U175" s="2">
        <v>1679.22266830632</v>
      </c>
      <c r="V175" s="2">
        <v>209.90283353829</v>
      </c>
      <c r="W175" s="2">
        <v>1469.31983476803</v>
      </c>
      <c r="X175" s="2" t="s">
        <v>40</v>
      </c>
      <c r="Y175" s="2"/>
      <c r="Z175" s="2" t="s">
        <v>320</v>
      </c>
      <c r="AA175" s="2" t="b">
        <v>1</v>
      </c>
      <c r="AB175" s="2" t="b">
        <v>1</v>
      </c>
      <c r="AC175" s="2" t="b">
        <v>0</v>
      </c>
    </row>
    <row r="176" spans="1:29">
      <c r="A176" s="2" t="s">
        <v>378</v>
      </c>
      <c r="B176" s="2" t="s">
        <v>309</v>
      </c>
      <c r="C176" s="2" t="s">
        <v>379</v>
      </c>
      <c r="D176" s="2" t="s">
        <v>311</v>
      </c>
      <c r="E176" s="2" t="s">
        <v>312</v>
      </c>
      <c r="F176" s="2" t="s">
        <v>380</v>
      </c>
      <c r="G176" s="2">
        <v>0</v>
      </c>
      <c r="H176" s="2" t="s">
        <v>51</v>
      </c>
      <c r="I176" s="2">
        <v>0</v>
      </c>
      <c r="J176" s="2" t="s">
        <v>314</v>
      </c>
      <c r="K176" s="2" t="s">
        <v>315</v>
      </c>
      <c r="L176" s="2" t="s">
        <v>316</v>
      </c>
      <c r="M176" s="2" t="s">
        <v>381</v>
      </c>
      <c r="N176" s="2" t="s">
        <v>382</v>
      </c>
      <c r="O176" s="2">
        <v>2664</v>
      </c>
      <c r="P176" s="2" t="s">
        <v>205</v>
      </c>
      <c r="Q176" s="2" t="s">
        <v>200</v>
      </c>
      <c r="R176" s="2" t="s">
        <v>383</v>
      </c>
      <c r="S176" s="2">
        <v>3330</v>
      </c>
      <c r="T176" s="2">
        <v>-666</v>
      </c>
      <c r="U176" s="2">
        <v>0</v>
      </c>
      <c r="V176" s="2">
        <v>0</v>
      </c>
      <c r="W176" s="2">
        <v>0</v>
      </c>
      <c r="X176" s="2" t="s">
        <v>42</v>
      </c>
      <c r="Y176" s="2"/>
      <c r="Z176" s="2" t="s">
        <v>384</v>
      </c>
      <c r="AA176" s="2" t="b">
        <v>1</v>
      </c>
      <c r="AB176" s="2" t="b">
        <v>1</v>
      </c>
      <c r="AC176" s="2" t="b">
        <v>0</v>
      </c>
    </row>
    <row r="177" spans="1:29">
      <c r="A177" s="2" t="s">
        <v>385</v>
      </c>
      <c r="B177" s="2" t="s">
        <v>309</v>
      </c>
      <c r="C177" s="2" t="s">
        <v>386</v>
      </c>
      <c r="D177" s="2" t="s">
        <v>323</v>
      </c>
      <c r="E177" s="2" t="s">
        <v>312</v>
      </c>
      <c r="F177" s="2" t="s">
        <v>387</v>
      </c>
      <c r="G177" s="2">
        <v>3</v>
      </c>
      <c r="H177" s="2" t="s">
        <v>45</v>
      </c>
      <c r="I177" s="2">
        <v>2</v>
      </c>
      <c r="J177" s="2" t="s">
        <v>314</v>
      </c>
      <c r="K177" s="2" t="s">
        <v>315</v>
      </c>
      <c r="L177" s="2" t="s">
        <v>316</v>
      </c>
      <c r="M177" s="2" t="s">
        <v>317</v>
      </c>
      <c r="N177" s="2" t="s">
        <v>325</v>
      </c>
      <c r="O177" s="2">
        <v>3276</v>
      </c>
      <c r="P177" s="2" t="s">
        <v>199</v>
      </c>
      <c r="Q177" s="2" t="s">
        <v>326</v>
      </c>
      <c r="R177" s="2" t="s">
        <v>327</v>
      </c>
      <c r="S177" s="2">
        <v>-0.43446180555555503</v>
      </c>
      <c r="T177" s="2">
        <v>3276.4344618055502</v>
      </c>
      <c r="U177" s="2">
        <v>3321.9404959972899</v>
      </c>
      <c r="V177" s="2">
        <v>415.24256199966197</v>
      </c>
      <c r="W177" s="2">
        <v>2906.6979339976301</v>
      </c>
      <c r="X177" s="2" t="s">
        <v>40</v>
      </c>
      <c r="Y177" s="2"/>
      <c r="Z177" s="2" t="s">
        <v>320</v>
      </c>
      <c r="AA177" s="2" t="b">
        <v>1</v>
      </c>
      <c r="AB177" s="2" t="b">
        <v>1</v>
      </c>
      <c r="AC177" s="2" t="b">
        <v>0</v>
      </c>
    </row>
    <row r="178" spans="1:29">
      <c r="A178" s="2" t="s">
        <v>388</v>
      </c>
      <c r="B178" s="2" t="s">
        <v>309</v>
      </c>
      <c r="C178" s="2" t="s">
        <v>389</v>
      </c>
      <c r="D178" s="2" t="s">
        <v>323</v>
      </c>
      <c r="E178" s="2" t="s">
        <v>312</v>
      </c>
      <c r="F178" s="2" t="s">
        <v>390</v>
      </c>
      <c r="G178" s="2">
        <v>3</v>
      </c>
      <c r="H178" s="2" t="s">
        <v>45</v>
      </c>
      <c r="I178" s="2">
        <v>2</v>
      </c>
      <c r="J178" s="2" t="s">
        <v>314</v>
      </c>
      <c r="K178" s="2" t="s">
        <v>315</v>
      </c>
      <c r="L178" s="2" t="s">
        <v>316</v>
      </c>
      <c r="M178" s="2" t="s">
        <v>317</v>
      </c>
      <c r="N178" s="2" t="s">
        <v>325</v>
      </c>
      <c r="O178" s="2">
        <v>5544</v>
      </c>
      <c r="P178" s="2" t="s">
        <v>199</v>
      </c>
      <c r="Q178" s="2" t="s">
        <v>326</v>
      </c>
      <c r="R178" s="2" t="s">
        <v>327</v>
      </c>
      <c r="S178" s="2">
        <v>-0.73524305555555503</v>
      </c>
      <c r="T178" s="2">
        <v>5544.7352430555502</v>
      </c>
      <c r="U178" s="2">
        <v>5621.7454547646603</v>
      </c>
      <c r="V178" s="2">
        <v>702.71818184558197</v>
      </c>
      <c r="W178" s="2">
        <v>4919.0272729190701</v>
      </c>
      <c r="X178" s="2" t="s">
        <v>40</v>
      </c>
      <c r="Y178" s="2"/>
      <c r="Z178" s="2" t="s">
        <v>320</v>
      </c>
      <c r="AA178" s="2" t="b">
        <v>1</v>
      </c>
      <c r="AB178" s="2" t="b">
        <v>1</v>
      </c>
      <c r="AC178" s="2" t="b">
        <v>0</v>
      </c>
    </row>
    <row r="179" spans="1:29">
      <c r="A179" s="2" t="s">
        <v>391</v>
      </c>
      <c r="B179" s="2" t="s">
        <v>309</v>
      </c>
      <c r="C179" s="2" t="s">
        <v>392</v>
      </c>
      <c r="D179" s="2" t="s">
        <v>311</v>
      </c>
      <c r="E179" s="2" t="s">
        <v>312</v>
      </c>
      <c r="F179" s="2" t="s">
        <v>393</v>
      </c>
      <c r="G179" s="2">
        <v>0</v>
      </c>
      <c r="H179" s="2" t="s">
        <v>45</v>
      </c>
      <c r="I179" s="2">
        <v>2</v>
      </c>
      <c r="J179" s="2" t="s">
        <v>314</v>
      </c>
      <c r="K179" s="2" t="s">
        <v>315</v>
      </c>
      <c r="L179" s="2" t="s">
        <v>316</v>
      </c>
      <c r="M179" s="2" t="s">
        <v>317</v>
      </c>
      <c r="N179" s="2" t="s">
        <v>318</v>
      </c>
      <c r="O179" s="2">
        <v>1188</v>
      </c>
      <c r="P179" s="2" t="s">
        <v>199</v>
      </c>
      <c r="Q179" s="2" t="s">
        <v>200</v>
      </c>
      <c r="R179" s="2" t="s">
        <v>394</v>
      </c>
      <c r="S179" s="2">
        <v>-495</v>
      </c>
      <c r="T179" s="2">
        <v>1683</v>
      </c>
      <c r="U179" s="2">
        <v>1706.375</v>
      </c>
      <c r="V179" s="2">
        <v>213.296875</v>
      </c>
      <c r="W179" s="2">
        <v>1493.078125</v>
      </c>
      <c r="X179" s="2" t="s">
        <v>40</v>
      </c>
      <c r="Y179" s="2"/>
      <c r="Z179" s="2" t="s">
        <v>320</v>
      </c>
      <c r="AA179" s="2" t="b">
        <v>1</v>
      </c>
      <c r="AB179" s="2" t="b">
        <v>1</v>
      </c>
      <c r="AC179" s="2" t="b">
        <v>1</v>
      </c>
    </row>
    <row r="180" spans="1:29">
      <c r="A180" s="2" t="s">
        <v>395</v>
      </c>
      <c r="B180" s="2" t="s">
        <v>309</v>
      </c>
      <c r="C180" s="2" t="s">
        <v>396</v>
      </c>
      <c r="D180" s="2" t="s">
        <v>323</v>
      </c>
      <c r="E180" s="2" t="s">
        <v>312</v>
      </c>
      <c r="F180" s="2" t="s">
        <v>397</v>
      </c>
      <c r="G180" s="2">
        <v>3</v>
      </c>
      <c r="H180" s="2" t="s">
        <v>45</v>
      </c>
      <c r="I180" s="2">
        <v>3</v>
      </c>
      <c r="J180" s="2" t="s">
        <v>314</v>
      </c>
      <c r="K180" s="2" t="s">
        <v>315</v>
      </c>
      <c r="L180" s="2" t="s">
        <v>316</v>
      </c>
      <c r="M180" s="2" t="s">
        <v>317</v>
      </c>
      <c r="N180" s="2" t="s">
        <v>325</v>
      </c>
      <c r="O180" s="2">
        <v>1908</v>
      </c>
      <c r="P180" s="2" t="s">
        <v>199</v>
      </c>
      <c r="Q180" s="2" t="s">
        <v>326</v>
      </c>
      <c r="R180" s="2" t="s">
        <v>398</v>
      </c>
      <c r="S180" s="2">
        <v>-0.34505208333333298</v>
      </c>
      <c r="T180" s="2">
        <v>1908.3450520833301</v>
      </c>
      <c r="U180" s="2">
        <v>1948.1022406684001</v>
      </c>
      <c r="V180" s="2">
        <v>243.51278008355001</v>
      </c>
      <c r="W180" s="2">
        <v>1704.58946058485</v>
      </c>
      <c r="X180" s="2" t="s">
        <v>40</v>
      </c>
      <c r="Y180" s="2"/>
      <c r="Z180" s="2" t="s">
        <v>320</v>
      </c>
      <c r="AA180" s="2" t="b">
        <v>1</v>
      </c>
      <c r="AB180" s="2" t="b">
        <v>1</v>
      </c>
      <c r="AC180" s="2" t="b">
        <v>0</v>
      </c>
    </row>
    <row r="181" spans="1:29">
      <c r="A181" s="2" t="s">
        <v>399</v>
      </c>
      <c r="B181" s="2" t="s">
        <v>309</v>
      </c>
      <c r="C181" s="2" t="s">
        <v>400</v>
      </c>
      <c r="D181" s="2" t="s">
        <v>323</v>
      </c>
      <c r="E181" s="2" t="s">
        <v>312</v>
      </c>
      <c r="F181" s="2" t="s">
        <v>401</v>
      </c>
      <c r="G181" s="2">
        <v>3</v>
      </c>
      <c r="H181" s="2" t="s">
        <v>45</v>
      </c>
      <c r="I181" s="2">
        <v>1</v>
      </c>
      <c r="J181" s="2" t="s">
        <v>314</v>
      </c>
      <c r="K181" s="2" t="s">
        <v>315</v>
      </c>
      <c r="L181" s="2" t="s">
        <v>316</v>
      </c>
      <c r="M181" s="2" t="s">
        <v>317</v>
      </c>
      <c r="N181" s="2" t="s">
        <v>325</v>
      </c>
      <c r="O181" s="2">
        <v>2916</v>
      </c>
      <c r="P181" s="2" t="s">
        <v>199</v>
      </c>
      <c r="Q181" s="2" t="s">
        <v>326</v>
      </c>
      <c r="R181" s="2" t="s">
        <v>350</v>
      </c>
      <c r="S181" s="2">
        <v>-0.246093749999999</v>
      </c>
      <c r="T181" s="2">
        <v>2916.24609375</v>
      </c>
      <c r="U181" s="2">
        <v>2936.49780273437</v>
      </c>
      <c r="V181" s="2">
        <v>367.06222534179602</v>
      </c>
      <c r="W181" s="2">
        <v>2569.4355773925699</v>
      </c>
      <c r="X181" s="2" t="s">
        <v>40</v>
      </c>
      <c r="Y181" s="2"/>
      <c r="Z181" s="2" t="s">
        <v>320</v>
      </c>
      <c r="AA181" s="2" t="b">
        <v>1</v>
      </c>
      <c r="AB181" s="2" t="b">
        <v>1</v>
      </c>
      <c r="AC181" s="2" t="b">
        <v>0</v>
      </c>
    </row>
    <row r="182" spans="1:29">
      <c r="A182" s="2" t="s">
        <v>402</v>
      </c>
      <c r="B182" s="2" t="s">
        <v>309</v>
      </c>
      <c r="C182" s="2" t="s">
        <v>403</v>
      </c>
      <c r="D182" s="2" t="s">
        <v>323</v>
      </c>
      <c r="E182" s="2" t="s">
        <v>312</v>
      </c>
      <c r="F182" s="2" t="s">
        <v>404</v>
      </c>
      <c r="G182" s="2">
        <v>3</v>
      </c>
      <c r="H182" s="2" t="s">
        <v>45</v>
      </c>
      <c r="I182" s="2">
        <v>3</v>
      </c>
      <c r="J182" s="2" t="s">
        <v>314</v>
      </c>
      <c r="K182" s="2" t="s">
        <v>315</v>
      </c>
      <c r="L182" s="2" t="s">
        <v>316</v>
      </c>
      <c r="M182" s="2" t="s">
        <v>317</v>
      </c>
      <c r="N182" s="2" t="s">
        <v>325</v>
      </c>
      <c r="O182" s="2">
        <v>3528</v>
      </c>
      <c r="P182" s="2" t="s">
        <v>199</v>
      </c>
      <c r="Q182" s="2" t="s">
        <v>326</v>
      </c>
      <c r="R182" s="2" t="s">
        <v>398</v>
      </c>
      <c r="S182" s="2">
        <v>-0.63802083333333304</v>
      </c>
      <c r="T182" s="2">
        <v>3528.6380208333298</v>
      </c>
      <c r="U182" s="2">
        <v>3602.1513129340201</v>
      </c>
      <c r="V182" s="2">
        <v>450.26891411675302</v>
      </c>
      <c r="W182" s="2">
        <v>3151.8823988172699</v>
      </c>
      <c r="X182" s="2" t="s">
        <v>40</v>
      </c>
      <c r="Y182" s="2"/>
      <c r="Z182" s="2" t="s">
        <v>320</v>
      </c>
      <c r="AA182" s="2" t="b">
        <v>1</v>
      </c>
      <c r="AB182" s="2" t="b">
        <v>1</v>
      </c>
      <c r="AC182" s="2" t="b">
        <v>0</v>
      </c>
    </row>
    <row r="183" spans="1:29">
      <c r="A183" s="2" t="s">
        <v>405</v>
      </c>
      <c r="B183" s="2" t="s">
        <v>309</v>
      </c>
      <c r="C183" s="2" t="s">
        <v>406</v>
      </c>
      <c r="D183" s="2" t="s">
        <v>323</v>
      </c>
      <c r="E183" s="2" t="s">
        <v>312</v>
      </c>
      <c r="F183" s="2" t="s">
        <v>407</v>
      </c>
      <c r="G183" s="2">
        <v>3</v>
      </c>
      <c r="H183" s="2" t="s">
        <v>45</v>
      </c>
      <c r="I183" s="2">
        <v>3</v>
      </c>
      <c r="J183" s="2" t="s">
        <v>314</v>
      </c>
      <c r="K183" s="2" t="s">
        <v>315</v>
      </c>
      <c r="L183" s="2" t="s">
        <v>316</v>
      </c>
      <c r="M183" s="2" t="s">
        <v>317</v>
      </c>
      <c r="N183" s="2" t="s">
        <v>325</v>
      </c>
      <c r="O183" s="2">
        <v>5796</v>
      </c>
      <c r="P183" s="2" t="s">
        <v>199</v>
      </c>
      <c r="Q183" s="2" t="s">
        <v>326</v>
      </c>
      <c r="R183" s="2" t="s">
        <v>398</v>
      </c>
      <c r="S183" s="2">
        <v>-1.0481770833333299</v>
      </c>
      <c r="T183" s="2">
        <v>5797.0481770833303</v>
      </c>
      <c r="U183" s="2">
        <v>5917.8200141058996</v>
      </c>
      <c r="V183" s="2">
        <v>739.727501763237</v>
      </c>
      <c r="W183" s="2">
        <v>5178.0925123426596</v>
      </c>
      <c r="X183" s="2" t="s">
        <v>40</v>
      </c>
      <c r="Y183" s="2"/>
      <c r="Z183" s="2" t="s">
        <v>320</v>
      </c>
      <c r="AA183" s="2" t="b">
        <v>1</v>
      </c>
      <c r="AB183" s="2" t="b">
        <v>1</v>
      </c>
      <c r="AC183" s="2" t="b">
        <v>0</v>
      </c>
    </row>
    <row r="184" spans="1:29">
      <c r="A184" s="2" t="s">
        <v>408</v>
      </c>
      <c r="B184" s="2" t="s">
        <v>309</v>
      </c>
      <c r="C184" s="2" t="s">
        <v>409</v>
      </c>
      <c r="D184" s="2" t="s">
        <v>323</v>
      </c>
      <c r="E184" s="2" t="s">
        <v>312</v>
      </c>
      <c r="F184" s="2" t="s">
        <v>410</v>
      </c>
      <c r="G184" s="2">
        <v>3</v>
      </c>
      <c r="H184" s="2" t="s">
        <v>45</v>
      </c>
      <c r="I184" s="2">
        <v>5</v>
      </c>
      <c r="J184" s="2" t="s">
        <v>314</v>
      </c>
      <c r="K184" s="2" t="s">
        <v>315</v>
      </c>
      <c r="L184" s="2" t="s">
        <v>316</v>
      </c>
      <c r="M184" s="2" t="s">
        <v>317</v>
      </c>
      <c r="N184" s="2" t="s">
        <v>325</v>
      </c>
      <c r="O184" s="2">
        <v>2628</v>
      </c>
      <c r="P184" s="2" t="s">
        <v>199</v>
      </c>
      <c r="Q184" s="2" t="s">
        <v>326</v>
      </c>
      <c r="R184" s="2" t="s">
        <v>411</v>
      </c>
      <c r="S184" s="2">
        <v>-0.72873263888888795</v>
      </c>
      <c r="T184" s="2">
        <v>2628.72873263888</v>
      </c>
      <c r="U184" s="2">
        <v>2720.0040358555102</v>
      </c>
      <c r="V184" s="2">
        <v>340.000504481939</v>
      </c>
      <c r="W184" s="2">
        <v>2380.0035313735698</v>
      </c>
      <c r="X184" s="2" t="s">
        <v>40</v>
      </c>
      <c r="Y184" s="2"/>
      <c r="Z184" s="2" t="s">
        <v>320</v>
      </c>
      <c r="AA184" s="2" t="b">
        <v>1</v>
      </c>
      <c r="AB184" s="2" t="b">
        <v>0</v>
      </c>
      <c r="AC184" s="2" t="b">
        <v>0</v>
      </c>
    </row>
    <row r="185" spans="1:29">
      <c r="A185" s="2" t="s">
        <v>412</v>
      </c>
      <c r="B185" s="2" t="s">
        <v>309</v>
      </c>
      <c r="C185" s="2" t="s">
        <v>413</v>
      </c>
      <c r="D185" s="2" t="s">
        <v>311</v>
      </c>
      <c r="E185" s="2" t="s">
        <v>312</v>
      </c>
      <c r="F185" s="2" t="s">
        <v>414</v>
      </c>
      <c r="G185" s="2">
        <v>0</v>
      </c>
      <c r="H185" s="2" t="s">
        <v>45</v>
      </c>
      <c r="I185" s="2">
        <v>3</v>
      </c>
      <c r="J185" s="2" t="s">
        <v>314</v>
      </c>
      <c r="K185" s="2" t="s">
        <v>315</v>
      </c>
      <c r="L185" s="2" t="s">
        <v>316</v>
      </c>
      <c r="M185" s="2" t="s">
        <v>317</v>
      </c>
      <c r="N185" s="2" t="s">
        <v>318</v>
      </c>
      <c r="O185" s="2">
        <v>3636</v>
      </c>
      <c r="P185" s="2" t="s">
        <v>199</v>
      </c>
      <c r="Q185" s="2" t="s">
        <v>200</v>
      </c>
      <c r="R185" s="2" t="s">
        <v>415</v>
      </c>
      <c r="S185" s="2">
        <v>-1818</v>
      </c>
      <c r="T185" s="2">
        <v>5454</v>
      </c>
      <c r="U185" s="2">
        <v>5567.62499999999</v>
      </c>
      <c r="V185" s="2">
        <v>695.95312499999898</v>
      </c>
      <c r="W185" s="2">
        <v>4871.67187499999</v>
      </c>
      <c r="X185" s="2" t="s">
        <v>40</v>
      </c>
      <c r="Y185" s="2"/>
      <c r="Z185" s="2" t="s">
        <v>320</v>
      </c>
      <c r="AA185" s="2" t="b">
        <v>1</v>
      </c>
      <c r="AB185" s="2" t="b">
        <v>1</v>
      </c>
      <c r="AC185" s="2" t="b">
        <v>1</v>
      </c>
    </row>
    <row r="186" spans="1:29">
      <c r="A186" s="2" t="s">
        <v>416</v>
      </c>
      <c r="B186" s="2" t="s">
        <v>309</v>
      </c>
      <c r="C186" s="2" t="s">
        <v>417</v>
      </c>
      <c r="D186" s="2" t="s">
        <v>323</v>
      </c>
      <c r="E186" s="2" t="s">
        <v>312</v>
      </c>
      <c r="F186" s="2" t="s">
        <v>418</v>
      </c>
      <c r="G186" s="2">
        <v>3</v>
      </c>
      <c r="H186" s="2" t="s">
        <v>45</v>
      </c>
      <c r="I186" s="2">
        <v>5</v>
      </c>
      <c r="J186" s="2" t="s">
        <v>314</v>
      </c>
      <c r="K186" s="2" t="s">
        <v>315</v>
      </c>
      <c r="L186" s="2" t="s">
        <v>316</v>
      </c>
      <c r="M186" s="2" t="s">
        <v>317</v>
      </c>
      <c r="N186" s="2" t="s">
        <v>325</v>
      </c>
      <c r="O186" s="2">
        <v>4248</v>
      </c>
      <c r="P186" s="2" t="s">
        <v>199</v>
      </c>
      <c r="Q186" s="2" t="s">
        <v>326</v>
      </c>
      <c r="R186" s="2" t="s">
        <v>411</v>
      </c>
      <c r="S186" s="2">
        <v>-1.17795138888888</v>
      </c>
      <c r="T186" s="2">
        <v>4249.1779513888796</v>
      </c>
      <c r="U186" s="2">
        <v>4396.7188524787798</v>
      </c>
      <c r="V186" s="2">
        <v>549.58985655984702</v>
      </c>
      <c r="W186" s="2">
        <v>3847.1289959189298</v>
      </c>
      <c r="X186" s="2" t="s">
        <v>40</v>
      </c>
      <c r="Y186" s="2"/>
      <c r="Z186" s="2" t="s">
        <v>320</v>
      </c>
      <c r="AA186" s="2" t="b">
        <v>1</v>
      </c>
      <c r="AB186" s="2" t="b">
        <v>0</v>
      </c>
      <c r="AC186" s="2" t="b">
        <v>0</v>
      </c>
    </row>
    <row r="187" spans="1:29">
      <c r="A187" s="2" t="s">
        <v>419</v>
      </c>
      <c r="B187" s="2" t="s">
        <v>309</v>
      </c>
      <c r="C187" s="2" t="s">
        <v>420</v>
      </c>
      <c r="D187" s="2" t="s">
        <v>323</v>
      </c>
      <c r="E187" s="2" t="s">
        <v>312</v>
      </c>
      <c r="F187" s="2" t="s">
        <v>421</v>
      </c>
      <c r="G187" s="2">
        <v>3</v>
      </c>
      <c r="H187" s="2" t="s">
        <v>45</v>
      </c>
      <c r="I187" s="2">
        <v>5</v>
      </c>
      <c r="J187" s="2" t="s">
        <v>314</v>
      </c>
      <c r="K187" s="2" t="s">
        <v>315</v>
      </c>
      <c r="L187" s="2" t="s">
        <v>316</v>
      </c>
      <c r="M187" s="2" t="s">
        <v>317</v>
      </c>
      <c r="N187" s="2" t="s">
        <v>325</v>
      </c>
      <c r="O187" s="2">
        <v>6516</v>
      </c>
      <c r="P187" s="2" t="s">
        <v>199</v>
      </c>
      <c r="Q187" s="2" t="s">
        <v>326</v>
      </c>
      <c r="R187" s="2" t="s">
        <v>411</v>
      </c>
      <c r="S187" s="2">
        <v>-1.80685763888888</v>
      </c>
      <c r="T187" s="2">
        <v>6517.8068576388796</v>
      </c>
      <c r="U187" s="2">
        <v>6744.1195957513501</v>
      </c>
      <c r="V187" s="2">
        <v>843.01494946891796</v>
      </c>
      <c r="W187" s="2">
        <v>5901.1046462824297</v>
      </c>
      <c r="X187" s="2" t="s">
        <v>40</v>
      </c>
      <c r="Y187" s="2"/>
      <c r="Z187" s="2" t="s">
        <v>320</v>
      </c>
      <c r="AA187" s="2" t="b">
        <v>1</v>
      </c>
      <c r="AB187" s="2" t="b">
        <v>0</v>
      </c>
      <c r="AC187" s="2" t="b">
        <v>0</v>
      </c>
    </row>
    <row r="188" spans="1:29">
      <c r="A188" s="2" t="s">
        <v>422</v>
      </c>
      <c r="B188" s="2" t="s">
        <v>309</v>
      </c>
      <c r="C188" s="2" t="s">
        <v>423</v>
      </c>
      <c r="D188" s="2" t="s">
        <v>323</v>
      </c>
      <c r="E188" s="2" t="s">
        <v>312</v>
      </c>
      <c r="F188" s="2" t="s">
        <v>424</v>
      </c>
      <c r="G188" s="2">
        <v>3</v>
      </c>
      <c r="H188" s="2" t="s">
        <v>45</v>
      </c>
      <c r="I188" s="2">
        <v>5</v>
      </c>
      <c r="J188" s="2" t="s">
        <v>314</v>
      </c>
      <c r="K188" s="2" t="s">
        <v>315</v>
      </c>
      <c r="L188" s="2" t="s">
        <v>316</v>
      </c>
      <c r="M188" s="2" t="s">
        <v>317</v>
      </c>
      <c r="N188" s="2" t="s">
        <v>325</v>
      </c>
      <c r="O188" s="2">
        <v>4644</v>
      </c>
      <c r="P188" s="2" t="s">
        <v>199</v>
      </c>
      <c r="Q188" s="2" t="s">
        <v>326</v>
      </c>
      <c r="R188" s="2" t="s">
        <v>411</v>
      </c>
      <c r="S188" s="2">
        <v>-1.2877604166666601</v>
      </c>
      <c r="T188" s="2">
        <v>4645.2877604166597</v>
      </c>
      <c r="U188" s="2">
        <v>4806.5824743200201</v>
      </c>
      <c r="V188" s="2">
        <v>600.82280929000206</v>
      </c>
      <c r="W188" s="2">
        <v>4205.7596650300202</v>
      </c>
      <c r="X188" s="2" t="s">
        <v>40</v>
      </c>
      <c r="Y188" s="2"/>
      <c r="Z188" s="2" t="s">
        <v>320</v>
      </c>
      <c r="AA188" s="2" t="b">
        <v>1</v>
      </c>
      <c r="AB188" s="2" t="b">
        <v>0</v>
      </c>
      <c r="AC188" s="2" t="b">
        <v>0</v>
      </c>
    </row>
    <row r="189" spans="1:29">
      <c r="A189" s="2" t="s">
        <v>425</v>
      </c>
      <c r="B189" s="2" t="s">
        <v>309</v>
      </c>
      <c r="C189" s="2" t="s">
        <v>426</v>
      </c>
      <c r="D189" s="2" t="s">
        <v>311</v>
      </c>
      <c r="E189" s="2" t="s">
        <v>312</v>
      </c>
      <c r="F189" s="2" t="s">
        <v>427</v>
      </c>
      <c r="G189" s="2">
        <v>0</v>
      </c>
      <c r="H189" s="2" t="s">
        <v>45</v>
      </c>
      <c r="I189" s="2">
        <v>7</v>
      </c>
      <c r="J189" s="2" t="s">
        <v>314</v>
      </c>
      <c r="K189" s="2" t="s">
        <v>315</v>
      </c>
      <c r="L189" s="2" t="s">
        <v>316</v>
      </c>
      <c r="M189" s="2" t="s">
        <v>317</v>
      </c>
      <c r="N189" s="2" t="s">
        <v>325</v>
      </c>
      <c r="O189" s="2">
        <v>5256</v>
      </c>
      <c r="P189" s="2" t="s">
        <v>199</v>
      </c>
      <c r="Q189" s="2" t="s">
        <v>200</v>
      </c>
      <c r="R189" s="2" t="s">
        <v>428</v>
      </c>
      <c r="S189" s="2">
        <v>-4380</v>
      </c>
      <c r="T189" s="2">
        <v>9636</v>
      </c>
      <c r="U189" s="2">
        <v>10104.416666666601</v>
      </c>
      <c r="V189" s="2">
        <v>1263.0520833333301</v>
      </c>
      <c r="W189" s="2">
        <v>8841.3645833333303</v>
      </c>
      <c r="X189" s="2" t="s">
        <v>40</v>
      </c>
      <c r="Y189" s="2"/>
      <c r="Z189" s="2" t="s">
        <v>320</v>
      </c>
      <c r="AA189" s="2" t="b">
        <v>1</v>
      </c>
      <c r="AB189" s="2" t="b">
        <v>0</v>
      </c>
      <c r="AC189" s="2" t="b">
        <v>0</v>
      </c>
    </row>
    <row r="190" spans="1:29">
      <c r="A190" s="2" t="s">
        <v>429</v>
      </c>
      <c r="B190" s="2" t="s">
        <v>309</v>
      </c>
      <c r="C190" s="2" t="s">
        <v>430</v>
      </c>
      <c r="D190" s="2" t="s">
        <v>311</v>
      </c>
      <c r="E190" s="2" t="s">
        <v>312</v>
      </c>
      <c r="F190" s="2" t="s">
        <v>431</v>
      </c>
      <c r="G190" s="2">
        <v>0</v>
      </c>
      <c r="H190" s="2" t="s">
        <v>45</v>
      </c>
      <c r="I190" s="2">
        <v>7</v>
      </c>
      <c r="J190" s="2" t="s">
        <v>314</v>
      </c>
      <c r="K190" s="2" t="s">
        <v>315</v>
      </c>
      <c r="L190" s="2" t="s">
        <v>316</v>
      </c>
      <c r="M190" s="2" t="s">
        <v>317</v>
      </c>
      <c r="N190" s="2" t="s">
        <v>325</v>
      </c>
      <c r="O190" s="2">
        <v>7524</v>
      </c>
      <c r="P190" s="2" t="s">
        <v>199</v>
      </c>
      <c r="Q190" s="2" t="s">
        <v>200</v>
      </c>
      <c r="R190" s="2" t="s">
        <v>428</v>
      </c>
      <c r="S190" s="2">
        <v>-6270</v>
      </c>
      <c r="T190" s="2">
        <v>13794</v>
      </c>
      <c r="U190" s="2">
        <v>14464.541666666601</v>
      </c>
      <c r="V190" s="2">
        <v>1808.0677083333301</v>
      </c>
      <c r="W190" s="2">
        <v>12656.473958333299</v>
      </c>
      <c r="X190" s="2" t="s">
        <v>40</v>
      </c>
      <c r="Y190" s="2"/>
      <c r="Z190" s="2" t="s">
        <v>320</v>
      </c>
      <c r="AA190" s="2" t="b">
        <v>1</v>
      </c>
      <c r="AB190" s="2" t="b">
        <v>0</v>
      </c>
      <c r="AC190" s="2" t="b">
        <v>0</v>
      </c>
    </row>
    <row r="191" spans="1:29">
      <c r="A191" s="2" t="s">
        <v>432</v>
      </c>
      <c r="B191" s="2" t="s">
        <v>309</v>
      </c>
      <c r="C191" s="2" t="s">
        <v>433</v>
      </c>
      <c r="D191" s="2" t="s">
        <v>323</v>
      </c>
      <c r="E191" s="2" t="s">
        <v>312</v>
      </c>
      <c r="F191" s="2" t="s">
        <v>434</v>
      </c>
      <c r="G191" s="2">
        <v>3</v>
      </c>
      <c r="H191" s="2" t="s">
        <v>45</v>
      </c>
      <c r="I191" s="2">
        <v>8</v>
      </c>
      <c r="J191" s="2" t="s">
        <v>314</v>
      </c>
      <c r="K191" s="2" t="s">
        <v>315</v>
      </c>
      <c r="L191" s="2" t="s">
        <v>316</v>
      </c>
      <c r="M191" s="2" t="s">
        <v>317</v>
      </c>
      <c r="N191" s="2" t="s">
        <v>325</v>
      </c>
      <c r="O191" s="2">
        <v>5868</v>
      </c>
      <c r="P191" s="2" t="s">
        <v>199</v>
      </c>
      <c r="Q191" s="2" t="s">
        <v>326</v>
      </c>
      <c r="R191" s="2" t="s">
        <v>435</v>
      </c>
      <c r="S191" s="2">
        <v>-2.4761284722222201</v>
      </c>
      <c r="T191" s="2">
        <v>5870.4761284722199</v>
      </c>
      <c r="U191" s="2">
        <v>6196.6136911651201</v>
      </c>
      <c r="V191" s="2">
        <v>774.57671139564002</v>
      </c>
      <c r="W191" s="2">
        <v>5422.0369797694802</v>
      </c>
      <c r="X191" s="2" t="s">
        <v>40</v>
      </c>
      <c r="Y191" s="2"/>
      <c r="Z191" s="2" t="s">
        <v>320</v>
      </c>
      <c r="AA191" s="2" t="b">
        <v>1</v>
      </c>
      <c r="AB191" s="2" t="b">
        <v>1</v>
      </c>
      <c r="AC191" s="2" t="b">
        <v>0</v>
      </c>
    </row>
    <row r="192" spans="1:29">
      <c r="A192" s="2" t="s">
        <v>436</v>
      </c>
      <c r="B192" s="2" t="s">
        <v>309</v>
      </c>
      <c r="C192" s="2" t="s">
        <v>437</v>
      </c>
      <c r="D192" s="2" t="s">
        <v>323</v>
      </c>
      <c r="E192" s="2" t="s">
        <v>312</v>
      </c>
      <c r="F192" s="2" t="s">
        <v>438</v>
      </c>
      <c r="G192" s="2">
        <v>3</v>
      </c>
      <c r="H192" s="2" t="s">
        <v>45</v>
      </c>
      <c r="I192" s="2">
        <v>8</v>
      </c>
      <c r="J192" s="2" t="s">
        <v>314</v>
      </c>
      <c r="K192" s="2" t="s">
        <v>315</v>
      </c>
      <c r="L192" s="2" t="s">
        <v>316</v>
      </c>
      <c r="M192" s="2" t="s">
        <v>317</v>
      </c>
      <c r="N192" s="2" t="s">
        <v>325</v>
      </c>
      <c r="O192" s="2">
        <v>8136</v>
      </c>
      <c r="P192" s="2" t="s">
        <v>199</v>
      </c>
      <c r="Q192" s="2" t="s">
        <v>326</v>
      </c>
      <c r="R192" s="2" t="s">
        <v>435</v>
      </c>
      <c r="S192" s="2">
        <v>-3.4331597222222201</v>
      </c>
      <c r="T192" s="2">
        <v>8139.4331597222199</v>
      </c>
      <c r="U192" s="2">
        <v>8591.6238908179002</v>
      </c>
      <c r="V192" s="2">
        <v>1073.95298635223</v>
      </c>
      <c r="W192" s="2">
        <v>7517.67090446566</v>
      </c>
      <c r="X192" s="2" t="s">
        <v>40</v>
      </c>
      <c r="Y192" s="2"/>
      <c r="Z192" s="2" t="s">
        <v>320</v>
      </c>
      <c r="AA192" s="2" t="b">
        <v>1</v>
      </c>
      <c r="AB192" s="2" t="b">
        <v>1</v>
      </c>
      <c r="AC192" s="2" t="b">
        <v>0</v>
      </c>
    </row>
    <row r="193" spans="1:29">
      <c r="A193" s="2" t="s">
        <v>439</v>
      </c>
      <c r="B193" s="2" t="s">
        <v>309</v>
      </c>
      <c r="C193" s="2" t="s">
        <v>440</v>
      </c>
      <c r="D193" s="2" t="s">
        <v>323</v>
      </c>
      <c r="E193" s="2" t="s">
        <v>312</v>
      </c>
      <c r="F193" s="2" t="s">
        <v>441</v>
      </c>
      <c r="G193" s="2">
        <v>3</v>
      </c>
      <c r="H193" s="2" t="s">
        <v>45</v>
      </c>
      <c r="I193" s="2">
        <v>11</v>
      </c>
      <c r="J193" s="2" t="s">
        <v>314</v>
      </c>
      <c r="K193" s="2" t="s">
        <v>315</v>
      </c>
      <c r="L193" s="2" t="s">
        <v>316</v>
      </c>
      <c r="M193" s="2" t="s">
        <v>317</v>
      </c>
      <c r="N193" s="2" t="s">
        <v>325</v>
      </c>
      <c r="O193" s="2">
        <v>10404</v>
      </c>
      <c r="P193" s="2" t="s">
        <v>199</v>
      </c>
      <c r="Q193" s="2" t="s">
        <v>326</v>
      </c>
      <c r="R193" s="2" t="s">
        <v>442</v>
      </c>
      <c r="S193" s="2">
        <v>-5.89539930555555</v>
      </c>
      <c r="T193" s="2">
        <v>10409.8953993055</v>
      </c>
      <c r="U193" s="2">
        <v>11205.095742308</v>
      </c>
      <c r="V193" s="2">
        <v>1400.6369677885</v>
      </c>
      <c r="W193" s="2">
        <v>9804.4587745195495</v>
      </c>
      <c r="X193" s="2" t="s">
        <v>40</v>
      </c>
      <c r="Y193" s="2"/>
      <c r="Z193" s="2" t="s">
        <v>320</v>
      </c>
      <c r="AA193" s="2" t="b">
        <v>1</v>
      </c>
      <c r="AB193" s="2" t="b">
        <v>0</v>
      </c>
      <c r="AC193" s="2" t="b">
        <v>0</v>
      </c>
    </row>
    <row r="194" spans="1:29">
      <c r="A194" s="2" t="s">
        <v>443</v>
      </c>
      <c r="B194" s="2" t="s">
        <v>309</v>
      </c>
      <c r="C194" s="2" t="s">
        <v>444</v>
      </c>
      <c r="D194" s="2" t="s">
        <v>311</v>
      </c>
      <c r="E194" s="2" t="s">
        <v>312</v>
      </c>
      <c r="F194" s="2" t="s">
        <v>445</v>
      </c>
      <c r="G194" s="2">
        <v>0</v>
      </c>
      <c r="H194" s="2" t="s">
        <v>32</v>
      </c>
      <c r="I194" s="2">
        <v>2</v>
      </c>
      <c r="J194" s="2" t="s">
        <v>314</v>
      </c>
      <c r="K194" s="2" t="s">
        <v>315</v>
      </c>
      <c r="L194" s="2" t="s">
        <v>316</v>
      </c>
      <c r="M194" s="2" t="s">
        <v>317</v>
      </c>
      <c r="N194" s="2" t="s">
        <v>318</v>
      </c>
      <c r="O194" s="2">
        <v>432</v>
      </c>
      <c r="P194" s="2" t="s">
        <v>205</v>
      </c>
      <c r="Q194" s="2" t="s">
        <v>200</v>
      </c>
      <c r="R194" s="2" t="s">
        <v>394</v>
      </c>
      <c r="S194" s="2">
        <v>180</v>
      </c>
      <c r="T194" s="2">
        <v>252</v>
      </c>
      <c r="U194" s="2">
        <v>255.5</v>
      </c>
      <c r="V194" s="2">
        <v>31.9375</v>
      </c>
      <c r="W194" s="2">
        <v>223.5625</v>
      </c>
      <c r="X194" s="2" t="s">
        <v>40</v>
      </c>
      <c r="Y194" s="2"/>
      <c r="Z194" s="2" t="s">
        <v>320</v>
      </c>
      <c r="AA194" s="2" t="b">
        <v>1</v>
      </c>
      <c r="AB194" s="2" t="b">
        <v>1</v>
      </c>
      <c r="AC194" s="2" t="b">
        <v>1</v>
      </c>
    </row>
    <row r="195" spans="1:29">
      <c r="A195" s="2" t="s">
        <v>446</v>
      </c>
      <c r="B195" s="2" t="s">
        <v>309</v>
      </c>
      <c r="C195" s="2" t="s">
        <v>447</v>
      </c>
      <c r="D195" s="2" t="s">
        <v>323</v>
      </c>
      <c r="E195" s="2" t="s">
        <v>312</v>
      </c>
      <c r="F195" s="2" t="s">
        <v>448</v>
      </c>
      <c r="G195" s="2">
        <v>3</v>
      </c>
      <c r="H195" s="2" t="s">
        <v>51</v>
      </c>
      <c r="I195" s="2">
        <v>0</v>
      </c>
      <c r="J195" s="2" t="s">
        <v>314</v>
      </c>
      <c r="K195" s="2" t="s">
        <v>315</v>
      </c>
      <c r="L195" s="2" t="s">
        <v>316</v>
      </c>
      <c r="M195" s="2" t="s">
        <v>317</v>
      </c>
      <c r="N195" s="2" t="s">
        <v>325</v>
      </c>
      <c r="O195" s="2">
        <v>612</v>
      </c>
      <c r="P195" s="2" t="s">
        <v>205</v>
      </c>
      <c r="Q195" s="2" t="s">
        <v>326</v>
      </c>
      <c r="R195" s="2" t="s">
        <v>331</v>
      </c>
      <c r="S195" s="2">
        <v>0.37630208333333298</v>
      </c>
      <c r="T195" s="2">
        <v>611.62369791666595</v>
      </c>
      <c r="U195" s="2">
        <v>611.62369791666595</v>
      </c>
      <c r="V195" s="2">
        <v>76.4529622395833</v>
      </c>
      <c r="W195" s="2">
        <v>535.17073567708303</v>
      </c>
      <c r="X195" s="2" t="s">
        <v>40</v>
      </c>
      <c r="Y195" s="2"/>
      <c r="Z195" s="2" t="s">
        <v>320</v>
      </c>
      <c r="AA195" s="2" t="b">
        <v>1</v>
      </c>
      <c r="AB195" s="2" t="b">
        <v>1</v>
      </c>
      <c r="AC195" s="2" t="b">
        <v>0</v>
      </c>
    </row>
    <row r="196" spans="1:29">
      <c r="A196" s="2" t="s">
        <v>449</v>
      </c>
      <c r="B196" s="2" t="s">
        <v>309</v>
      </c>
      <c r="C196" s="2" t="s">
        <v>450</v>
      </c>
      <c r="D196" s="2" t="s">
        <v>323</v>
      </c>
      <c r="E196" s="2" t="s">
        <v>312</v>
      </c>
      <c r="F196" s="2" t="s">
        <v>451</v>
      </c>
      <c r="G196" s="2">
        <v>3</v>
      </c>
      <c r="H196" s="2" t="s">
        <v>32</v>
      </c>
      <c r="I196" s="2">
        <v>1</v>
      </c>
      <c r="J196" s="2" t="s">
        <v>314</v>
      </c>
      <c r="K196" s="2" t="s">
        <v>315</v>
      </c>
      <c r="L196" s="2" t="s">
        <v>316</v>
      </c>
      <c r="M196" s="2" t="s">
        <v>317</v>
      </c>
      <c r="N196" s="2" t="s">
        <v>325</v>
      </c>
      <c r="O196" s="2">
        <v>864</v>
      </c>
      <c r="P196" s="2" t="s">
        <v>205</v>
      </c>
      <c r="Q196" s="2" t="s">
        <v>326</v>
      </c>
      <c r="R196" s="2" t="s">
        <v>350</v>
      </c>
      <c r="S196" s="2">
        <v>7.2916666666666602E-2</v>
      </c>
      <c r="T196" s="2">
        <v>863.92708333333303</v>
      </c>
      <c r="U196" s="2">
        <v>869.92657696759204</v>
      </c>
      <c r="V196" s="2">
        <v>108.74082212094901</v>
      </c>
      <c r="W196" s="2">
        <v>761.18575484664302</v>
      </c>
      <c r="X196" s="2" t="s">
        <v>40</v>
      </c>
      <c r="Y196" s="2"/>
      <c r="Z196" s="2" t="s">
        <v>320</v>
      </c>
      <c r="AA196" s="2" t="b">
        <v>1</v>
      </c>
      <c r="AB196" s="2" t="b">
        <v>1</v>
      </c>
      <c r="AC196" s="2" t="b">
        <v>0</v>
      </c>
    </row>
    <row r="197" spans="1:29">
      <c r="A197" s="2" t="s">
        <v>452</v>
      </c>
      <c r="B197" s="2" t="s">
        <v>309</v>
      </c>
      <c r="C197" s="2" t="s">
        <v>453</v>
      </c>
      <c r="D197" s="2" t="s">
        <v>323</v>
      </c>
      <c r="E197" s="2" t="s">
        <v>312</v>
      </c>
      <c r="F197" s="2" t="s">
        <v>454</v>
      </c>
      <c r="G197" s="2">
        <v>3</v>
      </c>
      <c r="H197" s="2" t="s">
        <v>51</v>
      </c>
      <c r="I197" s="2">
        <v>0</v>
      </c>
      <c r="J197" s="2" t="s">
        <v>314</v>
      </c>
      <c r="K197" s="2" t="s">
        <v>315</v>
      </c>
      <c r="L197" s="2" t="s">
        <v>316</v>
      </c>
      <c r="M197" s="2" t="s">
        <v>317</v>
      </c>
      <c r="N197" s="2" t="s">
        <v>325</v>
      </c>
      <c r="O197" s="2">
        <v>1584</v>
      </c>
      <c r="P197" s="2" t="s">
        <v>205</v>
      </c>
      <c r="Q197" s="2" t="s">
        <v>326</v>
      </c>
      <c r="R197" s="2" t="s">
        <v>331</v>
      </c>
      <c r="S197" s="2">
        <v>0.97395833333333304</v>
      </c>
      <c r="T197" s="2">
        <v>1583.0260416666599</v>
      </c>
      <c r="U197" s="2">
        <v>1583.0260416666599</v>
      </c>
      <c r="V197" s="2">
        <v>197.878255208333</v>
      </c>
      <c r="W197" s="2">
        <v>1385.1477864583301</v>
      </c>
      <c r="X197" s="2" t="s">
        <v>40</v>
      </c>
      <c r="Y197" s="2"/>
      <c r="Z197" s="2" t="s">
        <v>320</v>
      </c>
      <c r="AA197" s="2" t="b">
        <v>1</v>
      </c>
      <c r="AB197" s="2" t="b">
        <v>1</v>
      </c>
      <c r="AC197" s="2" t="b">
        <v>0</v>
      </c>
    </row>
    <row r="198" spans="1:29">
      <c r="A198" s="2" t="s">
        <v>455</v>
      </c>
      <c r="B198" s="2" t="s">
        <v>309</v>
      </c>
      <c r="C198" s="2" t="s">
        <v>456</v>
      </c>
      <c r="D198" s="2" t="s">
        <v>311</v>
      </c>
      <c r="E198" s="2" t="s">
        <v>312</v>
      </c>
      <c r="F198" s="2" t="s">
        <v>457</v>
      </c>
      <c r="G198" s="2">
        <v>0</v>
      </c>
      <c r="H198" s="2" t="s">
        <v>32</v>
      </c>
      <c r="I198" s="2">
        <v>2</v>
      </c>
      <c r="J198" s="2" t="s">
        <v>314</v>
      </c>
      <c r="K198" s="2" t="s">
        <v>315</v>
      </c>
      <c r="L198" s="2" t="s">
        <v>316</v>
      </c>
      <c r="M198" s="2" t="s">
        <v>317</v>
      </c>
      <c r="N198" s="2" t="s">
        <v>318</v>
      </c>
      <c r="O198" s="2">
        <v>2592</v>
      </c>
      <c r="P198" s="2" t="s">
        <v>205</v>
      </c>
      <c r="Q198" s="2" t="s">
        <v>200</v>
      </c>
      <c r="R198" s="2" t="s">
        <v>394</v>
      </c>
      <c r="S198" s="2">
        <v>1080</v>
      </c>
      <c r="T198" s="2">
        <v>1512</v>
      </c>
      <c r="U198" s="2">
        <v>1533</v>
      </c>
      <c r="V198" s="2">
        <v>191.625</v>
      </c>
      <c r="W198" s="2">
        <v>1341.375</v>
      </c>
      <c r="X198" s="2" t="s">
        <v>40</v>
      </c>
      <c r="Y198" s="2"/>
      <c r="Z198" s="2" t="s">
        <v>320</v>
      </c>
      <c r="AA198" s="2" t="b">
        <v>1</v>
      </c>
      <c r="AB198" s="2" t="b">
        <v>1</v>
      </c>
      <c r="AC198" s="2" t="b">
        <v>1</v>
      </c>
    </row>
    <row r="199" spans="1:29">
      <c r="A199" s="2" t="s">
        <v>458</v>
      </c>
      <c r="B199" s="2" t="s">
        <v>309</v>
      </c>
      <c r="C199" s="2" t="s">
        <v>459</v>
      </c>
      <c r="D199" s="2" t="s">
        <v>323</v>
      </c>
      <c r="E199" s="2" t="s">
        <v>312</v>
      </c>
      <c r="F199" s="2" t="s">
        <v>460</v>
      </c>
      <c r="G199" s="2">
        <v>3</v>
      </c>
      <c r="H199" s="2" t="s">
        <v>51</v>
      </c>
      <c r="I199" s="2">
        <v>0</v>
      </c>
      <c r="J199" s="2" t="s">
        <v>314</v>
      </c>
      <c r="K199" s="2" t="s">
        <v>315</v>
      </c>
      <c r="L199" s="2" t="s">
        <v>316</v>
      </c>
      <c r="M199" s="2" t="s">
        <v>317</v>
      </c>
      <c r="N199" s="2" t="s">
        <v>325</v>
      </c>
      <c r="O199" s="2">
        <v>3204</v>
      </c>
      <c r="P199" s="2" t="s">
        <v>205</v>
      </c>
      <c r="Q199" s="2" t="s">
        <v>326</v>
      </c>
      <c r="R199" s="2" t="s">
        <v>331</v>
      </c>
      <c r="S199" s="2">
        <v>1.9700520833333299</v>
      </c>
      <c r="T199" s="2">
        <v>3202.0299479166601</v>
      </c>
      <c r="U199" s="2">
        <v>3202.0299479166601</v>
      </c>
      <c r="V199" s="2">
        <v>400.25374348958297</v>
      </c>
      <c r="W199" s="2">
        <v>2801.7762044270798</v>
      </c>
      <c r="X199" s="2" t="s">
        <v>40</v>
      </c>
      <c r="Y199" s="2"/>
      <c r="Z199" s="2" t="s">
        <v>320</v>
      </c>
      <c r="AA199" s="2" t="b">
        <v>1</v>
      </c>
      <c r="AB199" s="2" t="b">
        <v>1</v>
      </c>
      <c r="AC199" s="2" t="b">
        <v>0</v>
      </c>
    </row>
    <row r="200" spans="1:29">
      <c r="A200" s="2" t="s">
        <v>461</v>
      </c>
      <c r="B200" s="2" t="s">
        <v>309</v>
      </c>
      <c r="C200" s="2" t="s">
        <v>462</v>
      </c>
      <c r="D200" s="2" t="s">
        <v>323</v>
      </c>
      <c r="E200" s="2" t="s">
        <v>312</v>
      </c>
      <c r="F200" s="2" t="s">
        <v>463</v>
      </c>
      <c r="G200" s="2">
        <v>3</v>
      </c>
      <c r="H200" s="2" t="s">
        <v>51</v>
      </c>
      <c r="I200" s="2">
        <v>0</v>
      </c>
      <c r="J200" s="2" t="s">
        <v>314</v>
      </c>
      <c r="K200" s="2" t="s">
        <v>315</v>
      </c>
      <c r="L200" s="2" t="s">
        <v>316</v>
      </c>
      <c r="M200" s="2" t="s">
        <v>317</v>
      </c>
      <c r="N200" s="2" t="s">
        <v>325</v>
      </c>
      <c r="O200" s="2">
        <v>5472</v>
      </c>
      <c r="P200" s="2" t="s">
        <v>205</v>
      </c>
      <c r="Q200" s="2" t="s">
        <v>326</v>
      </c>
      <c r="R200" s="2" t="s">
        <v>331</v>
      </c>
      <c r="S200" s="2">
        <v>3.3645833333333299</v>
      </c>
      <c r="T200" s="2">
        <v>5468.6354166666597</v>
      </c>
      <c r="U200" s="2">
        <v>5468.6354166666597</v>
      </c>
      <c r="V200" s="2">
        <v>683.57942708333303</v>
      </c>
      <c r="W200" s="2">
        <v>4785.0559895833303</v>
      </c>
      <c r="X200" s="2" t="s">
        <v>40</v>
      </c>
      <c r="Y200" s="2"/>
      <c r="Z200" s="2" t="s">
        <v>320</v>
      </c>
      <c r="AA200" s="2" t="b">
        <v>1</v>
      </c>
      <c r="AB200" s="2" t="b">
        <v>1</v>
      </c>
      <c r="AC200" s="2" t="b">
        <v>0</v>
      </c>
    </row>
    <row r="201" spans="1:29">
      <c r="A201" s="2" t="s">
        <v>464</v>
      </c>
      <c r="B201" s="2" t="s">
        <v>309</v>
      </c>
      <c r="C201" s="2" t="s">
        <v>465</v>
      </c>
      <c r="D201" s="2" t="s">
        <v>323</v>
      </c>
      <c r="E201" s="2" t="s">
        <v>312</v>
      </c>
      <c r="F201" s="2" t="s">
        <v>466</v>
      </c>
      <c r="G201" s="2">
        <v>3</v>
      </c>
      <c r="H201" s="2" t="s">
        <v>45</v>
      </c>
      <c r="I201" s="2">
        <v>1</v>
      </c>
      <c r="J201" s="2" t="s">
        <v>314</v>
      </c>
      <c r="K201" s="2" t="s">
        <v>315</v>
      </c>
      <c r="L201" s="2" t="s">
        <v>316</v>
      </c>
      <c r="M201" s="2" t="s">
        <v>317</v>
      </c>
      <c r="N201" s="2" t="s">
        <v>325</v>
      </c>
      <c r="O201" s="2">
        <v>792</v>
      </c>
      <c r="P201" s="2" t="s">
        <v>199</v>
      </c>
      <c r="Q201" s="2" t="s">
        <v>326</v>
      </c>
      <c r="R201" s="2" t="s">
        <v>350</v>
      </c>
      <c r="S201" s="2">
        <v>-6.6840277777777707E-2</v>
      </c>
      <c r="T201" s="2">
        <v>792.06684027777703</v>
      </c>
      <c r="U201" s="2">
        <v>797.56730444637299</v>
      </c>
      <c r="V201" s="2">
        <v>99.695913055796595</v>
      </c>
      <c r="W201" s="2">
        <v>697.87139139057604</v>
      </c>
      <c r="X201" s="2" t="s">
        <v>40</v>
      </c>
      <c r="Y201" s="2"/>
      <c r="Z201" s="2" t="s">
        <v>320</v>
      </c>
      <c r="AA201" s="2" t="b">
        <v>1</v>
      </c>
      <c r="AB201" s="2" t="b">
        <v>1</v>
      </c>
      <c r="AC201" s="2" t="b">
        <v>0</v>
      </c>
    </row>
    <row r="202" spans="1:29">
      <c r="A202" s="2" t="s">
        <v>467</v>
      </c>
      <c r="B202" s="2" t="s">
        <v>309</v>
      </c>
      <c r="C202" s="2" t="s">
        <v>468</v>
      </c>
      <c r="D202" s="2" t="s">
        <v>311</v>
      </c>
      <c r="E202" s="2" t="s">
        <v>312</v>
      </c>
      <c r="F202" s="2" t="s">
        <v>469</v>
      </c>
      <c r="G202" s="2">
        <v>0</v>
      </c>
      <c r="H202" s="2" t="s">
        <v>51</v>
      </c>
      <c r="I202" s="2">
        <v>0</v>
      </c>
      <c r="J202" s="2" t="s">
        <v>314</v>
      </c>
      <c r="K202" s="2" t="s">
        <v>315</v>
      </c>
      <c r="L202" s="2" t="s">
        <v>316</v>
      </c>
      <c r="M202" s="2" t="s">
        <v>381</v>
      </c>
      <c r="N202" s="2" t="s">
        <v>382</v>
      </c>
      <c r="O202" s="2">
        <v>1044</v>
      </c>
      <c r="P202" s="2" t="s">
        <v>205</v>
      </c>
      <c r="Q202" s="2" t="s">
        <v>200</v>
      </c>
      <c r="R202" s="2" t="s">
        <v>383</v>
      </c>
      <c r="S202" s="2">
        <v>1305</v>
      </c>
      <c r="T202" s="2">
        <v>-261</v>
      </c>
      <c r="U202" s="2">
        <v>0</v>
      </c>
      <c r="V202" s="2">
        <v>0</v>
      </c>
      <c r="W202" s="2">
        <v>0</v>
      </c>
      <c r="X202" s="2" t="s">
        <v>42</v>
      </c>
      <c r="Y202" s="2"/>
      <c r="Z202" s="2" t="s">
        <v>384</v>
      </c>
      <c r="AA202" s="2" t="b">
        <v>1</v>
      </c>
      <c r="AB202" s="2" t="b">
        <v>1</v>
      </c>
      <c r="AC202" s="2" t="b">
        <v>0</v>
      </c>
    </row>
    <row r="203" spans="1:29">
      <c r="A203" s="2" t="s">
        <v>470</v>
      </c>
      <c r="B203" s="2" t="s">
        <v>309</v>
      </c>
      <c r="C203" s="2" t="s">
        <v>471</v>
      </c>
      <c r="D203" s="2" t="s">
        <v>323</v>
      </c>
      <c r="E203" s="2" t="s">
        <v>312</v>
      </c>
      <c r="F203" s="2" t="s">
        <v>472</v>
      </c>
      <c r="G203" s="2">
        <v>3</v>
      </c>
      <c r="H203" s="2" t="s">
        <v>45</v>
      </c>
      <c r="I203" s="2">
        <v>1</v>
      </c>
      <c r="J203" s="2" t="s">
        <v>314</v>
      </c>
      <c r="K203" s="2" t="s">
        <v>315</v>
      </c>
      <c r="L203" s="2" t="s">
        <v>316</v>
      </c>
      <c r="M203" s="2" t="s">
        <v>317</v>
      </c>
      <c r="N203" s="2" t="s">
        <v>325</v>
      </c>
      <c r="O203" s="2">
        <v>1764</v>
      </c>
      <c r="P203" s="2" t="s">
        <v>199</v>
      </c>
      <c r="Q203" s="2" t="s">
        <v>326</v>
      </c>
      <c r="R203" s="2" t="s">
        <v>350</v>
      </c>
      <c r="S203" s="2">
        <v>-0.14887152777777701</v>
      </c>
      <c r="T203" s="2">
        <v>1764.1488715277701</v>
      </c>
      <c r="U203" s="2">
        <v>1776.39990535783</v>
      </c>
      <c r="V203" s="2">
        <v>222.04998816972801</v>
      </c>
      <c r="W203" s="2">
        <v>1554.3499171881001</v>
      </c>
      <c r="X203" s="2" t="s">
        <v>40</v>
      </c>
      <c r="Y203" s="2"/>
      <c r="Z203" s="2" t="s">
        <v>320</v>
      </c>
      <c r="AA203" s="2" t="b">
        <v>1</v>
      </c>
      <c r="AB203" s="2" t="b">
        <v>1</v>
      </c>
      <c r="AC203" s="2" t="b">
        <v>0</v>
      </c>
    </row>
    <row r="204" spans="1:29">
      <c r="A204" s="2" t="s">
        <v>473</v>
      </c>
      <c r="B204" s="2" t="s">
        <v>309</v>
      </c>
      <c r="C204" s="2" t="s">
        <v>474</v>
      </c>
      <c r="D204" s="2" t="s">
        <v>323</v>
      </c>
      <c r="E204" s="2" t="s">
        <v>312</v>
      </c>
      <c r="F204" s="2" t="s">
        <v>475</v>
      </c>
      <c r="G204" s="2">
        <v>3</v>
      </c>
      <c r="H204" s="2" t="s">
        <v>32</v>
      </c>
      <c r="I204" s="2">
        <v>1</v>
      </c>
      <c r="J204" s="2" t="s">
        <v>314</v>
      </c>
      <c r="K204" s="2" t="s">
        <v>315</v>
      </c>
      <c r="L204" s="2" t="s">
        <v>316</v>
      </c>
      <c r="M204" s="2" t="s">
        <v>317</v>
      </c>
      <c r="N204" s="2" t="s">
        <v>325</v>
      </c>
      <c r="O204" s="2">
        <v>2772</v>
      </c>
      <c r="P204" s="2" t="s">
        <v>205</v>
      </c>
      <c r="Q204" s="2" t="s">
        <v>326</v>
      </c>
      <c r="R204" s="2" t="s">
        <v>350</v>
      </c>
      <c r="S204" s="2">
        <v>0.23394097222222199</v>
      </c>
      <c r="T204" s="2">
        <v>2771.7660590277701</v>
      </c>
      <c r="U204" s="2">
        <v>2791.0144344376899</v>
      </c>
      <c r="V204" s="2">
        <v>348.87680430471102</v>
      </c>
      <c r="W204" s="2">
        <v>2442.1376301329801</v>
      </c>
      <c r="X204" s="2" t="s">
        <v>40</v>
      </c>
      <c r="Y204" s="2"/>
      <c r="Z204" s="2" t="s">
        <v>320</v>
      </c>
      <c r="AA204" s="2" t="b">
        <v>1</v>
      </c>
      <c r="AB204" s="2" t="b">
        <v>1</v>
      </c>
      <c r="AC204" s="2" t="b">
        <v>0</v>
      </c>
    </row>
    <row r="205" spans="1:29">
      <c r="A205" s="2" t="s">
        <v>476</v>
      </c>
      <c r="B205" s="2" t="s">
        <v>309</v>
      </c>
      <c r="C205" s="2" t="s">
        <v>477</v>
      </c>
      <c r="D205" s="2" t="s">
        <v>323</v>
      </c>
      <c r="E205" s="2" t="s">
        <v>312</v>
      </c>
      <c r="F205" s="2" t="s">
        <v>478</v>
      </c>
      <c r="G205" s="2">
        <v>3</v>
      </c>
      <c r="H205" s="2" t="s">
        <v>45</v>
      </c>
      <c r="I205" s="2">
        <v>1</v>
      </c>
      <c r="J205" s="2" t="s">
        <v>314</v>
      </c>
      <c r="K205" s="2" t="s">
        <v>315</v>
      </c>
      <c r="L205" s="2" t="s">
        <v>316</v>
      </c>
      <c r="M205" s="2" t="s">
        <v>317</v>
      </c>
      <c r="N205" s="2" t="s">
        <v>325</v>
      </c>
      <c r="O205" s="2">
        <v>3384</v>
      </c>
      <c r="P205" s="2" t="s">
        <v>199</v>
      </c>
      <c r="Q205" s="2" t="s">
        <v>326</v>
      </c>
      <c r="R205" s="2" t="s">
        <v>350</v>
      </c>
      <c r="S205" s="2">
        <v>-0.28559027777777701</v>
      </c>
      <c r="T205" s="2">
        <v>3384.2855902777701</v>
      </c>
      <c r="U205" s="2">
        <v>3407.78757354359</v>
      </c>
      <c r="V205" s="2">
        <v>425.97344669294898</v>
      </c>
      <c r="W205" s="2">
        <v>2981.8141268506402</v>
      </c>
      <c r="X205" s="2" t="s">
        <v>40</v>
      </c>
      <c r="Y205" s="2"/>
      <c r="Z205" s="2" t="s">
        <v>320</v>
      </c>
      <c r="AA205" s="2" t="b">
        <v>1</v>
      </c>
      <c r="AB205" s="2" t="b">
        <v>1</v>
      </c>
      <c r="AC205" s="2" t="b">
        <v>0</v>
      </c>
    </row>
    <row r="206" spans="1:29">
      <c r="A206" s="2" t="s">
        <v>479</v>
      </c>
      <c r="B206" s="2" t="s">
        <v>309</v>
      </c>
      <c r="C206" s="2" t="s">
        <v>480</v>
      </c>
      <c r="D206" s="2" t="s">
        <v>323</v>
      </c>
      <c r="E206" s="2" t="s">
        <v>312</v>
      </c>
      <c r="F206" s="2" t="s">
        <v>481</v>
      </c>
      <c r="G206" s="2">
        <v>3</v>
      </c>
      <c r="H206" s="2" t="s">
        <v>45</v>
      </c>
      <c r="I206" s="2">
        <v>1</v>
      </c>
      <c r="J206" s="2" t="s">
        <v>314</v>
      </c>
      <c r="K206" s="2" t="s">
        <v>315</v>
      </c>
      <c r="L206" s="2" t="s">
        <v>316</v>
      </c>
      <c r="M206" s="2" t="s">
        <v>317</v>
      </c>
      <c r="N206" s="2" t="s">
        <v>325</v>
      </c>
      <c r="O206" s="2">
        <v>5652</v>
      </c>
      <c r="P206" s="2" t="s">
        <v>199</v>
      </c>
      <c r="Q206" s="2" t="s">
        <v>326</v>
      </c>
      <c r="R206" s="2" t="s">
        <v>350</v>
      </c>
      <c r="S206" s="2">
        <v>-0.47699652777777701</v>
      </c>
      <c r="T206" s="2">
        <v>5652.4769965277701</v>
      </c>
      <c r="U206" s="2">
        <v>5691.7303090036603</v>
      </c>
      <c r="V206" s="2">
        <v>711.46628862545799</v>
      </c>
      <c r="W206" s="2">
        <v>4980.2640203782003</v>
      </c>
      <c r="X206" s="2" t="s">
        <v>40</v>
      </c>
      <c r="Y206" s="2"/>
      <c r="Z206" s="2" t="s">
        <v>320</v>
      </c>
      <c r="AA206" s="2" t="b">
        <v>1</v>
      </c>
      <c r="AB206" s="2" t="b">
        <v>1</v>
      </c>
      <c r="AC206" s="2" t="b">
        <v>0</v>
      </c>
    </row>
    <row r="207" spans="1:29">
      <c r="A207" s="2" t="s">
        <v>482</v>
      </c>
      <c r="B207" s="2" t="s">
        <v>309</v>
      </c>
      <c r="C207" s="2" t="s">
        <v>483</v>
      </c>
      <c r="D207" s="2" t="s">
        <v>323</v>
      </c>
      <c r="E207" s="2" t="s">
        <v>312</v>
      </c>
      <c r="F207" s="2" t="s">
        <v>484</v>
      </c>
      <c r="G207" s="2">
        <v>3</v>
      </c>
      <c r="H207" s="2" t="s">
        <v>45</v>
      </c>
      <c r="I207" s="2">
        <v>1</v>
      </c>
      <c r="J207" s="2" t="s">
        <v>314</v>
      </c>
      <c r="K207" s="2" t="s">
        <v>315</v>
      </c>
      <c r="L207" s="2" t="s">
        <v>316</v>
      </c>
      <c r="M207" s="2" t="s">
        <v>317</v>
      </c>
      <c r="N207" s="2" t="s">
        <v>325</v>
      </c>
      <c r="O207" s="2">
        <v>1296</v>
      </c>
      <c r="P207" s="2" t="s">
        <v>199</v>
      </c>
      <c r="Q207" s="2" t="s">
        <v>326</v>
      </c>
      <c r="R207" s="2" t="s">
        <v>350</v>
      </c>
      <c r="S207" s="2">
        <v>-0.109375</v>
      </c>
      <c r="T207" s="2">
        <v>1296.109375</v>
      </c>
      <c r="U207" s="2">
        <v>1305.1101345486099</v>
      </c>
      <c r="V207" s="2">
        <v>163.13876681857599</v>
      </c>
      <c r="W207" s="2">
        <v>1141.9713677300299</v>
      </c>
      <c r="X207" s="2" t="s">
        <v>40</v>
      </c>
      <c r="Y207" s="2"/>
      <c r="Z207" s="2" t="s">
        <v>320</v>
      </c>
      <c r="AA207" s="2" t="b">
        <v>1</v>
      </c>
      <c r="AB207" s="2" t="b">
        <v>1</v>
      </c>
      <c r="AC207" s="2" t="b">
        <v>0</v>
      </c>
    </row>
    <row r="208" spans="1:29">
      <c r="A208" s="2" t="s">
        <v>485</v>
      </c>
      <c r="B208" s="2" t="s">
        <v>309</v>
      </c>
      <c r="C208" s="2" t="s">
        <v>486</v>
      </c>
      <c r="D208" s="2" t="s">
        <v>311</v>
      </c>
      <c r="E208" s="2" t="s">
        <v>312</v>
      </c>
      <c r="F208" s="2" t="s">
        <v>487</v>
      </c>
      <c r="G208" s="2">
        <v>0</v>
      </c>
      <c r="H208" s="2" t="s">
        <v>45</v>
      </c>
      <c r="I208" s="2">
        <v>2</v>
      </c>
      <c r="J208" s="2" t="s">
        <v>314</v>
      </c>
      <c r="K208" s="2" t="s">
        <v>315</v>
      </c>
      <c r="L208" s="2" t="s">
        <v>316</v>
      </c>
      <c r="M208" s="2" t="s">
        <v>317</v>
      </c>
      <c r="N208" s="2" t="s">
        <v>318</v>
      </c>
      <c r="O208" s="2">
        <v>2016</v>
      </c>
      <c r="P208" s="2" t="s">
        <v>199</v>
      </c>
      <c r="Q208" s="2" t="s">
        <v>200</v>
      </c>
      <c r="R208" s="2" t="s">
        <v>394</v>
      </c>
      <c r="S208" s="2">
        <v>-840</v>
      </c>
      <c r="T208" s="2">
        <v>2856</v>
      </c>
      <c r="U208" s="2">
        <v>2895.6666666666601</v>
      </c>
      <c r="V208" s="2">
        <v>361.95833333333297</v>
      </c>
      <c r="W208" s="2">
        <v>2533.7083333333298</v>
      </c>
      <c r="X208" s="2" t="s">
        <v>40</v>
      </c>
      <c r="Y208" s="2"/>
      <c r="Z208" s="2" t="s">
        <v>320</v>
      </c>
      <c r="AA208" s="2" t="b">
        <v>1</v>
      </c>
      <c r="AB208" s="2" t="b">
        <v>1</v>
      </c>
      <c r="AC208" s="2" t="b">
        <v>1</v>
      </c>
    </row>
    <row r="209" spans="1:29">
      <c r="A209" s="2" t="s">
        <v>488</v>
      </c>
      <c r="B209" s="2" t="s">
        <v>309</v>
      </c>
      <c r="C209" s="2" t="s">
        <v>489</v>
      </c>
      <c r="D209" s="2" t="s">
        <v>323</v>
      </c>
      <c r="E209" s="2" t="s">
        <v>312</v>
      </c>
      <c r="F209" s="2" t="s">
        <v>490</v>
      </c>
      <c r="G209" s="2">
        <v>3</v>
      </c>
      <c r="H209" s="2" t="s">
        <v>51</v>
      </c>
      <c r="I209" s="2">
        <v>0</v>
      </c>
      <c r="J209" s="2" t="s">
        <v>314</v>
      </c>
      <c r="K209" s="2" t="s">
        <v>315</v>
      </c>
      <c r="L209" s="2" t="s">
        <v>316</v>
      </c>
      <c r="M209" s="2" t="s">
        <v>317</v>
      </c>
      <c r="N209" s="2" t="s">
        <v>325</v>
      </c>
      <c r="O209" s="2">
        <v>3024</v>
      </c>
      <c r="P209" s="2" t="s">
        <v>205</v>
      </c>
      <c r="Q209" s="2" t="s">
        <v>326</v>
      </c>
      <c r="R209" s="2" t="s">
        <v>331</v>
      </c>
      <c r="S209" s="2">
        <v>1.859375</v>
      </c>
      <c r="T209" s="2">
        <v>3022.140625</v>
      </c>
      <c r="U209" s="2">
        <v>3022.140625</v>
      </c>
      <c r="V209" s="2">
        <v>377.767578125</v>
      </c>
      <c r="W209" s="2">
        <v>2644.373046875</v>
      </c>
      <c r="X209" s="2" t="s">
        <v>40</v>
      </c>
      <c r="Y209" s="2"/>
      <c r="Z209" s="2" t="s">
        <v>320</v>
      </c>
      <c r="AA209" s="2" t="b">
        <v>1</v>
      </c>
      <c r="AB209" s="2" t="b">
        <v>1</v>
      </c>
      <c r="AC209" s="2" t="b">
        <v>0</v>
      </c>
    </row>
    <row r="210" spans="1:29">
      <c r="A210" s="2" t="s">
        <v>491</v>
      </c>
      <c r="B210" s="2" t="s">
        <v>309</v>
      </c>
      <c r="C210" s="2" t="s">
        <v>492</v>
      </c>
      <c r="D210" s="2" t="s">
        <v>311</v>
      </c>
      <c r="E210" s="2" t="s">
        <v>312</v>
      </c>
      <c r="F210" s="2" t="s">
        <v>493</v>
      </c>
      <c r="G210" s="2">
        <v>0</v>
      </c>
      <c r="H210" s="2" t="s">
        <v>45</v>
      </c>
      <c r="I210" s="2">
        <v>2</v>
      </c>
      <c r="J210" s="2" t="s">
        <v>314</v>
      </c>
      <c r="K210" s="2" t="s">
        <v>315</v>
      </c>
      <c r="L210" s="2" t="s">
        <v>316</v>
      </c>
      <c r="M210" s="2" t="s">
        <v>317</v>
      </c>
      <c r="N210" s="2" t="s">
        <v>325</v>
      </c>
      <c r="O210" s="2">
        <v>3636</v>
      </c>
      <c r="P210" s="2" t="s">
        <v>199</v>
      </c>
      <c r="Q210" s="2" t="s">
        <v>200</v>
      </c>
      <c r="R210" s="2" t="s">
        <v>394</v>
      </c>
      <c r="S210" s="2">
        <v>-1515</v>
      </c>
      <c r="T210" s="2">
        <v>5151</v>
      </c>
      <c r="U210" s="2">
        <v>5222.5416666666597</v>
      </c>
      <c r="V210" s="2">
        <v>652.81770833333303</v>
      </c>
      <c r="W210" s="2">
        <v>4569.7239583333303</v>
      </c>
      <c r="X210" s="2" t="s">
        <v>40</v>
      </c>
      <c r="Y210" s="2"/>
      <c r="Z210" s="2" t="s">
        <v>320</v>
      </c>
      <c r="AA210" s="2" t="b">
        <v>1</v>
      </c>
      <c r="AB210" s="2" t="b">
        <v>1</v>
      </c>
      <c r="AC210" s="2" t="b">
        <v>0</v>
      </c>
    </row>
    <row r="211" spans="1:29">
      <c r="A211" s="2" t="s">
        <v>494</v>
      </c>
      <c r="B211" s="2" t="s">
        <v>309</v>
      </c>
      <c r="C211" s="2" t="s">
        <v>495</v>
      </c>
      <c r="D211" s="2" t="s">
        <v>311</v>
      </c>
      <c r="E211" s="2" t="s">
        <v>312</v>
      </c>
      <c r="F211" s="2" t="s">
        <v>496</v>
      </c>
      <c r="G211" s="2">
        <v>0</v>
      </c>
      <c r="H211" s="2" t="s">
        <v>45</v>
      </c>
      <c r="I211" s="2">
        <v>2</v>
      </c>
      <c r="J211" s="2" t="s">
        <v>314</v>
      </c>
      <c r="K211" s="2" t="s">
        <v>315</v>
      </c>
      <c r="L211" s="2" t="s">
        <v>316</v>
      </c>
      <c r="M211" s="2" t="s">
        <v>317</v>
      </c>
      <c r="N211" s="2" t="s">
        <v>325</v>
      </c>
      <c r="O211" s="2">
        <v>5904</v>
      </c>
      <c r="P211" s="2" t="s">
        <v>199</v>
      </c>
      <c r="Q211" s="2" t="s">
        <v>200</v>
      </c>
      <c r="R211" s="2" t="s">
        <v>394</v>
      </c>
      <c r="S211" s="2">
        <v>-2460</v>
      </c>
      <c r="T211" s="2">
        <v>8364</v>
      </c>
      <c r="U211" s="2">
        <v>8480.1666666666606</v>
      </c>
      <c r="V211" s="2">
        <v>1060.0208333333301</v>
      </c>
      <c r="W211" s="2">
        <v>7420.1458333333303</v>
      </c>
      <c r="X211" s="2" t="s">
        <v>40</v>
      </c>
      <c r="Y211" s="2"/>
      <c r="Z211" s="2" t="s">
        <v>320</v>
      </c>
      <c r="AA211" s="2" t="b">
        <v>1</v>
      </c>
      <c r="AB211" s="2" t="b">
        <v>1</v>
      </c>
      <c r="AC211" s="2" t="b">
        <v>0</v>
      </c>
    </row>
    <row r="212" spans="1:29">
      <c r="A212" s="2" t="s">
        <v>497</v>
      </c>
      <c r="B212" s="2" t="s">
        <v>309</v>
      </c>
      <c r="C212" s="2" t="s">
        <v>498</v>
      </c>
      <c r="D212" s="2" t="s">
        <v>323</v>
      </c>
      <c r="E212" s="2" t="s">
        <v>312</v>
      </c>
      <c r="F212" s="2" t="s">
        <v>499</v>
      </c>
      <c r="G212" s="2">
        <v>3</v>
      </c>
      <c r="H212" s="2" t="s">
        <v>45</v>
      </c>
      <c r="I212" s="2">
        <v>4</v>
      </c>
      <c r="J212" s="2" t="s">
        <v>314</v>
      </c>
      <c r="K212" s="2" t="s">
        <v>315</v>
      </c>
      <c r="L212" s="2" t="s">
        <v>316</v>
      </c>
      <c r="M212" s="2" t="s">
        <v>317</v>
      </c>
      <c r="N212" s="2" t="s">
        <v>325</v>
      </c>
      <c r="O212" s="2">
        <v>2736</v>
      </c>
      <c r="P212" s="2" t="s">
        <v>199</v>
      </c>
      <c r="Q212" s="2" t="s">
        <v>326</v>
      </c>
      <c r="R212" s="2" t="s">
        <v>500</v>
      </c>
      <c r="S212" s="2">
        <v>-0.62673611111111105</v>
      </c>
      <c r="T212" s="2">
        <v>2736.6267361111099</v>
      </c>
      <c r="U212" s="2">
        <v>2812.6441454475298</v>
      </c>
      <c r="V212" s="2">
        <v>351.580518180941</v>
      </c>
      <c r="W212" s="2">
        <v>2461.0636272665802</v>
      </c>
      <c r="X212" s="2" t="s">
        <v>40</v>
      </c>
      <c r="Y212" s="2"/>
      <c r="Z212" s="2" t="s">
        <v>320</v>
      </c>
      <c r="AA212" s="2" t="b">
        <v>1</v>
      </c>
      <c r="AB212" s="2" t="b">
        <v>1</v>
      </c>
      <c r="AC212" s="2" t="b">
        <v>0</v>
      </c>
    </row>
    <row r="213" spans="1:29">
      <c r="A213" s="2" t="s">
        <v>501</v>
      </c>
      <c r="B213" s="2" t="s">
        <v>309</v>
      </c>
      <c r="C213" s="2" t="s">
        <v>502</v>
      </c>
      <c r="D213" s="2" t="s">
        <v>323</v>
      </c>
      <c r="E213" s="2" t="s">
        <v>312</v>
      </c>
      <c r="F213" s="2" t="s">
        <v>503</v>
      </c>
      <c r="G213" s="2">
        <v>3</v>
      </c>
      <c r="H213" s="2" t="s">
        <v>45</v>
      </c>
      <c r="I213" s="2">
        <v>2</v>
      </c>
      <c r="J213" s="2" t="s">
        <v>314</v>
      </c>
      <c r="K213" s="2" t="s">
        <v>315</v>
      </c>
      <c r="L213" s="2" t="s">
        <v>316</v>
      </c>
      <c r="M213" s="2" t="s">
        <v>317</v>
      </c>
      <c r="N213" s="2" t="s">
        <v>325</v>
      </c>
      <c r="O213" s="2">
        <v>3744</v>
      </c>
      <c r="P213" s="2" t="s">
        <v>199</v>
      </c>
      <c r="Q213" s="2" t="s">
        <v>326</v>
      </c>
      <c r="R213" s="2" t="s">
        <v>327</v>
      </c>
      <c r="S213" s="2">
        <v>-0.49652777777777701</v>
      </c>
      <c r="T213" s="2">
        <v>3744.4965277777701</v>
      </c>
      <c r="U213" s="2">
        <v>3796.50342399691</v>
      </c>
      <c r="V213" s="2">
        <v>474.56292799961398</v>
      </c>
      <c r="W213" s="2">
        <v>3321.9404959972899</v>
      </c>
      <c r="X213" s="2" t="s">
        <v>40</v>
      </c>
      <c r="Y213" s="2"/>
      <c r="Z213" s="2" t="s">
        <v>320</v>
      </c>
      <c r="AA213" s="2" t="b">
        <v>1</v>
      </c>
      <c r="AB213" s="2" t="b">
        <v>1</v>
      </c>
      <c r="AC213" s="2" t="b">
        <v>0</v>
      </c>
    </row>
    <row r="214" spans="1:29">
      <c r="A214" s="2" t="s">
        <v>504</v>
      </c>
      <c r="B214" s="2" t="s">
        <v>309</v>
      </c>
      <c r="C214" s="2" t="s">
        <v>505</v>
      </c>
      <c r="D214" s="2" t="s">
        <v>323</v>
      </c>
      <c r="E214" s="2" t="s">
        <v>312</v>
      </c>
      <c r="F214" s="2" t="s">
        <v>506</v>
      </c>
      <c r="G214" s="2">
        <v>3</v>
      </c>
      <c r="H214" s="2" t="s">
        <v>45</v>
      </c>
      <c r="I214" s="2">
        <v>4</v>
      </c>
      <c r="J214" s="2" t="s">
        <v>314</v>
      </c>
      <c r="K214" s="2" t="s">
        <v>315</v>
      </c>
      <c r="L214" s="2" t="s">
        <v>316</v>
      </c>
      <c r="M214" s="2" t="s">
        <v>317</v>
      </c>
      <c r="N214" s="2" t="s">
        <v>325</v>
      </c>
      <c r="O214" s="2">
        <v>4356</v>
      </c>
      <c r="P214" s="2" t="s">
        <v>199</v>
      </c>
      <c r="Q214" s="2" t="s">
        <v>326</v>
      </c>
      <c r="R214" s="2" t="s">
        <v>500</v>
      </c>
      <c r="S214" s="2">
        <v>-0.99782986111111105</v>
      </c>
      <c r="T214" s="2">
        <v>4356.9978298611104</v>
      </c>
      <c r="U214" s="2">
        <v>4478.0255473572497</v>
      </c>
      <c r="V214" s="2">
        <v>559.75319341965599</v>
      </c>
      <c r="W214" s="2">
        <v>3918.2723539375902</v>
      </c>
      <c r="X214" s="2" t="s">
        <v>40</v>
      </c>
      <c r="Y214" s="2"/>
      <c r="Z214" s="2" t="s">
        <v>320</v>
      </c>
      <c r="AA214" s="2" t="b">
        <v>1</v>
      </c>
      <c r="AB214" s="2" t="b">
        <v>1</v>
      </c>
      <c r="AC214" s="2" t="b">
        <v>0</v>
      </c>
    </row>
    <row r="215" spans="1:29">
      <c r="A215" s="2" t="s">
        <v>507</v>
      </c>
      <c r="B215" s="2" t="s">
        <v>309</v>
      </c>
      <c r="C215" s="2" t="s">
        <v>508</v>
      </c>
      <c r="D215" s="2" t="s">
        <v>323</v>
      </c>
      <c r="E215" s="2" t="s">
        <v>312</v>
      </c>
      <c r="F215" s="2" t="s">
        <v>509</v>
      </c>
      <c r="G215" s="2">
        <v>3</v>
      </c>
      <c r="H215" s="2" t="s">
        <v>45</v>
      </c>
      <c r="I215" s="2">
        <v>4</v>
      </c>
      <c r="J215" s="2" t="s">
        <v>314</v>
      </c>
      <c r="K215" s="2" t="s">
        <v>315</v>
      </c>
      <c r="L215" s="2" t="s">
        <v>316</v>
      </c>
      <c r="M215" s="2" t="s">
        <v>317</v>
      </c>
      <c r="N215" s="2" t="s">
        <v>325</v>
      </c>
      <c r="O215" s="2">
        <v>6624</v>
      </c>
      <c r="P215" s="2" t="s">
        <v>199</v>
      </c>
      <c r="Q215" s="2" t="s">
        <v>326</v>
      </c>
      <c r="R215" s="2" t="s">
        <v>500</v>
      </c>
      <c r="S215" s="2">
        <v>-1.5173611111111101</v>
      </c>
      <c r="T215" s="2">
        <v>6625.5173611111104</v>
      </c>
      <c r="U215" s="2">
        <v>6809.5595100308601</v>
      </c>
      <c r="V215" s="2">
        <v>851.19493875385797</v>
      </c>
      <c r="W215" s="2">
        <v>5958.3645712770003</v>
      </c>
      <c r="X215" s="2" t="s">
        <v>40</v>
      </c>
      <c r="Y215" s="2"/>
      <c r="Z215" s="2" t="s">
        <v>320</v>
      </c>
      <c r="AA215" s="2" t="b">
        <v>1</v>
      </c>
      <c r="AB215" s="2" t="b">
        <v>1</v>
      </c>
      <c r="AC215" s="2" t="b">
        <v>0</v>
      </c>
    </row>
    <row r="216" spans="1:29">
      <c r="A216" s="2" t="s">
        <v>510</v>
      </c>
      <c r="B216" s="2" t="s">
        <v>309</v>
      </c>
      <c r="C216" s="2" t="s">
        <v>511</v>
      </c>
      <c r="D216" s="2" t="s">
        <v>311</v>
      </c>
      <c r="E216" s="2" t="s">
        <v>312</v>
      </c>
      <c r="F216" s="2" t="s">
        <v>512</v>
      </c>
      <c r="G216" s="2">
        <v>0</v>
      </c>
      <c r="H216" s="2" t="s">
        <v>45</v>
      </c>
      <c r="I216" s="2">
        <v>4</v>
      </c>
      <c r="J216" s="2" t="s">
        <v>314</v>
      </c>
      <c r="K216" s="2" t="s">
        <v>315</v>
      </c>
      <c r="L216" s="2" t="s">
        <v>316</v>
      </c>
      <c r="M216" s="2" t="s">
        <v>317</v>
      </c>
      <c r="N216" s="2" t="s">
        <v>318</v>
      </c>
      <c r="O216" s="2">
        <v>4752</v>
      </c>
      <c r="P216" s="2" t="s">
        <v>199</v>
      </c>
      <c r="Q216" s="2" t="s">
        <v>200</v>
      </c>
      <c r="R216" s="2" t="s">
        <v>513</v>
      </c>
      <c r="S216" s="2">
        <v>-2772</v>
      </c>
      <c r="T216" s="2">
        <v>7524</v>
      </c>
      <c r="U216" s="2">
        <v>7733</v>
      </c>
      <c r="V216" s="2">
        <v>966.625</v>
      </c>
      <c r="W216" s="2">
        <v>6766.375</v>
      </c>
      <c r="X216" s="2" t="s">
        <v>40</v>
      </c>
      <c r="Y216" s="2"/>
      <c r="Z216" s="2" t="s">
        <v>320</v>
      </c>
      <c r="AA216" s="2" t="b">
        <v>1</v>
      </c>
      <c r="AB216" s="2" t="b">
        <v>1</v>
      </c>
      <c r="AC216" s="2" t="b">
        <v>1</v>
      </c>
    </row>
    <row r="217" spans="1:29">
      <c r="A217" s="2" t="s">
        <v>514</v>
      </c>
      <c r="B217" s="2" t="s">
        <v>309</v>
      </c>
      <c r="C217" s="2" t="s">
        <v>515</v>
      </c>
      <c r="D217" s="2" t="s">
        <v>323</v>
      </c>
      <c r="E217" s="2" t="s">
        <v>312</v>
      </c>
      <c r="F217" s="2" t="s">
        <v>516</v>
      </c>
      <c r="G217" s="2">
        <v>3</v>
      </c>
      <c r="H217" s="2" t="s">
        <v>45</v>
      </c>
      <c r="I217" s="2">
        <v>6</v>
      </c>
      <c r="J217" s="2" t="s">
        <v>314</v>
      </c>
      <c r="K217" s="2" t="s">
        <v>315</v>
      </c>
      <c r="L217" s="2" t="s">
        <v>316</v>
      </c>
      <c r="M217" s="2" t="s">
        <v>317</v>
      </c>
      <c r="N217" s="2" t="s">
        <v>325</v>
      </c>
      <c r="O217" s="2">
        <v>5364</v>
      </c>
      <c r="P217" s="2" t="s">
        <v>199</v>
      </c>
      <c r="Q217" s="2" t="s">
        <v>326</v>
      </c>
      <c r="R217" s="2" t="s">
        <v>517</v>
      </c>
      <c r="S217" s="2">
        <v>-1.74609375</v>
      </c>
      <c r="T217" s="2">
        <v>5365.74609375</v>
      </c>
      <c r="U217" s="2">
        <v>5589.31884765625</v>
      </c>
      <c r="V217" s="2">
        <v>698.66485595703102</v>
      </c>
      <c r="W217" s="2">
        <v>4890.6539916992097</v>
      </c>
      <c r="X217" s="2" t="s">
        <v>40</v>
      </c>
      <c r="Y217" s="2"/>
      <c r="Z217" s="2" t="s">
        <v>320</v>
      </c>
      <c r="AA217" s="2" t="b">
        <v>1</v>
      </c>
      <c r="AB217" s="2" t="b">
        <v>1</v>
      </c>
      <c r="AC217" s="2" t="b">
        <v>0</v>
      </c>
    </row>
    <row r="218" spans="1:29">
      <c r="A218" s="2" t="s">
        <v>518</v>
      </c>
      <c r="B218" s="2" t="s">
        <v>309</v>
      </c>
      <c r="C218" s="2" t="s">
        <v>519</v>
      </c>
      <c r="D218" s="2" t="s">
        <v>323</v>
      </c>
      <c r="E218" s="2" t="s">
        <v>312</v>
      </c>
      <c r="F218" s="2" t="s">
        <v>520</v>
      </c>
      <c r="G218" s="2">
        <v>3</v>
      </c>
      <c r="H218" s="2" t="s">
        <v>45</v>
      </c>
      <c r="I218" s="2">
        <v>6</v>
      </c>
      <c r="J218" s="2" t="s">
        <v>314</v>
      </c>
      <c r="K218" s="2" t="s">
        <v>315</v>
      </c>
      <c r="L218" s="2" t="s">
        <v>316</v>
      </c>
      <c r="M218" s="2" t="s">
        <v>317</v>
      </c>
      <c r="N218" s="2" t="s">
        <v>325</v>
      </c>
      <c r="O218" s="2">
        <v>7632</v>
      </c>
      <c r="P218" s="2" t="s">
        <v>199</v>
      </c>
      <c r="Q218" s="2" t="s">
        <v>326</v>
      </c>
      <c r="R218" s="2" t="s">
        <v>517</v>
      </c>
      <c r="S218" s="2">
        <v>-2.484375</v>
      </c>
      <c r="T218" s="2">
        <v>7634.484375</v>
      </c>
      <c r="U218" s="2">
        <v>7952.587890625</v>
      </c>
      <c r="V218" s="2">
        <v>994.073486328125</v>
      </c>
      <c r="W218" s="2">
        <v>6958.5144042968705</v>
      </c>
      <c r="X218" s="2" t="s">
        <v>40</v>
      </c>
      <c r="Y218" s="2"/>
      <c r="Z218" s="2" t="s">
        <v>320</v>
      </c>
      <c r="AA218" s="2" t="b">
        <v>1</v>
      </c>
      <c r="AB218" s="2" t="b">
        <v>1</v>
      </c>
      <c r="AC218" s="2" t="b">
        <v>0</v>
      </c>
    </row>
    <row r="219" spans="1:29">
      <c r="A219" s="2" t="s">
        <v>521</v>
      </c>
      <c r="B219" s="2" t="s">
        <v>309</v>
      </c>
      <c r="C219" s="2" t="s">
        <v>522</v>
      </c>
      <c r="D219" s="2" t="s">
        <v>323</v>
      </c>
      <c r="E219" s="2" t="s">
        <v>312</v>
      </c>
      <c r="F219" s="2" t="s">
        <v>523</v>
      </c>
      <c r="G219" s="2">
        <v>3</v>
      </c>
      <c r="H219" s="2" t="s">
        <v>45</v>
      </c>
      <c r="I219" s="2">
        <v>7</v>
      </c>
      <c r="J219" s="2" t="s">
        <v>314</v>
      </c>
      <c r="K219" s="2" t="s">
        <v>315</v>
      </c>
      <c r="L219" s="2" t="s">
        <v>316</v>
      </c>
      <c r="M219" s="2" t="s">
        <v>317</v>
      </c>
      <c r="N219" s="2" t="s">
        <v>325</v>
      </c>
      <c r="O219" s="2">
        <v>5976</v>
      </c>
      <c r="P219" s="2" t="s">
        <v>199</v>
      </c>
      <c r="Q219" s="2" t="s">
        <v>326</v>
      </c>
      <c r="R219" s="2" t="s">
        <v>524</v>
      </c>
      <c r="S219" s="2">
        <v>-2.2335069444444402</v>
      </c>
      <c r="T219" s="2">
        <v>5978.2335069444398</v>
      </c>
      <c r="U219" s="2">
        <v>6268.8420801986804</v>
      </c>
      <c r="V219" s="2">
        <v>783.60526002483596</v>
      </c>
      <c r="W219" s="2">
        <v>5485.23682017385</v>
      </c>
      <c r="X219" s="2" t="s">
        <v>40</v>
      </c>
      <c r="Y219" s="2"/>
      <c r="Z219" s="2" t="s">
        <v>320</v>
      </c>
      <c r="AA219" s="2" t="b">
        <v>1</v>
      </c>
      <c r="AB219" s="2" t="b">
        <v>0</v>
      </c>
      <c r="AC219" s="2" t="b">
        <v>0</v>
      </c>
    </row>
    <row r="220" spans="1:29">
      <c r="A220" s="2" t="s">
        <v>525</v>
      </c>
      <c r="B220" s="2" t="s">
        <v>309</v>
      </c>
      <c r="C220" s="2" t="s">
        <v>526</v>
      </c>
      <c r="D220" s="2" t="s">
        <v>323</v>
      </c>
      <c r="E220" s="2" t="s">
        <v>312</v>
      </c>
      <c r="F220" s="2" t="s">
        <v>527</v>
      </c>
      <c r="G220" s="2">
        <v>3</v>
      </c>
      <c r="H220" s="2" t="s">
        <v>45</v>
      </c>
      <c r="I220" s="2">
        <v>7</v>
      </c>
      <c r="J220" s="2" t="s">
        <v>314</v>
      </c>
      <c r="K220" s="2" t="s">
        <v>315</v>
      </c>
      <c r="L220" s="2" t="s">
        <v>316</v>
      </c>
      <c r="M220" s="2" t="s">
        <v>317</v>
      </c>
      <c r="N220" s="2" t="s">
        <v>325</v>
      </c>
      <c r="O220" s="2">
        <v>8244</v>
      </c>
      <c r="P220" s="2" t="s">
        <v>199</v>
      </c>
      <c r="Q220" s="2" t="s">
        <v>326</v>
      </c>
      <c r="R220" s="2" t="s">
        <v>524</v>
      </c>
      <c r="S220" s="2">
        <v>-3.0811631944444402</v>
      </c>
      <c r="T220" s="2">
        <v>8247.0811631944398</v>
      </c>
      <c r="U220" s="2">
        <v>8647.9809419608391</v>
      </c>
      <c r="V220" s="2">
        <v>1080.9976177450999</v>
      </c>
      <c r="W220" s="2">
        <v>7566.9833242157301</v>
      </c>
      <c r="X220" s="2" t="s">
        <v>40</v>
      </c>
      <c r="Y220" s="2"/>
      <c r="Z220" s="2" t="s">
        <v>320</v>
      </c>
      <c r="AA220" s="2" t="b">
        <v>1</v>
      </c>
      <c r="AB220" s="2" t="b">
        <v>0</v>
      </c>
      <c r="AC220" s="2" t="b">
        <v>0</v>
      </c>
    </row>
    <row r="221" spans="1:29">
      <c r="A221" s="2" t="s">
        <v>528</v>
      </c>
      <c r="B221" s="2" t="s">
        <v>309</v>
      </c>
      <c r="C221" s="2" t="s">
        <v>529</v>
      </c>
      <c r="D221" s="2" t="s">
        <v>323</v>
      </c>
      <c r="E221" s="2" t="s">
        <v>312</v>
      </c>
      <c r="F221" s="2" t="s">
        <v>530</v>
      </c>
      <c r="G221" s="2">
        <v>3</v>
      </c>
      <c r="H221" s="2" t="s">
        <v>45</v>
      </c>
      <c r="I221" s="2">
        <v>10</v>
      </c>
      <c r="J221" s="2" t="s">
        <v>314</v>
      </c>
      <c r="K221" s="2" t="s">
        <v>315</v>
      </c>
      <c r="L221" s="2" t="s">
        <v>316</v>
      </c>
      <c r="M221" s="2" t="s">
        <v>317</v>
      </c>
      <c r="N221" s="2" t="s">
        <v>325</v>
      </c>
      <c r="O221" s="2">
        <v>10512</v>
      </c>
      <c r="P221" s="2" t="s">
        <v>199</v>
      </c>
      <c r="Q221" s="2" t="s">
        <v>326</v>
      </c>
      <c r="R221" s="2" t="s">
        <v>531</v>
      </c>
      <c r="S221" s="2">
        <v>-5.4496527777777697</v>
      </c>
      <c r="T221" s="2">
        <v>10517.449652777699</v>
      </c>
      <c r="U221" s="2">
        <v>11247.8281008873</v>
      </c>
      <c r="V221" s="2">
        <v>1405.97851261091</v>
      </c>
      <c r="W221" s="2">
        <v>9841.84958827642</v>
      </c>
      <c r="X221" s="2" t="s">
        <v>40</v>
      </c>
      <c r="Y221" s="2"/>
      <c r="Z221" s="2" t="s">
        <v>320</v>
      </c>
      <c r="AA221" s="2" t="b">
        <v>1</v>
      </c>
      <c r="AB221" s="2" t="b">
        <v>0</v>
      </c>
      <c r="AC221" s="2" t="b">
        <v>0</v>
      </c>
    </row>
    <row r="222" spans="1:29">
      <c r="A222" s="2" t="s">
        <v>532</v>
      </c>
      <c r="B222" s="2" t="s">
        <v>309</v>
      </c>
      <c r="C222" s="2" t="s">
        <v>533</v>
      </c>
      <c r="D222" s="2" t="s">
        <v>311</v>
      </c>
      <c r="E222" s="2" t="s">
        <v>312</v>
      </c>
      <c r="F222" s="2" t="s">
        <v>534</v>
      </c>
      <c r="G222" s="2">
        <v>0</v>
      </c>
      <c r="H222" s="2" t="s">
        <v>51</v>
      </c>
      <c r="I222" s="2">
        <v>0</v>
      </c>
      <c r="J222" s="2" t="s">
        <v>314</v>
      </c>
      <c r="K222" s="2" t="s">
        <v>315</v>
      </c>
      <c r="L222" s="2" t="s">
        <v>316</v>
      </c>
      <c r="M222" s="2" t="s">
        <v>381</v>
      </c>
      <c r="N222" s="2" t="s">
        <v>382</v>
      </c>
      <c r="O222" s="2">
        <v>972</v>
      </c>
      <c r="P222" s="2" t="s">
        <v>205</v>
      </c>
      <c r="Q222" s="2" t="s">
        <v>200</v>
      </c>
      <c r="R222" s="2" t="s">
        <v>383</v>
      </c>
      <c r="S222" s="2">
        <v>1215</v>
      </c>
      <c r="T222" s="2">
        <v>-243</v>
      </c>
      <c r="U222" s="2">
        <v>0</v>
      </c>
      <c r="V222" s="2">
        <v>0</v>
      </c>
      <c r="W222" s="2">
        <v>0</v>
      </c>
      <c r="X222" s="2" t="s">
        <v>42</v>
      </c>
      <c r="Y222" s="2"/>
      <c r="Z222" s="2" t="s">
        <v>384</v>
      </c>
      <c r="AA222" s="2" t="b">
        <v>1</v>
      </c>
      <c r="AB222" s="2" t="b">
        <v>1</v>
      </c>
      <c r="AC222" s="2" t="b">
        <v>0</v>
      </c>
    </row>
    <row r="223" spans="1:29">
      <c r="A223" s="2" t="s">
        <v>535</v>
      </c>
      <c r="B223" s="2" t="s">
        <v>309</v>
      </c>
      <c r="C223" s="2" t="s">
        <v>536</v>
      </c>
      <c r="D223" s="2" t="s">
        <v>323</v>
      </c>
      <c r="E223" s="2" t="s">
        <v>312</v>
      </c>
      <c r="F223" s="2" t="s">
        <v>537</v>
      </c>
      <c r="G223" s="2">
        <v>3</v>
      </c>
      <c r="H223" s="2" t="s">
        <v>32</v>
      </c>
      <c r="I223" s="2">
        <v>1</v>
      </c>
      <c r="J223" s="2" t="s">
        <v>314</v>
      </c>
      <c r="K223" s="2" t="s">
        <v>315</v>
      </c>
      <c r="L223" s="2" t="s">
        <v>316</v>
      </c>
      <c r="M223" s="2" t="s">
        <v>317</v>
      </c>
      <c r="N223" s="2" t="s">
        <v>325</v>
      </c>
      <c r="O223" s="2">
        <v>1224</v>
      </c>
      <c r="P223" s="2" t="s">
        <v>205</v>
      </c>
      <c r="Q223" s="2" t="s">
        <v>326</v>
      </c>
      <c r="R223" s="2" t="s">
        <v>350</v>
      </c>
      <c r="S223" s="2">
        <v>0.10329861111111099</v>
      </c>
      <c r="T223" s="2">
        <v>1223.89670138888</v>
      </c>
      <c r="U223" s="2">
        <v>1232.39598403742</v>
      </c>
      <c r="V223" s="2">
        <v>154.04949800467699</v>
      </c>
      <c r="W223" s="2">
        <v>1078.3464860327399</v>
      </c>
      <c r="X223" s="2" t="s">
        <v>40</v>
      </c>
      <c r="Y223" s="2"/>
      <c r="Z223" s="2" t="s">
        <v>320</v>
      </c>
      <c r="AA223" s="2" t="b">
        <v>1</v>
      </c>
      <c r="AB223" s="2" t="b">
        <v>1</v>
      </c>
      <c r="AC223" s="2" t="b">
        <v>0</v>
      </c>
    </row>
    <row r="224" spans="1:29">
      <c r="A224" s="2" t="s">
        <v>538</v>
      </c>
      <c r="B224" s="2" t="s">
        <v>309</v>
      </c>
      <c r="C224" s="2" t="s">
        <v>539</v>
      </c>
      <c r="D224" s="2" t="s">
        <v>311</v>
      </c>
      <c r="E224" s="2" t="s">
        <v>312</v>
      </c>
      <c r="F224" s="2" t="s">
        <v>540</v>
      </c>
      <c r="G224" s="2">
        <v>0</v>
      </c>
      <c r="H224" s="2" t="s">
        <v>51</v>
      </c>
      <c r="I224" s="2">
        <v>0</v>
      </c>
      <c r="J224" s="2" t="s">
        <v>314</v>
      </c>
      <c r="K224" s="2" t="s">
        <v>315</v>
      </c>
      <c r="L224" s="2" t="s">
        <v>316</v>
      </c>
      <c r="M224" s="2" t="s">
        <v>381</v>
      </c>
      <c r="N224" s="2" t="s">
        <v>382</v>
      </c>
      <c r="O224" s="2">
        <v>1944</v>
      </c>
      <c r="P224" s="2" t="s">
        <v>205</v>
      </c>
      <c r="Q224" s="2" t="s">
        <v>200</v>
      </c>
      <c r="R224" s="2" t="s">
        <v>383</v>
      </c>
      <c r="S224" s="2">
        <v>2430</v>
      </c>
      <c r="T224" s="2">
        <v>-486</v>
      </c>
      <c r="U224" s="2">
        <v>0</v>
      </c>
      <c r="V224" s="2">
        <v>0</v>
      </c>
      <c r="W224" s="2">
        <v>0</v>
      </c>
      <c r="X224" s="2" t="s">
        <v>42</v>
      </c>
      <c r="Y224" s="2"/>
      <c r="Z224" s="2" t="s">
        <v>384</v>
      </c>
      <c r="AA224" s="2" t="b">
        <v>1</v>
      </c>
      <c r="AB224" s="2" t="b">
        <v>1</v>
      </c>
      <c r="AC224" s="2" t="b">
        <v>0</v>
      </c>
    </row>
    <row r="225" spans="1:29">
      <c r="A225" s="2" t="s">
        <v>541</v>
      </c>
      <c r="B225" s="2" t="s">
        <v>309</v>
      </c>
      <c r="C225" s="2" t="s">
        <v>542</v>
      </c>
      <c r="D225" s="2" t="s">
        <v>323</v>
      </c>
      <c r="E225" s="2" t="s">
        <v>312</v>
      </c>
      <c r="F225" s="2" t="s">
        <v>543</v>
      </c>
      <c r="G225" s="2">
        <v>3</v>
      </c>
      <c r="H225" s="2" t="s">
        <v>32</v>
      </c>
      <c r="I225" s="2">
        <v>2</v>
      </c>
      <c r="J225" s="2" t="s">
        <v>314</v>
      </c>
      <c r="K225" s="2" t="s">
        <v>315</v>
      </c>
      <c r="L225" s="2" t="s">
        <v>316</v>
      </c>
      <c r="M225" s="2" t="s">
        <v>317</v>
      </c>
      <c r="N225" s="2" t="s">
        <v>325</v>
      </c>
      <c r="O225" s="2">
        <v>2952</v>
      </c>
      <c r="P225" s="2" t="s">
        <v>205</v>
      </c>
      <c r="Q225" s="2" t="s">
        <v>326</v>
      </c>
      <c r="R225" s="2" t="s">
        <v>327</v>
      </c>
      <c r="S225" s="2">
        <v>0.39149305555555503</v>
      </c>
      <c r="T225" s="2">
        <v>2951.6085069444398</v>
      </c>
      <c r="U225" s="2">
        <v>2992.6030695408899</v>
      </c>
      <c r="V225" s="2">
        <v>374.07538369261101</v>
      </c>
      <c r="W225" s="2">
        <v>2618.5276858482798</v>
      </c>
      <c r="X225" s="2" t="s">
        <v>40</v>
      </c>
      <c r="Y225" s="2"/>
      <c r="Z225" s="2" t="s">
        <v>320</v>
      </c>
      <c r="AA225" s="2" t="b">
        <v>1</v>
      </c>
      <c r="AB225" s="2" t="b">
        <v>1</v>
      </c>
      <c r="AC225" s="2" t="b">
        <v>0</v>
      </c>
    </row>
    <row r="226" spans="1:29">
      <c r="A226" s="2" t="s">
        <v>544</v>
      </c>
      <c r="B226" s="2" t="s">
        <v>309</v>
      </c>
      <c r="C226" s="2" t="s">
        <v>545</v>
      </c>
      <c r="D226" s="2" t="s">
        <v>311</v>
      </c>
      <c r="E226" s="2" t="s">
        <v>312</v>
      </c>
      <c r="F226" s="2" t="s">
        <v>546</v>
      </c>
      <c r="G226" s="2">
        <v>0</v>
      </c>
      <c r="H226" s="2" t="s">
        <v>51</v>
      </c>
      <c r="I226" s="2">
        <v>0</v>
      </c>
      <c r="J226" s="2" t="s">
        <v>314</v>
      </c>
      <c r="K226" s="2" t="s">
        <v>315</v>
      </c>
      <c r="L226" s="2" t="s">
        <v>316</v>
      </c>
      <c r="M226" s="2" t="s">
        <v>381</v>
      </c>
      <c r="N226" s="2" t="s">
        <v>382</v>
      </c>
      <c r="O226" s="2">
        <v>3564</v>
      </c>
      <c r="P226" s="2" t="s">
        <v>205</v>
      </c>
      <c r="Q226" s="2" t="s">
        <v>200</v>
      </c>
      <c r="R226" s="2" t="s">
        <v>383</v>
      </c>
      <c r="S226" s="2">
        <v>4455</v>
      </c>
      <c r="T226" s="2">
        <v>-891</v>
      </c>
      <c r="U226" s="2">
        <v>0</v>
      </c>
      <c r="V226" s="2">
        <v>0</v>
      </c>
      <c r="W226" s="2">
        <v>0</v>
      </c>
      <c r="X226" s="2" t="s">
        <v>42</v>
      </c>
      <c r="Y226" s="2"/>
      <c r="Z226" s="2" t="s">
        <v>384</v>
      </c>
      <c r="AA226" s="2" t="b">
        <v>1</v>
      </c>
      <c r="AB226" s="2" t="b">
        <v>1</v>
      </c>
      <c r="AC226" s="2" t="b">
        <v>0</v>
      </c>
    </row>
    <row r="227" spans="1:29">
      <c r="A227" s="2" t="s">
        <v>547</v>
      </c>
      <c r="B227" s="2" t="s">
        <v>309</v>
      </c>
      <c r="C227" s="2" t="s">
        <v>548</v>
      </c>
      <c r="D227" s="2" t="s">
        <v>311</v>
      </c>
      <c r="E227" s="2" t="s">
        <v>312</v>
      </c>
      <c r="F227" s="2" t="s">
        <v>549</v>
      </c>
      <c r="G227" s="2">
        <v>0</v>
      </c>
      <c r="H227" s="2" t="s">
        <v>51</v>
      </c>
      <c r="I227" s="2">
        <v>0</v>
      </c>
      <c r="J227" s="2" t="s">
        <v>314</v>
      </c>
      <c r="K227" s="2" t="s">
        <v>315</v>
      </c>
      <c r="L227" s="2" t="s">
        <v>316</v>
      </c>
      <c r="M227" s="2" t="s">
        <v>381</v>
      </c>
      <c r="N227" s="2" t="s">
        <v>382</v>
      </c>
      <c r="O227" s="2">
        <v>5832</v>
      </c>
      <c r="P227" s="2" t="s">
        <v>205</v>
      </c>
      <c r="Q227" s="2" t="s">
        <v>200</v>
      </c>
      <c r="R227" s="2" t="s">
        <v>383</v>
      </c>
      <c r="S227" s="2">
        <v>7290</v>
      </c>
      <c r="T227" s="2">
        <v>-1458</v>
      </c>
      <c r="U227" s="2">
        <v>0</v>
      </c>
      <c r="V227" s="2">
        <v>0</v>
      </c>
      <c r="W227" s="2">
        <v>0</v>
      </c>
      <c r="X227" s="2" t="s">
        <v>42</v>
      </c>
      <c r="Y227" s="2"/>
      <c r="Z227" s="2" t="s">
        <v>384</v>
      </c>
      <c r="AA227" s="2" t="b">
        <v>1</v>
      </c>
      <c r="AB227" s="2" t="b">
        <v>1</v>
      </c>
      <c r="AC227" s="2" t="b">
        <v>0</v>
      </c>
    </row>
    <row r="228" spans="1:29">
      <c r="A228" s="2" t="s">
        <v>550</v>
      </c>
      <c r="B228" s="2" t="s">
        <v>309</v>
      </c>
      <c r="C228" s="2" t="s">
        <v>551</v>
      </c>
      <c r="D228" s="2" t="s">
        <v>323</v>
      </c>
      <c r="E228" s="2" t="s">
        <v>312</v>
      </c>
      <c r="F228" s="2" t="s">
        <v>552</v>
      </c>
      <c r="G228" s="2">
        <v>3</v>
      </c>
      <c r="H228" s="2" t="s">
        <v>51</v>
      </c>
      <c r="I228" s="2">
        <v>0</v>
      </c>
      <c r="J228" s="2" t="s">
        <v>314</v>
      </c>
      <c r="K228" s="2" t="s">
        <v>315</v>
      </c>
      <c r="L228" s="2" t="s">
        <v>316</v>
      </c>
      <c r="M228" s="2" t="s">
        <v>317</v>
      </c>
      <c r="N228" s="2" t="s">
        <v>325</v>
      </c>
      <c r="O228" s="2">
        <v>1476</v>
      </c>
      <c r="P228" s="2" t="s">
        <v>205</v>
      </c>
      <c r="Q228" s="2" t="s">
        <v>326</v>
      </c>
      <c r="R228" s="2" t="s">
        <v>331</v>
      </c>
      <c r="S228" s="2">
        <v>0.90755208333333304</v>
      </c>
      <c r="T228" s="2">
        <v>1475.0924479166599</v>
      </c>
      <c r="U228" s="2">
        <v>1475.0924479166599</v>
      </c>
      <c r="V228" s="2">
        <v>184.386555989583</v>
      </c>
      <c r="W228" s="2">
        <v>1290.7058919270801</v>
      </c>
      <c r="X228" s="2" t="s">
        <v>40</v>
      </c>
      <c r="Y228" s="2"/>
      <c r="Z228" s="2" t="s">
        <v>320</v>
      </c>
      <c r="AA228" s="2" t="b">
        <v>1</v>
      </c>
      <c r="AB228" s="2" t="b">
        <v>1</v>
      </c>
      <c r="AC228" s="2" t="b">
        <v>0</v>
      </c>
    </row>
    <row r="229" spans="1:29">
      <c r="A229" s="2" t="s">
        <v>553</v>
      </c>
      <c r="B229" s="2" t="s">
        <v>309</v>
      </c>
      <c r="C229" s="2" t="s">
        <v>554</v>
      </c>
      <c r="D229" s="2" t="s">
        <v>323</v>
      </c>
      <c r="E229" s="2" t="s">
        <v>312</v>
      </c>
      <c r="F229" s="2" t="s">
        <v>555</v>
      </c>
      <c r="G229" s="2">
        <v>3</v>
      </c>
      <c r="H229" s="2" t="s">
        <v>45</v>
      </c>
      <c r="I229" s="2">
        <v>1</v>
      </c>
      <c r="J229" s="2" t="s">
        <v>314</v>
      </c>
      <c r="K229" s="2" t="s">
        <v>315</v>
      </c>
      <c r="L229" s="2" t="s">
        <v>316</v>
      </c>
      <c r="M229" s="2" t="s">
        <v>317</v>
      </c>
      <c r="N229" s="2" t="s">
        <v>325</v>
      </c>
      <c r="O229" s="2">
        <v>2196</v>
      </c>
      <c r="P229" s="2" t="s">
        <v>199</v>
      </c>
      <c r="Q229" s="2" t="s">
        <v>326</v>
      </c>
      <c r="R229" s="2" t="s">
        <v>350</v>
      </c>
      <c r="S229" s="2">
        <v>-0.18532986111111099</v>
      </c>
      <c r="T229" s="2">
        <v>2196.1853298611099</v>
      </c>
      <c r="U229" s="2">
        <v>2211.4366168740298</v>
      </c>
      <c r="V229" s="2">
        <v>276.42957710925401</v>
      </c>
      <c r="W229" s="2">
        <v>1935.0070397647801</v>
      </c>
      <c r="X229" s="2" t="s">
        <v>40</v>
      </c>
      <c r="Y229" s="2"/>
      <c r="Z229" s="2" t="s">
        <v>320</v>
      </c>
      <c r="AA229" s="2" t="b">
        <v>1</v>
      </c>
      <c r="AB229" s="2" t="b">
        <v>1</v>
      </c>
      <c r="AC229" s="2" t="b">
        <v>0</v>
      </c>
    </row>
    <row r="230" spans="1:29">
      <c r="A230" s="2" t="s">
        <v>556</v>
      </c>
      <c r="B230" s="2" t="s">
        <v>309</v>
      </c>
      <c r="C230" s="2" t="s">
        <v>557</v>
      </c>
      <c r="D230" s="2" t="s">
        <v>311</v>
      </c>
      <c r="E230" s="2" t="s">
        <v>312</v>
      </c>
      <c r="F230" s="2" t="s">
        <v>558</v>
      </c>
      <c r="G230" s="2">
        <v>0</v>
      </c>
      <c r="H230" s="2" t="s">
        <v>32</v>
      </c>
      <c r="I230" s="2">
        <v>1</v>
      </c>
      <c r="J230" s="2" t="s">
        <v>314</v>
      </c>
      <c r="K230" s="2" t="s">
        <v>315</v>
      </c>
      <c r="L230" s="2" t="s">
        <v>316</v>
      </c>
      <c r="M230" s="2" t="s">
        <v>317</v>
      </c>
      <c r="N230" s="2" t="s">
        <v>318</v>
      </c>
      <c r="O230" s="2">
        <v>3204</v>
      </c>
      <c r="P230" s="2" t="s">
        <v>205</v>
      </c>
      <c r="Q230" s="2" t="s">
        <v>200</v>
      </c>
      <c r="R230" s="2" t="s">
        <v>319</v>
      </c>
      <c r="S230" s="2">
        <v>1068</v>
      </c>
      <c r="T230" s="2">
        <v>2136</v>
      </c>
      <c r="U230" s="2">
        <v>2150.8333333333298</v>
      </c>
      <c r="V230" s="2">
        <v>268.854166666666</v>
      </c>
      <c r="W230" s="2">
        <v>1881.9791666666599</v>
      </c>
      <c r="X230" s="2" t="s">
        <v>40</v>
      </c>
      <c r="Y230" s="2"/>
      <c r="Z230" s="2" t="s">
        <v>320</v>
      </c>
      <c r="AA230" s="2" t="b">
        <v>1</v>
      </c>
      <c r="AB230" s="2" t="b">
        <v>1</v>
      </c>
      <c r="AC230" s="2" t="b">
        <v>1</v>
      </c>
    </row>
    <row r="231" spans="1:29">
      <c r="A231" s="2" t="s">
        <v>559</v>
      </c>
      <c r="B231" s="2" t="s">
        <v>309</v>
      </c>
      <c r="C231" s="2" t="s">
        <v>560</v>
      </c>
      <c r="D231" s="2" t="s">
        <v>323</v>
      </c>
      <c r="E231" s="2" t="s">
        <v>312</v>
      </c>
      <c r="F231" s="2" t="s">
        <v>561</v>
      </c>
      <c r="G231" s="2">
        <v>3</v>
      </c>
      <c r="H231" s="2" t="s">
        <v>45</v>
      </c>
      <c r="I231" s="2">
        <v>1</v>
      </c>
      <c r="J231" s="2" t="s">
        <v>314</v>
      </c>
      <c r="K231" s="2" t="s">
        <v>315</v>
      </c>
      <c r="L231" s="2" t="s">
        <v>316</v>
      </c>
      <c r="M231" s="2" t="s">
        <v>317</v>
      </c>
      <c r="N231" s="2" t="s">
        <v>325</v>
      </c>
      <c r="O231" s="2">
        <v>3816</v>
      </c>
      <c r="P231" s="2" t="s">
        <v>199</v>
      </c>
      <c r="Q231" s="2" t="s">
        <v>326</v>
      </c>
      <c r="R231" s="2" t="s">
        <v>350</v>
      </c>
      <c r="S231" s="2">
        <v>-0.32204861111111099</v>
      </c>
      <c r="T231" s="2">
        <v>3816.3220486111099</v>
      </c>
      <c r="U231" s="2">
        <v>3842.8242850597899</v>
      </c>
      <c r="V231" s="2">
        <v>480.35303563247402</v>
      </c>
      <c r="W231" s="2">
        <v>3362.4712494273199</v>
      </c>
      <c r="X231" s="2" t="s">
        <v>40</v>
      </c>
      <c r="Y231" s="2"/>
      <c r="Z231" s="2" t="s">
        <v>320</v>
      </c>
      <c r="AA231" s="2" t="b">
        <v>1</v>
      </c>
      <c r="AB231" s="2" t="b">
        <v>1</v>
      </c>
      <c r="AC231" s="2" t="b">
        <v>0</v>
      </c>
    </row>
    <row r="232" spans="1:29">
      <c r="A232" s="2" t="s">
        <v>562</v>
      </c>
      <c r="B232" s="2" t="s">
        <v>309</v>
      </c>
      <c r="C232" s="2" t="s">
        <v>563</v>
      </c>
      <c r="D232" s="2" t="s">
        <v>323</v>
      </c>
      <c r="E232" s="2" t="s">
        <v>312</v>
      </c>
      <c r="F232" s="2" t="s">
        <v>564</v>
      </c>
      <c r="G232" s="2">
        <v>3</v>
      </c>
      <c r="H232" s="2" t="s">
        <v>45</v>
      </c>
      <c r="I232" s="2">
        <v>1</v>
      </c>
      <c r="J232" s="2" t="s">
        <v>314</v>
      </c>
      <c r="K232" s="2" t="s">
        <v>315</v>
      </c>
      <c r="L232" s="2" t="s">
        <v>316</v>
      </c>
      <c r="M232" s="2" t="s">
        <v>317</v>
      </c>
      <c r="N232" s="2" t="s">
        <v>325</v>
      </c>
      <c r="O232" s="2">
        <v>6084</v>
      </c>
      <c r="P232" s="2" t="s">
        <v>199</v>
      </c>
      <c r="Q232" s="2" t="s">
        <v>326</v>
      </c>
      <c r="R232" s="2" t="s">
        <v>350</v>
      </c>
      <c r="S232" s="2">
        <v>-0.51345486111111105</v>
      </c>
      <c r="T232" s="2">
        <v>6084.5134548611104</v>
      </c>
      <c r="U232" s="2">
        <v>6126.7670205198601</v>
      </c>
      <c r="V232" s="2">
        <v>765.84587756498297</v>
      </c>
      <c r="W232" s="2">
        <v>5360.9211429548805</v>
      </c>
      <c r="X232" s="2" t="s">
        <v>40</v>
      </c>
      <c r="Y232" s="2"/>
      <c r="Z232" s="2" t="s">
        <v>320</v>
      </c>
      <c r="AA232" s="2" t="b">
        <v>1</v>
      </c>
      <c r="AB232" s="2" t="b">
        <v>1</v>
      </c>
      <c r="AC232" s="2" t="b">
        <v>0</v>
      </c>
    </row>
    <row r="233" spans="1:29">
      <c r="A233" s="2" t="s">
        <v>565</v>
      </c>
      <c r="B233" s="2" t="s">
        <v>309</v>
      </c>
      <c r="C233" s="2" t="s">
        <v>566</v>
      </c>
      <c r="D233" s="2" t="s">
        <v>311</v>
      </c>
      <c r="E233" s="2" t="s">
        <v>312</v>
      </c>
      <c r="F233" s="2" t="s">
        <v>567</v>
      </c>
      <c r="G233" s="2">
        <v>0</v>
      </c>
      <c r="H233" s="2" t="s">
        <v>45</v>
      </c>
      <c r="I233" s="2">
        <v>3</v>
      </c>
      <c r="J233" s="2" t="s">
        <v>314</v>
      </c>
      <c r="K233" s="2" t="s">
        <v>315</v>
      </c>
      <c r="L233" s="2" t="s">
        <v>316</v>
      </c>
      <c r="M233" s="2" t="s">
        <v>317</v>
      </c>
      <c r="N233" s="2" t="s">
        <v>318</v>
      </c>
      <c r="O233" s="2">
        <v>2916</v>
      </c>
      <c r="P233" s="2" t="s">
        <v>199</v>
      </c>
      <c r="Q233" s="2" t="s">
        <v>200</v>
      </c>
      <c r="R233" s="2" t="s">
        <v>415</v>
      </c>
      <c r="S233" s="2">
        <v>-1458</v>
      </c>
      <c r="T233" s="2">
        <v>4374</v>
      </c>
      <c r="U233" s="2">
        <v>4465.12499999999</v>
      </c>
      <c r="V233" s="2">
        <v>558.14062499999898</v>
      </c>
      <c r="W233" s="2">
        <v>3906.98437499999</v>
      </c>
      <c r="X233" s="2" t="s">
        <v>40</v>
      </c>
      <c r="Y233" s="2"/>
      <c r="Z233" s="2" t="s">
        <v>320</v>
      </c>
      <c r="AA233" s="2" t="b">
        <v>1</v>
      </c>
      <c r="AB233" s="2" t="b">
        <v>1</v>
      </c>
      <c r="AC233" s="2" t="b">
        <v>1</v>
      </c>
    </row>
    <row r="234" spans="1:29">
      <c r="A234" s="2" t="s">
        <v>568</v>
      </c>
      <c r="B234" s="2" t="s">
        <v>309</v>
      </c>
      <c r="C234" s="2" t="s">
        <v>569</v>
      </c>
      <c r="D234" s="2" t="s">
        <v>323</v>
      </c>
      <c r="E234" s="2" t="s">
        <v>312</v>
      </c>
      <c r="F234" s="2" t="s">
        <v>570</v>
      </c>
      <c r="G234" s="2">
        <v>3</v>
      </c>
      <c r="H234" s="2" t="s">
        <v>45</v>
      </c>
      <c r="I234" s="2">
        <v>1</v>
      </c>
      <c r="J234" s="2" t="s">
        <v>314</v>
      </c>
      <c r="K234" s="2" t="s">
        <v>315</v>
      </c>
      <c r="L234" s="2" t="s">
        <v>316</v>
      </c>
      <c r="M234" s="2" t="s">
        <v>317</v>
      </c>
      <c r="N234" s="2" t="s">
        <v>325</v>
      </c>
      <c r="O234" s="2">
        <v>3924</v>
      </c>
      <c r="P234" s="2" t="s">
        <v>199</v>
      </c>
      <c r="Q234" s="2" t="s">
        <v>326</v>
      </c>
      <c r="R234" s="2" t="s">
        <v>350</v>
      </c>
      <c r="S234" s="2">
        <v>-0.33116319444444398</v>
      </c>
      <c r="T234" s="2">
        <v>3924.3311631944398</v>
      </c>
      <c r="U234" s="2">
        <v>3951.5834629388501</v>
      </c>
      <c r="V234" s="2">
        <v>493.94793286735597</v>
      </c>
      <c r="W234" s="2">
        <v>3457.6355300714899</v>
      </c>
      <c r="X234" s="2" t="s">
        <v>40</v>
      </c>
      <c r="Y234" s="2"/>
      <c r="Z234" s="2" t="s">
        <v>320</v>
      </c>
      <c r="AA234" s="2" t="b">
        <v>1</v>
      </c>
      <c r="AB234" s="2" t="b">
        <v>1</v>
      </c>
      <c r="AC234" s="2" t="b">
        <v>0</v>
      </c>
    </row>
    <row r="235" spans="1:29">
      <c r="A235" s="2" t="s">
        <v>571</v>
      </c>
      <c r="B235" s="2" t="s">
        <v>309</v>
      </c>
      <c r="C235" s="2" t="s">
        <v>572</v>
      </c>
      <c r="D235" s="2" t="s">
        <v>311</v>
      </c>
      <c r="E235" s="2" t="s">
        <v>312</v>
      </c>
      <c r="F235" s="2" t="s">
        <v>573</v>
      </c>
      <c r="G235" s="2">
        <v>0</v>
      </c>
      <c r="H235" s="2" t="s">
        <v>45</v>
      </c>
      <c r="I235" s="2">
        <v>3</v>
      </c>
      <c r="J235" s="2" t="s">
        <v>314</v>
      </c>
      <c r="K235" s="2" t="s">
        <v>315</v>
      </c>
      <c r="L235" s="2" t="s">
        <v>316</v>
      </c>
      <c r="M235" s="2" t="s">
        <v>317</v>
      </c>
      <c r="N235" s="2" t="s">
        <v>325</v>
      </c>
      <c r="O235" s="2">
        <v>4536</v>
      </c>
      <c r="P235" s="2" t="s">
        <v>199</v>
      </c>
      <c r="Q235" s="2" t="s">
        <v>200</v>
      </c>
      <c r="R235" s="2" t="s">
        <v>415</v>
      </c>
      <c r="S235" s="2">
        <v>-2268</v>
      </c>
      <c r="T235" s="2">
        <v>6804</v>
      </c>
      <c r="U235" s="2">
        <v>6945.74999999999</v>
      </c>
      <c r="V235" s="2">
        <v>868.21874999999898</v>
      </c>
      <c r="W235" s="2">
        <v>6077.53124999999</v>
      </c>
      <c r="X235" s="2" t="s">
        <v>40</v>
      </c>
      <c r="Y235" s="2"/>
      <c r="Z235" s="2" t="s">
        <v>320</v>
      </c>
      <c r="AA235" s="2" t="b">
        <v>1</v>
      </c>
      <c r="AB235" s="2" t="b">
        <v>1</v>
      </c>
      <c r="AC235" s="2" t="b">
        <v>0</v>
      </c>
    </row>
    <row r="236" spans="1:29">
      <c r="A236" s="2" t="s">
        <v>574</v>
      </c>
      <c r="B236" s="2" t="s">
        <v>309</v>
      </c>
      <c r="C236" s="2" t="s">
        <v>575</v>
      </c>
      <c r="D236" s="2" t="s">
        <v>311</v>
      </c>
      <c r="E236" s="2" t="s">
        <v>312</v>
      </c>
      <c r="F236" s="2" t="s">
        <v>576</v>
      </c>
      <c r="G236" s="2">
        <v>0</v>
      </c>
      <c r="H236" s="2" t="s">
        <v>45</v>
      </c>
      <c r="I236" s="2">
        <v>3</v>
      </c>
      <c r="J236" s="2" t="s">
        <v>314</v>
      </c>
      <c r="K236" s="2" t="s">
        <v>315</v>
      </c>
      <c r="L236" s="2" t="s">
        <v>316</v>
      </c>
      <c r="M236" s="2" t="s">
        <v>317</v>
      </c>
      <c r="N236" s="2" t="s">
        <v>325</v>
      </c>
      <c r="O236" s="2">
        <v>6804</v>
      </c>
      <c r="P236" s="2" t="s">
        <v>199</v>
      </c>
      <c r="Q236" s="2" t="s">
        <v>200</v>
      </c>
      <c r="R236" s="2" t="s">
        <v>415</v>
      </c>
      <c r="S236" s="2">
        <v>-3402</v>
      </c>
      <c r="T236" s="2">
        <v>10206</v>
      </c>
      <c r="U236" s="2">
        <v>10418.625</v>
      </c>
      <c r="V236" s="2">
        <v>1302.328125</v>
      </c>
      <c r="W236" s="2">
        <v>9116.296875</v>
      </c>
      <c r="X236" s="2" t="s">
        <v>40</v>
      </c>
      <c r="Y236" s="2"/>
      <c r="Z236" s="2" t="s">
        <v>320</v>
      </c>
      <c r="AA236" s="2" t="b">
        <v>1</v>
      </c>
      <c r="AB236" s="2" t="b">
        <v>1</v>
      </c>
      <c r="AC236" s="2" t="b">
        <v>0</v>
      </c>
    </row>
    <row r="237" spans="1:29">
      <c r="A237" s="2" t="s">
        <v>577</v>
      </c>
      <c r="B237" s="2" t="s">
        <v>309</v>
      </c>
      <c r="C237" s="2" t="s">
        <v>578</v>
      </c>
      <c r="D237" s="2" t="s">
        <v>323</v>
      </c>
      <c r="E237" s="2" t="s">
        <v>312</v>
      </c>
      <c r="F237" s="2" t="s">
        <v>579</v>
      </c>
      <c r="G237" s="2">
        <v>3</v>
      </c>
      <c r="H237" s="2" t="s">
        <v>45</v>
      </c>
      <c r="I237" s="2">
        <v>3</v>
      </c>
      <c r="J237" s="2" t="s">
        <v>314</v>
      </c>
      <c r="K237" s="2" t="s">
        <v>315</v>
      </c>
      <c r="L237" s="2" t="s">
        <v>316</v>
      </c>
      <c r="M237" s="2" t="s">
        <v>317</v>
      </c>
      <c r="N237" s="2" t="s">
        <v>325</v>
      </c>
      <c r="O237" s="2">
        <v>4932</v>
      </c>
      <c r="P237" s="2" t="s">
        <v>199</v>
      </c>
      <c r="Q237" s="2" t="s">
        <v>326</v>
      </c>
      <c r="R237" s="2" t="s">
        <v>398</v>
      </c>
      <c r="S237" s="2">
        <v>-0.89192708333333304</v>
      </c>
      <c r="T237" s="2">
        <v>4932.8919270833303</v>
      </c>
      <c r="U237" s="2">
        <v>5035.6605088975602</v>
      </c>
      <c r="V237" s="2">
        <v>629.45756361219605</v>
      </c>
      <c r="W237" s="2">
        <v>4406.2029452853703</v>
      </c>
      <c r="X237" s="2" t="s">
        <v>40</v>
      </c>
      <c r="Y237" s="2"/>
      <c r="Z237" s="2" t="s">
        <v>320</v>
      </c>
      <c r="AA237" s="2" t="b">
        <v>1</v>
      </c>
      <c r="AB237" s="2" t="b">
        <v>1</v>
      </c>
      <c r="AC237" s="2" t="b">
        <v>0</v>
      </c>
    </row>
    <row r="238" spans="1:29">
      <c r="A238" s="2" t="s">
        <v>580</v>
      </c>
      <c r="B238" s="2" t="s">
        <v>309</v>
      </c>
      <c r="C238" s="2" t="s">
        <v>581</v>
      </c>
      <c r="D238" s="2" t="s">
        <v>323</v>
      </c>
      <c r="E238" s="2" t="s">
        <v>312</v>
      </c>
      <c r="F238" s="2" t="s">
        <v>582</v>
      </c>
      <c r="G238" s="2">
        <v>3</v>
      </c>
      <c r="H238" s="2" t="s">
        <v>45</v>
      </c>
      <c r="I238" s="2">
        <v>5</v>
      </c>
      <c r="J238" s="2" t="s">
        <v>314</v>
      </c>
      <c r="K238" s="2" t="s">
        <v>315</v>
      </c>
      <c r="L238" s="2" t="s">
        <v>316</v>
      </c>
      <c r="M238" s="2" t="s">
        <v>317</v>
      </c>
      <c r="N238" s="2" t="s">
        <v>325</v>
      </c>
      <c r="O238" s="2">
        <v>5544</v>
      </c>
      <c r="P238" s="2" t="s">
        <v>199</v>
      </c>
      <c r="Q238" s="2" t="s">
        <v>326</v>
      </c>
      <c r="R238" s="2" t="s">
        <v>411</v>
      </c>
      <c r="S238" s="2">
        <v>-1.53732638888888</v>
      </c>
      <c r="T238" s="2">
        <v>5545.5373263888796</v>
      </c>
      <c r="U238" s="2">
        <v>5738.0907057773902</v>
      </c>
      <c r="V238" s="2">
        <v>717.26133822217298</v>
      </c>
      <c r="W238" s="2">
        <v>5020.8293675552104</v>
      </c>
      <c r="X238" s="2" t="s">
        <v>40</v>
      </c>
      <c r="Y238" s="2"/>
      <c r="Z238" s="2" t="s">
        <v>320</v>
      </c>
      <c r="AA238" s="2" t="b">
        <v>1</v>
      </c>
      <c r="AB238" s="2" t="b">
        <v>0</v>
      </c>
      <c r="AC238" s="2" t="b">
        <v>0</v>
      </c>
    </row>
    <row r="239" spans="1:29">
      <c r="A239" s="2" t="s">
        <v>583</v>
      </c>
      <c r="B239" s="2" t="s">
        <v>309</v>
      </c>
      <c r="C239" s="2" t="s">
        <v>584</v>
      </c>
      <c r="D239" s="2" t="s">
        <v>323</v>
      </c>
      <c r="E239" s="2" t="s">
        <v>312</v>
      </c>
      <c r="F239" s="2" t="s">
        <v>585</v>
      </c>
      <c r="G239" s="2">
        <v>3</v>
      </c>
      <c r="H239" s="2" t="s">
        <v>45</v>
      </c>
      <c r="I239" s="2">
        <v>5</v>
      </c>
      <c r="J239" s="2" t="s">
        <v>314</v>
      </c>
      <c r="K239" s="2" t="s">
        <v>315</v>
      </c>
      <c r="L239" s="2" t="s">
        <v>316</v>
      </c>
      <c r="M239" s="2" t="s">
        <v>317</v>
      </c>
      <c r="N239" s="2" t="s">
        <v>325</v>
      </c>
      <c r="O239" s="2">
        <v>7812</v>
      </c>
      <c r="P239" s="2" t="s">
        <v>199</v>
      </c>
      <c r="Q239" s="2" t="s">
        <v>326</v>
      </c>
      <c r="R239" s="2" t="s">
        <v>411</v>
      </c>
      <c r="S239" s="2">
        <v>-2.16623263888888</v>
      </c>
      <c r="T239" s="2">
        <v>7814.1662326388796</v>
      </c>
      <c r="U239" s="2">
        <v>8085.4914490499596</v>
      </c>
      <c r="V239" s="2">
        <v>1010.6864311312401</v>
      </c>
      <c r="W239" s="2">
        <v>7074.8050179187103</v>
      </c>
      <c r="X239" s="2" t="s">
        <v>40</v>
      </c>
      <c r="Y239" s="2"/>
      <c r="Z239" s="2" t="s">
        <v>320</v>
      </c>
      <c r="AA239" s="2" t="b">
        <v>1</v>
      </c>
      <c r="AB239" s="2" t="b">
        <v>0</v>
      </c>
      <c r="AC239" s="2" t="b">
        <v>0</v>
      </c>
    </row>
    <row r="240" spans="1:29">
      <c r="A240" s="2" t="s">
        <v>586</v>
      </c>
      <c r="B240" s="2" t="s">
        <v>309</v>
      </c>
      <c r="C240" s="2" t="s">
        <v>587</v>
      </c>
      <c r="D240" s="2" t="s">
        <v>311</v>
      </c>
      <c r="E240" s="2" t="s">
        <v>312</v>
      </c>
      <c r="F240" s="2" t="s">
        <v>588</v>
      </c>
      <c r="G240" s="2">
        <v>0</v>
      </c>
      <c r="H240" s="2" t="s">
        <v>45</v>
      </c>
      <c r="I240" s="2">
        <v>6</v>
      </c>
      <c r="J240" s="2" t="s">
        <v>314</v>
      </c>
      <c r="K240" s="2" t="s">
        <v>315</v>
      </c>
      <c r="L240" s="2" t="s">
        <v>316</v>
      </c>
      <c r="M240" s="2" t="s">
        <v>317</v>
      </c>
      <c r="N240" s="2" t="s">
        <v>325</v>
      </c>
      <c r="O240" s="2">
        <v>6156</v>
      </c>
      <c r="P240" s="2" t="s">
        <v>199</v>
      </c>
      <c r="Q240" s="2" t="s">
        <v>200</v>
      </c>
      <c r="R240" s="2" t="s">
        <v>589</v>
      </c>
      <c r="S240" s="2">
        <v>-4617</v>
      </c>
      <c r="T240" s="2">
        <v>10773</v>
      </c>
      <c r="U240" s="2">
        <v>11221.875</v>
      </c>
      <c r="V240" s="2">
        <v>1402.734375</v>
      </c>
      <c r="W240" s="2">
        <v>9819.140625</v>
      </c>
      <c r="X240" s="2" t="s">
        <v>40</v>
      </c>
      <c r="Y240" s="2"/>
      <c r="Z240" s="2" t="s">
        <v>320</v>
      </c>
      <c r="AA240" s="2" t="b">
        <v>1</v>
      </c>
      <c r="AB240" s="2" t="b">
        <v>1</v>
      </c>
      <c r="AC240" s="2" t="b">
        <v>0</v>
      </c>
    </row>
    <row r="241" spans="1:29">
      <c r="A241" s="2" t="s">
        <v>590</v>
      </c>
      <c r="B241" s="2" t="s">
        <v>309</v>
      </c>
      <c r="C241" s="2" t="s">
        <v>591</v>
      </c>
      <c r="D241" s="2" t="s">
        <v>311</v>
      </c>
      <c r="E241" s="2" t="s">
        <v>312</v>
      </c>
      <c r="F241" s="2" t="s">
        <v>592</v>
      </c>
      <c r="G241" s="2">
        <v>0</v>
      </c>
      <c r="H241" s="2" t="s">
        <v>45</v>
      </c>
      <c r="I241" s="2">
        <v>6</v>
      </c>
      <c r="J241" s="2" t="s">
        <v>314</v>
      </c>
      <c r="K241" s="2" t="s">
        <v>315</v>
      </c>
      <c r="L241" s="2" t="s">
        <v>316</v>
      </c>
      <c r="M241" s="2" t="s">
        <v>317</v>
      </c>
      <c r="N241" s="2" t="s">
        <v>325</v>
      </c>
      <c r="O241" s="2">
        <v>8424</v>
      </c>
      <c r="P241" s="2" t="s">
        <v>199</v>
      </c>
      <c r="Q241" s="2" t="s">
        <v>200</v>
      </c>
      <c r="R241" s="2" t="s">
        <v>589</v>
      </c>
      <c r="S241" s="2">
        <v>-6318</v>
      </c>
      <c r="T241" s="2">
        <v>14742</v>
      </c>
      <c r="U241" s="2">
        <v>15356.25</v>
      </c>
      <c r="V241" s="2">
        <v>1919.53125</v>
      </c>
      <c r="W241" s="2">
        <v>13436.71875</v>
      </c>
      <c r="X241" s="2" t="s">
        <v>40</v>
      </c>
      <c r="Y241" s="2"/>
      <c r="Z241" s="2" t="s">
        <v>320</v>
      </c>
      <c r="AA241" s="2" t="b">
        <v>1</v>
      </c>
      <c r="AB241" s="2" t="b">
        <v>1</v>
      </c>
      <c r="AC241" s="2" t="b">
        <v>0</v>
      </c>
    </row>
    <row r="242" spans="1:29">
      <c r="A242" s="2" t="s">
        <v>593</v>
      </c>
      <c r="B242" s="2" t="s">
        <v>309</v>
      </c>
      <c r="C242" s="2" t="s">
        <v>594</v>
      </c>
      <c r="D242" s="2" t="s">
        <v>311</v>
      </c>
      <c r="E242" s="2" t="s">
        <v>312</v>
      </c>
      <c r="F242" s="2" t="s">
        <v>595</v>
      </c>
      <c r="G242" s="2">
        <v>0</v>
      </c>
      <c r="H242" s="2" t="s">
        <v>45</v>
      </c>
      <c r="I242" s="2">
        <v>9</v>
      </c>
      <c r="J242" s="2" t="s">
        <v>314</v>
      </c>
      <c r="K242" s="2" t="s">
        <v>315</v>
      </c>
      <c r="L242" s="2" t="s">
        <v>316</v>
      </c>
      <c r="M242" s="2" t="s">
        <v>317</v>
      </c>
      <c r="N242" s="2" t="s">
        <v>325</v>
      </c>
      <c r="O242" s="2">
        <v>10692</v>
      </c>
      <c r="P242" s="2" t="s">
        <v>199</v>
      </c>
      <c r="Q242" s="2" t="s">
        <v>200</v>
      </c>
      <c r="R242" s="2" t="s">
        <v>596</v>
      </c>
      <c r="S242" s="2">
        <v>-10692</v>
      </c>
      <c r="T242" s="2">
        <v>21384</v>
      </c>
      <c r="U242" s="2">
        <v>22720.5</v>
      </c>
      <c r="V242" s="2">
        <v>2840.0625</v>
      </c>
      <c r="W242" s="2">
        <v>19880.4375</v>
      </c>
      <c r="X242" s="2" t="s">
        <v>40</v>
      </c>
      <c r="Y242" s="2"/>
      <c r="Z242" s="2" t="s">
        <v>320</v>
      </c>
      <c r="AA242" s="2" t="b">
        <v>1</v>
      </c>
      <c r="AB242" s="2" t="b">
        <v>1</v>
      </c>
      <c r="AC242" s="2" t="b">
        <v>0</v>
      </c>
    </row>
    <row r="243" spans="1:29">
      <c r="A243" s="2" t="s">
        <v>597</v>
      </c>
      <c r="B243" s="2" t="s">
        <v>309</v>
      </c>
      <c r="C243" s="2" t="s">
        <v>598</v>
      </c>
      <c r="D243" s="2" t="s">
        <v>311</v>
      </c>
      <c r="E243" s="2" t="s">
        <v>312</v>
      </c>
      <c r="F243" s="2" t="s">
        <v>599</v>
      </c>
      <c r="G243" s="2">
        <v>0</v>
      </c>
      <c r="H243" s="2" t="s">
        <v>32</v>
      </c>
      <c r="I243" s="2">
        <v>1</v>
      </c>
      <c r="J243" s="2" t="s">
        <v>314</v>
      </c>
      <c r="K243" s="2" t="s">
        <v>315</v>
      </c>
      <c r="L243" s="2" t="s">
        <v>316</v>
      </c>
      <c r="M243" s="2" t="s">
        <v>317</v>
      </c>
      <c r="N243" s="2" t="s">
        <v>318</v>
      </c>
      <c r="O243" s="2">
        <v>1728</v>
      </c>
      <c r="P243" s="2" t="s">
        <v>205</v>
      </c>
      <c r="Q243" s="2" t="s">
        <v>200</v>
      </c>
      <c r="R243" s="2" t="s">
        <v>319</v>
      </c>
      <c r="S243" s="2">
        <v>575.99999999999898</v>
      </c>
      <c r="T243" s="2">
        <v>1152</v>
      </c>
      <c r="U243" s="2">
        <v>1159.99999999999</v>
      </c>
      <c r="V243" s="2">
        <v>144.99999999999901</v>
      </c>
      <c r="W243" s="2">
        <v>1014.99999999999</v>
      </c>
      <c r="X243" s="2" t="s">
        <v>40</v>
      </c>
      <c r="Y243" s="2"/>
      <c r="Z243" s="2" t="s">
        <v>320</v>
      </c>
      <c r="AA243" s="2" t="b">
        <v>1</v>
      </c>
      <c r="AB243" s="2" t="b">
        <v>1</v>
      </c>
      <c r="AC243" s="2" t="b">
        <v>1</v>
      </c>
    </row>
    <row r="244" spans="1:29">
      <c r="A244" s="2" t="s">
        <v>600</v>
      </c>
      <c r="B244" s="2" t="s">
        <v>309</v>
      </c>
      <c r="C244" s="2" t="s">
        <v>601</v>
      </c>
      <c r="D244" s="2" t="s">
        <v>323</v>
      </c>
      <c r="E244" s="2" t="s">
        <v>312</v>
      </c>
      <c r="F244" s="2" t="s">
        <v>602</v>
      </c>
      <c r="G244" s="2">
        <v>3</v>
      </c>
      <c r="H244" s="2" t="s">
        <v>51</v>
      </c>
      <c r="I244" s="2">
        <v>0</v>
      </c>
      <c r="J244" s="2" t="s">
        <v>314</v>
      </c>
      <c r="K244" s="2" t="s">
        <v>315</v>
      </c>
      <c r="L244" s="2" t="s">
        <v>316</v>
      </c>
      <c r="M244" s="2" t="s">
        <v>317</v>
      </c>
      <c r="N244" s="2" t="s">
        <v>325</v>
      </c>
      <c r="O244" s="2">
        <v>2448</v>
      </c>
      <c r="P244" s="2" t="s">
        <v>205</v>
      </c>
      <c r="Q244" s="2" t="s">
        <v>326</v>
      </c>
      <c r="R244" s="2" t="s">
        <v>331</v>
      </c>
      <c r="S244" s="2">
        <v>1.5052083333333299</v>
      </c>
      <c r="T244" s="2">
        <v>2446.4947916666601</v>
      </c>
      <c r="U244" s="2">
        <v>2446.4947916666601</v>
      </c>
      <c r="V244" s="2">
        <v>305.81184895833297</v>
      </c>
      <c r="W244" s="2">
        <v>2140.6829427083298</v>
      </c>
      <c r="X244" s="2" t="s">
        <v>40</v>
      </c>
      <c r="Y244" s="2"/>
      <c r="Z244" s="2" t="s">
        <v>320</v>
      </c>
      <c r="AA244" s="2" t="b">
        <v>1</v>
      </c>
      <c r="AB244" s="2" t="b">
        <v>1</v>
      </c>
      <c r="AC244" s="2" t="b">
        <v>0</v>
      </c>
    </row>
    <row r="245" spans="1:29">
      <c r="A245" s="2" t="s">
        <v>603</v>
      </c>
      <c r="B245" s="2" t="s">
        <v>309</v>
      </c>
      <c r="C245" s="2" t="s">
        <v>604</v>
      </c>
      <c r="D245" s="2" t="s">
        <v>323</v>
      </c>
      <c r="E245" s="2" t="s">
        <v>312</v>
      </c>
      <c r="F245" s="2" t="s">
        <v>605</v>
      </c>
      <c r="G245" s="2">
        <v>3</v>
      </c>
      <c r="H245" s="2" t="s">
        <v>32</v>
      </c>
      <c r="I245" s="2">
        <v>2</v>
      </c>
      <c r="J245" s="2" t="s">
        <v>314</v>
      </c>
      <c r="K245" s="2" t="s">
        <v>315</v>
      </c>
      <c r="L245" s="2" t="s">
        <v>316</v>
      </c>
      <c r="M245" s="2" t="s">
        <v>317</v>
      </c>
      <c r="N245" s="2" t="s">
        <v>325</v>
      </c>
      <c r="O245" s="2">
        <v>3456</v>
      </c>
      <c r="P245" s="2" t="s">
        <v>205</v>
      </c>
      <c r="Q245" s="2" t="s">
        <v>326</v>
      </c>
      <c r="R245" s="2" t="s">
        <v>327</v>
      </c>
      <c r="S245" s="2">
        <v>0.45833333333333298</v>
      </c>
      <c r="T245" s="2">
        <v>3455.5416666666601</v>
      </c>
      <c r="U245" s="2">
        <v>3503.5353009259202</v>
      </c>
      <c r="V245" s="2">
        <v>437.94191261574002</v>
      </c>
      <c r="W245" s="2">
        <v>3065.5933883101802</v>
      </c>
      <c r="X245" s="2" t="s">
        <v>40</v>
      </c>
      <c r="Y245" s="2"/>
      <c r="Z245" s="2" t="s">
        <v>320</v>
      </c>
      <c r="AA245" s="2" t="b">
        <v>1</v>
      </c>
      <c r="AB245" s="2" t="b">
        <v>1</v>
      </c>
      <c r="AC245" s="2" t="b">
        <v>0</v>
      </c>
    </row>
    <row r="246" spans="1:29">
      <c r="A246" s="2" t="s">
        <v>606</v>
      </c>
      <c r="B246" s="2" t="s">
        <v>309</v>
      </c>
      <c r="C246" s="2" t="s">
        <v>607</v>
      </c>
      <c r="D246" s="2" t="s">
        <v>323</v>
      </c>
      <c r="E246" s="2" t="s">
        <v>312</v>
      </c>
      <c r="F246" s="2" t="s">
        <v>608</v>
      </c>
      <c r="G246" s="2">
        <v>3</v>
      </c>
      <c r="H246" s="2" t="s">
        <v>51</v>
      </c>
      <c r="I246" s="2">
        <v>0</v>
      </c>
      <c r="J246" s="2" t="s">
        <v>314</v>
      </c>
      <c r="K246" s="2" t="s">
        <v>315</v>
      </c>
      <c r="L246" s="2" t="s">
        <v>316</v>
      </c>
      <c r="M246" s="2" t="s">
        <v>317</v>
      </c>
      <c r="N246" s="2" t="s">
        <v>325</v>
      </c>
      <c r="O246" s="2">
        <v>4068</v>
      </c>
      <c r="P246" s="2" t="s">
        <v>205</v>
      </c>
      <c r="Q246" s="2" t="s">
        <v>326</v>
      </c>
      <c r="R246" s="2" t="s">
        <v>331</v>
      </c>
      <c r="S246" s="2">
        <v>2.5013020833333299</v>
      </c>
      <c r="T246" s="2">
        <v>4065.4986979166601</v>
      </c>
      <c r="U246" s="2">
        <v>4065.4986979166601</v>
      </c>
      <c r="V246" s="2">
        <v>508.18733723958297</v>
      </c>
      <c r="W246" s="2">
        <v>3557.3113606770798</v>
      </c>
      <c r="X246" s="2" t="s">
        <v>40</v>
      </c>
      <c r="Y246" s="2"/>
      <c r="Z246" s="2" t="s">
        <v>320</v>
      </c>
      <c r="AA246" s="2" t="b">
        <v>1</v>
      </c>
      <c r="AB246" s="2" t="b">
        <v>1</v>
      </c>
      <c r="AC246" s="2" t="b">
        <v>0</v>
      </c>
    </row>
    <row r="247" spans="1:29">
      <c r="A247" s="2" t="s">
        <v>609</v>
      </c>
      <c r="B247" s="2" t="s">
        <v>309</v>
      </c>
      <c r="C247" s="2" t="s">
        <v>610</v>
      </c>
      <c r="D247" s="2" t="s">
        <v>323</v>
      </c>
      <c r="E247" s="2" t="s">
        <v>312</v>
      </c>
      <c r="F247" s="2" t="s">
        <v>611</v>
      </c>
      <c r="G247" s="2">
        <v>3</v>
      </c>
      <c r="H247" s="2" t="s">
        <v>51</v>
      </c>
      <c r="I247" s="2">
        <v>0</v>
      </c>
      <c r="J247" s="2" t="s">
        <v>314</v>
      </c>
      <c r="K247" s="2" t="s">
        <v>315</v>
      </c>
      <c r="L247" s="2" t="s">
        <v>316</v>
      </c>
      <c r="M247" s="2" t="s">
        <v>317</v>
      </c>
      <c r="N247" s="2" t="s">
        <v>325</v>
      </c>
      <c r="O247" s="2">
        <v>6336</v>
      </c>
      <c r="P247" s="2" t="s">
        <v>205</v>
      </c>
      <c r="Q247" s="2" t="s">
        <v>326</v>
      </c>
      <c r="R247" s="2" t="s">
        <v>331</v>
      </c>
      <c r="S247" s="2">
        <v>3.8958333333333299</v>
      </c>
      <c r="T247" s="2">
        <v>6332.1041666666597</v>
      </c>
      <c r="U247" s="2">
        <v>6332.1041666666597</v>
      </c>
      <c r="V247" s="2">
        <v>791.51302083333303</v>
      </c>
      <c r="W247" s="2">
        <v>5540.5911458333303</v>
      </c>
      <c r="X247" s="2" t="s">
        <v>40</v>
      </c>
      <c r="Y247" s="2"/>
      <c r="Z247" s="2" t="s">
        <v>320</v>
      </c>
      <c r="AA247" s="2" t="b">
        <v>1</v>
      </c>
      <c r="AB247" s="2" t="b">
        <v>1</v>
      </c>
      <c r="AC247" s="2" t="b">
        <v>0</v>
      </c>
    </row>
    <row r="248" spans="1:29">
      <c r="A248" s="2" t="s">
        <v>612</v>
      </c>
      <c r="B248" s="2" t="s">
        <v>309</v>
      </c>
      <c r="C248" s="2" t="s">
        <v>613</v>
      </c>
      <c r="D248" s="2" t="s">
        <v>323</v>
      </c>
      <c r="E248" s="2" t="s">
        <v>312</v>
      </c>
      <c r="F248" s="2" t="s">
        <v>614</v>
      </c>
      <c r="G248" s="2">
        <v>3</v>
      </c>
      <c r="H248" s="2" t="s">
        <v>45</v>
      </c>
      <c r="I248" s="2">
        <v>2</v>
      </c>
      <c r="J248" s="2" t="s">
        <v>314</v>
      </c>
      <c r="K248" s="2" t="s">
        <v>315</v>
      </c>
      <c r="L248" s="2" t="s">
        <v>316</v>
      </c>
      <c r="M248" s="2" t="s">
        <v>317</v>
      </c>
      <c r="N248" s="2" t="s">
        <v>325</v>
      </c>
      <c r="O248" s="2">
        <v>3168</v>
      </c>
      <c r="P248" s="2" t="s">
        <v>199</v>
      </c>
      <c r="Q248" s="2" t="s">
        <v>326</v>
      </c>
      <c r="R248" s="2" t="s">
        <v>327</v>
      </c>
      <c r="S248" s="2">
        <v>-0.42013888888888801</v>
      </c>
      <c r="T248" s="2">
        <v>3168.42013888888</v>
      </c>
      <c r="U248" s="2">
        <v>3212.4259741512301</v>
      </c>
      <c r="V248" s="2">
        <v>401.55324676890399</v>
      </c>
      <c r="W248" s="2">
        <v>2810.8727273823301</v>
      </c>
      <c r="X248" s="2" t="s">
        <v>40</v>
      </c>
      <c r="Y248" s="2"/>
      <c r="Z248" s="2" t="s">
        <v>320</v>
      </c>
      <c r="AA248" s="2" t="b">
        <v>1</v>
      </c>
      <c r="AB248" s="2" t="b">
        <v>1</v>
      </c>
      <c r="AC248" s="2" t="b">
        <v>0</v>
      </c>
    </row>
    <row r="249" spans="1:29">
      <c r="A249" s="2" t="s">
        <v>615</v>
      </c>
      <c r="B249" s="2" t="s">
        <v>309</v>
      </c>
      <c r="C249" s="2" t="s">
        <v>616</v>
      </c>
      <c r="D249" s="2" t="s">
        <v>311</v>
      </c>
      <c r="E249" s="2" t="s">
        <v>312</v>
      </c>
      <c r="F249" s="2" t="s">
        <v>617</v>
      </c>
      <c r="G249" s="2">
        <v>0</v>
      </c>
      <c r="H249" s="2" t="s">
        <v>51</v>
      </c>
      <c r="I249" s="2">
        <v>0</v>
      </c>
      <c r="J249" s="2" t="s">
        <v>314</v>
      </c>
      <c r="K249" s="2" t="s">
        <v>315</v>
      </c>
      <c r="L249" s="2" t="s">
        <v>316</v>
      </c>
      <c r="M249" s="2" t="s">
        <v>381</v>
      </c>
      <c r="N249" s="2" t="s">
        <v>382</v>
      </c>
      <c r="O249" s="2">
        <v>4176</v>
      </c>
      <c r="P249" s="2" t="s">
        <v>205</v>
      </c>
      <c r="Q249" s="2" t="s">
        <v>200</v>
      </c>
      <c r="R249" s="2" t="s">
        <v>383</v>
      </c>
      <c r="S249" s="2">
        <v>5220</v>
      </c>
      <c r="T249" s="2">
        <v>-1044</v>
      </c>
      <c r="U249" s="2">
        <v>0</v>
      </c>
      <c r="V249" s="2">
        <v>0</v>
      </c>
      <c r="W249" s="2">
        <v>0</v>
      </c>
      <c r="X249" s="2" t="s">
        <v>42</v>
      </c>
      <c r="Y249" s="2"/>
      <c r="Z249" s="2" t="s">
        <v>384</v>
      </c>
      <c r="AA249" s="2" t="b">
        <v>1</v>
      </c>
      <c r="AB249" s="2" t="b">
        <v>1</v>
      </c>
      <c r="AC249" s="2" t="b">
        <v>0</v>
      </c>
    </row>
    <row r="250" spans="1:29">
      <c r="A250" s="2" t="s">
        <v>618</v>
      </c>
      <c r="B250" s="2" t="s">
        <v>309</v>
      </c>
      <c r="C250" s="2" t="s">
        <v>619</v>
      </c>
      <c r="D250" s="2" t="s">
        <v>323</v>
      </c>
      <c r="E250" s="2" t="s">
        <v>312</v>
      </c>
      <c r="F250" s="2" t="s">
        <v>620</v>
      </c>
      <c r="G250" s="2">
        <v>3</v>
      </c>
      <c r="H250" s="2" t="s">
        <v>45</v>
      </c>
      <c r="I250" s="2">
        <v>2</v>
      </c>
      <c r="J250" s="2" t="s">
        <v>314</v>
      </c>
      <c r="K250" s="2" t="s">
        <v>315</v>
      </c>
      <c r="L250" s="2" t="s">
        <v>316</v>
      </c>
      <c r="M250" s="2" t="s">
        <v>317</v>
      </c>
      <c r="N250" s="2" t="s">
        <v>325</v>
      </c>
      <c r="O250" s="2">
        <v>4788</v>
      </c>
      <c r="P250" s="2" t="s">
        <v>199</v>
      </c>
      <c r="Q250" s="2" t="s">
        <v>326</v>
      </c>
      <c r="R250" s="2" t="s">
        <v>327</v>
      </c>
      <c r="S250" s="2">
        <v>-0.63498263888888795</v>
      </c>
      <c r="T250" s="2">
        <v>4788.6349826388796</v>
      </c>
      <c r="U250" s="2">
        <v>4855.1438018422004</v>
      </c>
      <c r="V250" s="2">
        <v>606.89297523027506</v>
      </c>
      <c r="W250" s="2">
        <v>4248.2508266119303</v>
      </c>
      <c r="X250" s="2" t="s">
        <v>40</v>
      </c>
      <c r="Y250" s="2"/>
      <c r="Z250" s="2" t="s">
        <v>320</v>
      </c>
      <c r="AA250" s="2" t="b">
        <v>1</v>
      </c>
      <c r="AB250" s="2" t="b">
        <v>1</v>
      </c>
      <c r="AC250" s="2" t="b">
        <v>0</v>
      </c>
    </row>
    <row r="251" spans="1:29">
      <c r="A251" s="2" t="s">
        <v>621</v>
      </c>
      <c r="B251" s="2" t="s">
        <v>309</v>
      </c>
      <c r="C251" s="2" t="s">
        <v>622</v>
      </c>
      <c r="D251" s="2" t="s">
        <v>323</v>
      </c>
      <c r="E251" s="2" t="s">
        <v>312</v>
      </c>
      <c r="F251" s="2" t="s">
        <v>623</v>
      </c>
      <c r="G251" s="2">
        <v>3</v>
      </c>
      <c r="H251" s="2" t="s">
        <v>45</v>
      </c>
      <c r="I251" s="2">
        <v>2</v>
      </c>
      <c r="J251" s="2" t="s">
        <v>314</v>
      </c>
      <c r="K251" s="2" t="s">
        <v>315</v>
      </c>
      <c r="L251" s="2" t="s">
        <v>316</v>
      </c>
      <c r="M251" s="2" t="s">
        <v>317</v>
      </c>
      <c r="N251" s="2" t="s">
        <v>325</v>
      </c>
      <c r="O251" s="2">
        <v>7056</v>
      </c>
      <c r="P251" s="2" t="s">
        <v>199</v>
      </c>
      <c r="Q251" s="2" t="s">
        <v>326</v>
      </c>
      <c r="R251" s="2" t="s">
        <v>327</v>
      </c>
      <c r="S251" s="2">
        <v>-0.93576388888888795</v>
      </c>
      <c r="T251" s="2">
        <v>7056.9357638888796</v>
      </c>
      <c r="U251" s="2">
        <v>7154.9487606095599</v>
      </c>
      <c r="V251" s="2">
        <v>894.36859507619499</v>
      </c>
      <c r="W251" s="2">
        <v>6260.5801655333698</v>
      </c>
      <c r="X251" s="2" t="s">
        <v>40</v>
      </c>
      <c r="Y251" s="2"/>
      <c r="Z251" s="2" t="s">
        <v>320</v>
      </c>
      <c r="AA251" s="2" t="b">
        <v>1</v>
      </c>
      <c r="AB251" s="2" t="b">
        <v>1</v>
      </c>
      <c r="AC251" s="2" t="b">
        <v>0</v>
      </c>
    </row>
    <row r="252" spans="1:29">
      <c r="A252" s="2" t="s">
        <v>624</v>
      </c>
      <c r="B252" s="2" t="s">
        <v>309</v>
      </c>
      <c r="C252" s="2" t="s">
        <v>625</v>
      </c>
      <c r="D252" s="2" t="s">
        <v>323</v>
      </c>
      <c r="E252" s="2" t="s">
        <v>312</v>
      </c>
      <c r="F252" s="2" t="s">
        <v>626</v>
      </c>
      <c r="G252" s="2">
        <v>3</v>
      </c>
      <c r="H252" s="2" t="s">
        <v>45</v>
      </c>
      <c r="I252" s="2">
        <v>2</v>
      </c>
      <c r="J252" s="2" t="s">
        <v>314</v>
      </c>
      <c r="K252" s="2" t="s">
        <v>315</v>
      </c>
      <c r="L252" s="2" t="s">
        <v>316</v>
      </c>
      <c r="M252" s="2" t="s">
        <v>317</v>
      </c>
      <c r="N252" s="2" t="s">
        <v>325</v>
      </c>
      <c r="O252" s="2">
        <v>5184</v>
      </c>
      <c r="P252" s="2" t="s">
        <v>199</v>
      </c>
      <c r="Q252" s="2" t="s">
        <v>326</v>
      </c>
      <c r="R252" s="2" t="s">
        <v>327</v>
      </c>
      <c r="S252" s="2">
        <v>-0.6875</v>
      </c>
      <c r="T252" s="2">
        <v>5184.6875</v>
      </c>
      <c r="U252" s="2">
        <v>5256.6970486111104</v>
      </c>
      <c r="V252" s="2">
        <v>657.087131076388</v>
      </c>
      <c r="W252" s="2">
        <v>4599.6099175347199</v>
      </c>
      <c r="X252" s="2" t="s">
        <v>40</v>
      </c>
      <c r="Y252" s="2"/>
      <c r="Z252" s="2" t="s">
        <v>320</v>
      </c>
      <c r="AA252" s="2" t="b">
        <v>1</v>
      </c>
      <c r="AB252" s="2" t="b">
        <v>1</v>
      </c>
      <c r="AC252" s="2" t="b">
        <v>0</v>
      </c>
    </row>
    <row r="253" spans="1:29">
      <c r="A253" s="2" t="s">
        <v>627</v>
      </c>
      <c r="B253" s="2" t="s">
        <v>309</v>
      </c>
      <c r="C253" s="2" t="s">
        <v>628</v>
      </c>
      <c r="D253" s="2" t="s">
        <v>311</v>
      </c>
      <c r="E253" s="2" t="s">
        <v>312</v>
      </c>
      <c r="F253" s="2" t="s">
        <v>629</v>
      </c>
      <c r="G253" s="2">
        <v>0</v>
      </c>
      <c r="H253" s="2" t="s">
        <v>45</v>
      </c>
      <c r="I253" s="2">
        <v>4</v>
      </c>
      <c r="J253" s="2" t="s">
        <v>314</v>
      </c>
      <c r="K253" s="2" t="s">
        <v>315</v>
      </c>
      <c r="L253" s="2" t="s">
        <v>316</v>
      </c>
      <c r="M253" s="2" t="s">
        <v>317</v>
      </c>
      <c r="N253" s="2" t="s">
        <v>325</v>
      </c>
      <c r="O253" s="2">
        <v>5796</v>
      </c>
      <c r="P253" s="2" t="s">
        <v>199</v>
      </c>
      <c r="Q253" s="2" t="s">
        <v>200</v>
      </c>
      <c r="R253" s="2" t="s">
        <v>513</v>
      </c>
      <c r="S253" s="2">
        <v>-3381</v>
      </c>
      <c r="T253" s="2">
        <v>9177</v>
      </c>
      <c r="U253" s="2">
        <v>9431.9166666666606</v>
      </c>
      <c r="V253" s="2">
        <v>1178.9895833333301</v>
      </c>
      <c r="W253" s="2">
        <v>8252.9270833333303</v>
      </c>
      <c r="X253" s="2" t="s">
        <v>40</v>
      </c>
      <c r="Y253" s="2"/>
      <c r="Z253" s="2" t="s">
        <v>320</v>
      </c>
      <c r="AA253" s="2" t="b">
        <v>1</v>
      </c>
      <c r="AB253" s="2" t="b">
        <v>1</v>
      </c>
      <c r="AC253" s="2" t="b">
        <v>0</v>
      </c>
    </row>
    <row r="254" spans="1:29">
      <c r="A254" s="2" t="s">
        <v>630</v>
      </c>
      <c r="B254" s="2" t="s">
        <v>309</v>
      </c>
      <c r="C254" s="2" t="s">
        <v>631</v>
      </c>
      <c r="D254" s="2" t="s">
        <v>311</v>
      </c>
      <c r="E254" s="2" t="s">
        <v>312</v>
      </c>
      <c r="F254" s="2" t="s">
        <v>632</v>
      </c>
      <c r="G254" s="2">
        <v>0</v>
      </c>
      <c r="H254" s="2" t="s">
        <v>45</v>
      </c>
      <c r="I254" s="2">
        <v>4</v>
      </c>
      <c r="J254" s="2" t="s">
        <v>314</v>
      </c>
      <c r="K254" s="2" t="s">
        <v>315</v>
      </c>
      <c r="L254" s="2" t="s">
        <v>316</v>
      </c>
      <c r="M254" s="2" t="s">
        <v>317</v>
      </c>
      <c r="N254" s="2" t="s">
        <v>325</v>
      </c>
      <c r="O254" s="2">
        <v>8064</v>
      </c>
      <c r="P254" s="2" t="s">
        <v>199</v>
      </c>
      <c r="Q254" s="2" t="s">
        <v>200</v>
      </c>
      <c r="R254" s="2" t="s">
        <v>513</v>
      </c>
      <c r="S254" s="2">
        <v>-4704</v>
      </c>
      <c r="T254" s="2">
        <v>12768</v>
      </c>
      <c r="U254" s="2">
        <v>13122.666666666601</v>
      </c>
      <c r="V254" s="2">
        <v>1640.3333333333301</v>
      </c>
      <c r="W254" s="2">
        <v>11482.333333333299</v>
      </c>
      <c r="X254" s="2" t="s">
        <v>40</v>
      </c>
      <c r="Y254" s="2"/>
      <c r="Z254" s="2" t="s">
        <v>320</v>
      </c>
      <c r="AA254" s="2" t="b">
        <v>1</v>
      </c>
      <c r="AB254" s="2" t="b">
        <v>1</v>
      </c>
      <c r="AC254" s="2" t="b">
        <v>0</v>
      </c>
    </row>
    <row r="255" spans="1:29">
      <c r="A255" s="2" t="s">
        <v>633</v>
      </c>
      <c r="B255" s="2" t="s">
        <v>309</v>
      </c>
      <c r="C255" s="2" t="s">
        <v>634</v>
      </c>
      <c r="D255" s="2" t="s">
        <v>323</v>
      </c>
      <c r="E255" s="2" t="s">
        <v>312</v>
      </c>
      <c r="F255" s="2" t="s">
        <v>635</v>
      </c>
      <c r="G255" s="2">
        <v>3</v>
      </c>
      <c r="H255" s="2" t="s">
        <v>45</v>
      </c>
      <c r="I255" s="2">
        <v>5</v>
      </c>
      <c r="J255" s="2" t="s">
        <v>314</v>
      </c>
      <c r="K255" s="2" t="s">
        <v>315</v>
      </c>
      <c r="L255" s="2" t="s">
        <v>316</v>
      </c>
      <c r="M255" s="2" t="s">
        <v>317</v>
      </c>
      <c r="N255" s="2" t="s">
        <v>325</v>
      </c>
      <c r="O255" s="2">
        <v>6408</v>
      </c>
      <c r="P255" s="2" t="s">
        <v>199</v>
      </c>
      <c r="Q255" s="2" t="s">
        <v>326</v>
      </c>
      <c r="R255" s="2" t="s">
        <v>411</v>
      </c>
      <c r="S255" s="2">
        <v>-1.7769097222222201</v>
      </c>
      <c r="T255" s="2">
        <v>6409.7769097222199</v>
      </c>
      <c r="U255" s="2">
        <v>6632.3386079764596</v>
      </c>
      <c r="V255" s="2">
        <v>829.04232599705801</v>
      </c>
      <c r="W255" s="2">
        <v>5803.2962819794002</v>
      </c>
      <c r="X255" s="2" t="s">
        <v>40</v>
      </c>
      <c r="Y255" s="2"/>
      <c r="Z255" s="2" t="s">
        <v>320</v>
      </c>
      <c r="AA255" s="2" t="b">
        <v>1</v>
      </c>
      <c r="AB255" s="2" t="b">
        <v>0</v>
      </c>
      <c r="AC255" s="2" t="b">
        <v>0</v>
      </c>
    </row>
    <row r="256" spans="1:29">
      <c r="A256" s="2" t="s">
        <v>636</v>
      </c>
      <c r="B256" s="2" t="s">
        <v>309</v>
      </c>
      <c r="C256" s="2" t="s">
        <v>637</v>
      </c>
      <c r="D256" s="2" t="s">
        <v>323</v>
      </c>
      <c r="E256" s="2" t="s">
        <v>312</v>
      </c>
      <c r="F256" s="2" t="s">
        <v>638</v>
      </c>
      <c r="G256" s="2">
        <v>3</v>
      </c>
      <c r="H256" s="2" t="s">
        <v>45</v>
      </c>
      <c r="I256" s="2">
        <v>5</v>
      </c>
      <c r="J256" s="2" t="s">
        <v>314</v>
      </c>
      <c r="K256" s="2" t="s">
        <v>315</v>
      </c>
      <c r="L256" s="2" t="s">
        <v>316</v>
      </c>
      <c r="M256" s="2" t="s">
        <v>317</v>
      </c>
      <c r="N256" s="2" t="s">
        <v>325</v>
      </c>
      <c r="O256" s="2">
        <v>8676</v>
      </c>
      <c r="P256" s="2" t="s">
        <v>199</v>
      </c>
      <c r="Q256" s="2" t="s">
        <v>326</v>
      </c>
      <c r="R256" s="2" t="s">
        <v>411</v>
      </c>
      <c r="S256" s="2">
        <v>-2.4058159722222201</v>
      </c>
      <c r="T256" s="2">
        <v>8678.4058159722208</v>
      </c>
      <c r="U256" s="2">
        <v>8979.7393512490307</v>
      </c>
      <c r="V256" s="2">
        <v>1122.46741890612</v>
      </c>
      <c r="W256" s="2">
        <v>7857.2719323429001</v>
      </c>
      <c r="X256" s="2" t="s">
        <v>40</v>
      </c>
      <c r="Y256" s="2"/>
      <c r="Z256" s="2" t="s">
        <v>320</v>
      </c>
      <c r="AA256" s="2" t="b">
        <v>1</v>
      </c>
      <c r="AB256" s="2" t="b">
        <v>0</v>
      </c>
      <c r="AC256" s="2" t="b">
        <v>0</v>
      </c>
    </row>
    <row r="257" spans="1:29">
      <c r="A257" s="2" t="s">
        <v>639</v>
      </c>
      <c r="B257" s="2" t="s">
        <v>309</v>
      </c>
      <c r="C257" s="2" t="s">
        <v>640</v>
      </c>
      <c r="D257" s="2" t="s">
        <v>323</v>
      </c>
      <c r="E257" s="2" t="s">
        <v>312</v>
      </c>
      <c r="F257" s="2" t="s">
        <v>641</v>
      </c>
      <c r="G257" s="2">
        <v>3</v>
      </c>
      <c r="H257" s="2" t="s">
        <v>45</v>
      </c>
      <c r="I257" s="2">
        <v>8</v>
      </c>
      <c r="J257" s="2" t="s">
        <v>314</v>
      </c>
      <c r="K257" s="2" t="s">
        <v>315</v>
      </c>
      <c r="L257" s="2" t="s">
        <v>316</v>
      </c>
      <c r="M257" s="2" t="s">
        <v>317</v>
      </c>
      <c r="N257" s="2" t="s">
        <v>325</v>
      </c>
      <c r="O257" s="2">
        <v>10944</v>
      </c>
      <c r="P257" s="2" t="s">
        <v>199</v>
      </c>
      <c r="Q257" s="2" t="s">
        <v>326</v>
      </c>
      <c r="R257" s="2" t="s">
        <v>435</v>
      </c>
      <c r="S257" s="2">
        <v>-4.61805555555555</v>
      </c>
      <c r="T257" s="2">
        <v>10948.6180555555</v>
      </c>
      <c r="U257" s="2">
        <v>11556.874614197501</v>
      </c>
      <c r="V257" s="2">
        <v>1444.6093267746901</v>
      </c>
      <c r="W257" s="2">
        <v>10112.265287422801</v>
      </c>
      <c r="X257" s="2" t="s">
        <v>40</v>
      </c>
      <c r="Y257" s="2"/>
      <c r="Z257" s="2" t="s">
        <v>320</v>
      </c>
      <c r="AA257" s="2" t="b">
        <v>1</v>
      </c>
      <c r="AB257" s="2" t="b">
        <v>1</v>
      </c>
      <c r="AC257" s="2" t="b">
        <v>0</v>
      </c>
    </row>
    <row r="258" spans="1:29">
      <c r="A258" s="2" t="s">
        <v>642</v>
      </c>
      <c r="B258" s="2" t="s">
        <v>309</v>
      </c>
      <c r="C258" s="2" t="s">
        <v>643</v>
      </c>
      <c r="D258" s="2" t="s">
        <v>311</v>
      </c>
      <c r="E258" s="2" t="s">
        <v>312</v>
      </c>
      <c r="F258" s="2" t="s">
        <v>644</v>
      </c>
      <c r="G258" s="2">
        <v>0</v>
      </c>
      <c r="H258" s="2" t="s">
        <v>51</v>
      </c>
      <c r="I258" s="2">
        <v>0</v>
      </c>
      <c r="J258" s="2" t="s">
        <v>314</v>
      </c>
      <c r="K258" s="2" t="s">
        <v>315</v>
      </c>
      <c r="L258" s="2" t="s">
        <v>316</v>
      </c>
      <c r="M258" s="2" t="s">
        <v>381</v>
      </c>
      <c r="N258" s="2" t="s">
        <v>382</v>
      </c>
      <c r="O258" s="2">
        <v>3888</v>
      </c>
      <c r="P258" s="2" t="s">
        <v>205</v>
      </c>
      <c r="Q258" s="2" t="s">
        <v>200</v>
      </c>
      <c r="R258" s="2" t="s">
        <v>383</v>
      </c>
      <c r="S258" s="2">
        <v>4860</v>
      </c>
      <c r="T258" s="2">
        <v>-972</v>
      </c>
      <c r="U258" s="2">
        <v>0</v>
      </c>
      <c r="V258" s="2">
        <v>0</v>
      </c>
      <c r="W258" s="2">
        <v>0</v>
      </c>
      <c r="X258" s="2" t="s">
        <v>42</v>
      </c>
      <c r="Y258" s="2"/>
      <c r="Z258" s="2" t="s">
        <v>384</v>
      </c>
      <c r="AA258" s="2" t="b">
        <v>1</v>
      </c>
      <c r="AB258" s="2" t="b">
        <v>1</v>
      </c>
      <c r="AC258" s="2" t="b">
        <v>0</v>
      </c>
    </row>
    <row r="259" spans="1:29">
      <c r="A259" s="2" t="s">
        <v>645</v>
      </c>
      <c r="B259" s="2" t="s">
        <v>309</v>
      </c>
      <c r="C259" s="2" t="s">
        <v>646</v>
      </c>
      <c r="D259" s="2" t="s">
        <v>323</v>
      </c>
      <c r="E259" s="2" t="s">
        <v>312</v>
      </c>
      <c r="F259" s="2" t="s">
        <v>647</v>
      </c>
      <c r="G259" s="2">
        <v>3</v>
      </c>
      <c r="H259" s="2" t="s">
        <v>32</v>
      </c>
      <c r="I259" s="2">
        <v>2</v>
      </c>
      <c r="J259" s="2" t="s">
        <v>314</v>
      </c>
      <c r="K259" s="2" t="s">
        <v>315</v>
      </c>
      <c r="L259" s="2" t="s">
        <v>316</v>
      </c>
      <c r="M259" s="2" t="s">
        <v>317</v>
      </c>
      <c r="N259" s="2" t="s">
        <v>325</v>
      </c>
      <c r="O259" s="2">
        <v>4896</v>
      </c>
      <c r="P259" s="2" t="s">
        <v>205</v>
      </c>
      <c r="Q259" s="2" t="s">
        <v>326</v>
      </c>
      <c r="R259" s="2" t="s">
        <v>327</v>
      </c>
      <c r="S259" s="2">
        <v>0.64930555555555503</v>
      </c>
      <c r="T259" s="2">
        <v>4895.3506944444398</v>
      </c>
      <c r="U259" s="2">
        <v>4963.3416763117202</v>
      </c>
      <c r="V259" s="2">
        <v>620.41770953896605</v>
      </c>
      <c r="W259" s="2">
        <v>4342.9239667727597</v>
      </c>
      <c r="X259" s="2" t="s">
        <v>40</v>
      </c>
      <c r="Y259" s="2"/>
      <c r="Z259" s="2" t="s">
        <v>320</v>
      </c>
      <c r="AA259" s="2" t="b">
        <v>1</v>
      </c>
      <c r="AB259" s="2" t="b">
        <v>1</v>
      </c>
      <c r="AC259" s="2" t="b">
        <v>0</v>
      </c>
    </row>
    <row r="260" spans="1:29">
      <c r="A260" s="2" t="s">
        <v>648</v>
      </c>
      <c r="B260" s="2" t="s">
        <v>309</v>
      </c>
      <c r="C260" s="2" t="s">
        <v>649</v>
      </c>
      <c r="D260" s="2" t="s">
        <v>311</v>
      </c>
      <c r="E260" s="2" t="s">
        <v>312</v>
      </c>
      <c r="F260" s="2" t="s">
        <v>650</v>
      </c>
      <c r="G260" s="2">
        <v>0</v>
      </c>
      <c r="H260" s="2" t="s">
        <v>51</v>
      </c>
      <c r="I260" s="2">
        <v>0</v>
      </c>
      <c r="J260" s="2" t="s">
        <v>314</v>
      </c>
      <c r="K260" s="2" t="s">
        <v>315</v>
      </c>
      <c r="L260" s="2" t="s">
        <v>316</v>
      </c>
      <c r="M260" s="2" t="s">
        <v>381</v>
      </c>
      <c r="N260" s="2" t="s">
        <v>382</v>
      </c>
      <c r="O260" s="2">
        <v>5508</v>
      </c>
      <c r="P260" s="2" t="s">
        <v>205</v>
      </c>
      <c r="Q260" s="2" t="s">
        <v>200</v>
      </c>
      <c r="R260" s="2" t="s">
        <v>383</v>
      </c>
      <c r="S260" s="2">
        <v>6885</v>
      </c>
      <c r="T260" s="2">
        <v>-1377</v>
      </c>
      <c r="U260" s="2">
        <v>0</v>
      </c>
      <c r="V260" s="2">
        <v>0</v>
      </c>
      <c r="W260" s="2">
        <v>0</v>
      </c>
      <c r="X260" s="2" t="s">
        <v>42</v>
      </c>
      <c r="Y260" s="2"/>
      <c r="Z260" s="2" t="s">
        <v>384</v>
      </c>
      <c r="AA260" s="2" t="b">
        <v>1</v>
      </c>
      <c r="AB260" s="2" t="b">
        <v>1</v>
      </c>
      <c r="AC260" s="2" t="b">
        <v>0</v>
      </c>
    </row>
    <row r="261" spans="1:29">
      <c r="A261" s="2" t="s">
        <v>651</v>
      </c>
      <c r="B261" s="2" t="s">
        <v>309</v>
      </c>
      <c r="C261" s="2" t="s">
        <v>652</v>
      </c>
      <c r="D261" s="2" t="s">
        <v>311</v>
      </c>
      <c r="E261" s="2" t="s">
        <v>312</v>
      </c>
      <c r="F261" s="2" t="s">
        <v>653</v>
      </c>
      <c r="G261" s="2">
        <v>0</v>
      </c>
      <c r="H261" s="2" t="s">
        <v>51</v>
      </c>
      <c r="I261" s="2">
        <v>0</v>
      </c>
      <c r="J261" s="2" t="s">
        <v>314</v>
      </c>
      <c r="K261" s="2" t="s">
        <v>315</v>
      </c>
      <c r="L261" s="2" t="s">
        <v>316</v>
      </c>
      <c r="M261" s="2" t="s">
        <v>381</v>
      </c>
      <c r="N261" s="2" t="s">
        <v>382</v>
      </c>
      <c r="O261" s="2">
        <v>7776</v>
      </c>
      <c r="P261" s="2" t="s">
        <v>205</v>
      </c>
      <c r="Q261" s="2" t="s">
        <v>200</v>
      </c>
      <c r="R261" s="2" t="s">
        <v>383</v>
      </c>
      <c r="S261" s="2">
        <v>9720</v>
      </c>
      <c r="T261" s="2">
        <v>-1944</v>
      </c>
      <c r="U261" s="2">
        <v>0</v>
      </c>
      <c r="V261" s="2">
        <v>0</v>
      </c>
      <c r="W261" s="2">
        <v>0</v>
      </c>
      <c r="X261" s="2" t="s">
        <v>42</v>
      </c>
      <c r="Y261" s="2"/>
      <c r="Z261" s="2" t="s">
        <v>384</v>
      </c>
      <c r="AA261" s="2" t="b">
        <v>1</v>
      </c>
      <c r="AB261" s="2" t="b">
        <v>1</v>
      </c>
      <c r="AC261" s="2" t="b">
        <v>0</v>
      </c>
    </row>
    <row r="262" spans="1:29">
      <c r="A262" s="2" t="s">
        <v>654</v>
      </c>
      <c r="B262" s="2" t="s">
        <v>309</v>
      </c>
      <c r="C262" s="2" t="s">
        <v>655</v>
      </c>
      <c r="D262" s="2" t="s">
        <v>323</v>
      </c>
      <c r="E262" s="2" t="s">
        <v>312</v>
      </c>
      <c r="F262" s="2" t="s">
        <v>656</v>
      </c>
      <c r="G262" s="2">
        <v>3</v>
      </c>
      <c r="H262" s="2" t="s">
        <v>51</v>
      </c>
      <c r="I262" s="2">
        <v>0</v>
      </c>
      <c r="J262" s="2" t="s">
        <v>314</v>
      </c>
      <c r="K262" s="2" t="s">
        <v>315</v>
      </c>
      <c r="L262" s="2" t="s">
        <v>316</v>
      </c>
      <c r="M262" s="2" t="s">
        <v>317</v>
      </c>
      <c r="N262" s="2" t="s">
        <v>325</v>
      </c>
      <c r="O262" s="2">
        <v>5904</v>
      </c>
      <c r="P262" s="2" t="s">
        <v>205</v>
      </c>
      <c r="Q262" s="2" t="s">
        <v>326</v>
      </c>
      <c r="R262" s="2" t="s">
        <v>331</v>
      </c>
      <c r="S262" s="2">
        <v>3.6302083333333299</v>
      </c>
      <c r="T262" s="2">
        <v>5900.3697916666597</v>
      </c>
      <c r="U262" s="2">
        <v>5900.3697916666597</v>
      </c>
      <c r="V262" s="2">
        <v>737.54622395833303</v>
      </c>
      <c r="W262" s="2">
        <v>5162.8235677083303</v>
      </c>
      <c r="X262" s="2" t="s">
        <v>40</v>
      </c>
      <c r="Y262" s="2"/>
      <c r="Z262" s="2" t="s">
        <v>320</v>
      </c>
      <c r="AA262" s="2" t="b">
        <v>1</v>
      </c>
      <c r="AB262" s="2" t="b">
        <v>1</v>
      </c>
      <c r="AC262" s="2" t="b">
        <v>0</v>
      </c>
    </row>
    <row r="263" spans="1:29">
      <c r="A263" s="2" t="s">
        <v>657</v>
      </c>
      <c r="B263" s="2" t="s">
        <v>309</v>
      </c>
      <c r="C263" s="2" t="s">
        <v>658</v>
      </c>
      <c r="D263" s="2" t="s">
        <v>323</v>
      </c>
      <c r="E263" s="2" t="s">
        <v>312</v>
      </c>
      <c r="F263" s="2" t="s">
        <v>659</v>
      </c>
      <c r="G263" s="2">
        <v>3</v>
      </c>
      <c r="H263" s="2" t="s">
        <v>45</v>
      </c>
      <c r="I263" s="2">
        <v>2</v>
      </c>
      <c r="J263" s="2" t="s">
        <v>314</v>
      </c>
      <c r="K263" s="2" t="s">
        <v>315</v>
      </c>
      <c r="L263" s="2" t="s">
        <v>316</v>
      </c>
      <c r="M263" s="2" t="s">
        <v>317</v>
      </c>
      <c r="N263" s="2" t="s">
        <v>325</v>
      </c>
      <c r="O263" s="2">
        <v>6516</v>
      </c>
      <c r="P263" s="2" t="s">
        <v>199</v>
      </c>
      <c r="Q263" s="2" t="s">
        <v>326</v>
      </c>
      <c r="R263" s="2" t="s">
        <v>327</v>
      </c>
      <c r="S263" s="2">
        <v>-0.86414930555555503</v>
      </c>
      <c r="T263" s="2">
        <v>6516.8641493055502</v>
      </c>
      <c r="U263" s="2">
        <v>6607.3761513792397</v>
      </c>
      <c r="V263" s="2">
        <v>825.92201892240496</v>
      </c>
      <c r="W263" s="2">
        <v>5781.4541324568299</v>
      </c>
      <c r="X263" s="2" t="s">
        <v>40</v>
      </c>
      <c r="Y263" s="2"/>
      <c r="Z263" s="2" t="s">
        <v>320</v>
      </c>
      <c r="AA263" s="2" t="b">
        <v>1</v>
      </c>
      <c r="AB263" s="2" t="b">
        <v>1</v>
      </c>
      <c r="AC263" s="2" t="b">
        <v>0</v>
      </c>
    </row>
    <row r="264" spans="1:29">
      <c r="A264" s="2" t="s">
        <v>660</v>
      </c>
      <c r="B264" s="2" t="s">
        <v>309</v>
      </c>
      <c r="C264" s="2" t="s">
        <v>661</v>
      </c>
      <c r="D264" s="2" t="s">
        <v>323</v>
      </c>
      <c r="E264" s="2" t="s">
        <v>312</v>
      </c>
      <c r="F264" s="2" t="s">
        <v>662</v>
      </c>
      <c r="G264" s="2">
        <v>3</v>
      </c>
      <c r="H264" s="2" t="s">
        <v>45</v>
      </c>
      <c r="I264" s="2">
        <v>2</v>
      </c>
      <c r="J264" s="2" t="s">
        <v>314</v>
      </c>
      <c r="K264" s="2" t="s">
        <v>315</v>
      </c>
      <c r="L264" s="2" t="s">
        <v>316</v>
      </c>
      <c r="M264" s="2" t="s">
        <v>317</v>
      </c>
      <c r="N264" s="2" t="s">
        <v>325</v>
      </c>
      <c r="O264" s="2">
        <v>8784</v>
      </c>
      <c r="P264" s="2" t="s">
        <v>199</v>
      </c>
      <c r="Q264" s="2" t="s">
        <v>326</v>
      </c>
      <c r="R264" s="2" t="s">
        <v>327</v>
      </c>
      <c r="S264" s="2">
        <v>-1.16493055555555</v>
      </c>
      <c r="T264" s="2">
        <v>8785.1649305555493</v>
      </c>
      <c r="U264" s="2">
        <v>8907.1811101465992</v>
      </c>
      <c r="V264" s="2">
        <v>1113.3976387683199</v>
      </c>
      <c r="W264" s="2">
        <v>7793.7834713782704</v>
      </c>
      <c r="X264" s="2" t="s">
        <v>40</v>
      </c>
      <c r="Y264" s="2"/>
      <c r="Z264" s="2" t="s">
        <v>320</v>
      </c>
      <c r="AA264" s="2" t="b">
        <v>1</v>
      </c>
      <c r="AB264" s="2" t="b">
        <v>1</v>
      </c>
      <c r="AC264" s="2" t="b">
        <v>0</v>
      </c>
    </row>
    <row r="265" spans="1:29">
      <c r="A265" s="2" t="s">
        <v>663</v>
      </c>
      <c r="B265" s="2" t="s">
        <v>309</v>
      </c>
      <c r="C265" s="2" t="s">
        <v>664</v>
      </c>
      <c r="D265" s="2" t="s">
        <v>311</v>
      </c>
      <c r="E265" s="2" t="s">
        <v>312</v>
      </c>
      <c r="F265" s="2" t="s">
        <v>665</v>
      </c>
      <c r="G265" s="2">
        <v>0</v>
      </c>
      <c r="H265" s="2" t="s">
        <v>45</v>
      </c>
      <c r="I265" s="2">
        <v>3</v>
      </c>
      <c r="J265" s="2" t="s">
        <v>314</v>
      </c>
      <c r="K265" s="2" t="s">
        <v>315</v>
      </c>
      <c r="L265" s="2" t="s">
        <v>316</v>
      </c>
      <c r="M265" s="2" t="s">
        <v>317</v>
      </c>
      <c r="N265" s="2" t="s">
        <v>325</v>
      </c>
      <c r="O265" s="2">
        <v>7128</v>
      </c>
      <c r="P265" s="2" t="s">
        <v>199</v>
      </c>
      <c r="Q265" s="2" t="s">
        <v>200</v>
      </c>
      <c r="R265" s="2" t="s">
        <v>415</v>
      </c>
      <c r="S265" s="2">
        <v>-3564</v>
      </c>
      <c r="T265" s="2">
        <v>10692</v>
      </c>
      <c r="U265" s="2">
        <v>10914.75</v>
      </c>
      <c r="V265" s="2">
        <v>1364.34375</v>
      </c>
      <c r="W265" s="2">
        <v>9550.40625</v>
      </c>
      <c r="X265" s="2" t="s">
        <v>40</v>
      </c>
      <c r="Y265" s="2"/>
      <c r="Z265" s="2" t="s">
        <v>320</v>
      </c>
      <c r="AA265" s="2" t="b">
        <v>1</v>
      </c>
      <c r="AB265" s="2" t="b">
        <v>1</v>
      </c>
      <c r="AC265" s="2" t="b">
        <v>0</v>
      </c>
    </row>
    <row r="266" spans="1:29">
      <c r="A266" s="2" t="s">
        <v>666</v>
      </c>
      <c r="B266" s="2" t="s">
        <v>309</v>
      </c>
      <c r="C266" s="2" t="s">
        <v>667</v>
      </c>
      <c r="D266" s="2" t="s">
        <v>311</v>
      </c>
      <c r="E266" s="2" t="s">
        <v>312</v>
      </c>
      <c r="F266" s="2" t="s">
        <v>668</v>
      </c>
      <c r="G266" s="2">
        <v>0</v>
      </c>
      <c r="H266" s="2" t="s">
        <v>45</v>
      </c>
      <c r="I266" s="2">
        <v>3</v>
      </c>
      <c r="J266" s="2" t="s">
        <v>314</v>
      </c>
      <c r="K266" s="2" t="s">
        <v>315</v>
      </c>
      <c r="L266" s="2" t="s">
        <v>316</v>
      </c>
      <c r="M266" s="2" t="s">
        <v>317</v>
      </c>
      <c r="N266" s="2" t="s">
        <v>325</v>
      </c>
      <c r="O266" s="2">
        <v>9396</v>
      </c>
      <c r="P266" s="2" t="s">
        <v>199</v>
      </c>
      <c r="Q266" s="2" t="s">
        <v>200</v>
      </c>
      <c r="R266" s="2" t="s">
        <v>415</v>
      </c>
      <c r="S266" s="2">
        <v>-4698</v>
      </c>
      <c r="T266" s="2">
        <v>14094</v>
      </c>
      <c r="U266" s="2">
        <v>14387.625</v>
      </c>
      <c r="V266" s="2">
        <v>1798.453125</v>
      </c>
      <c r="W266" s="2">
        <v>12589.171875</v>
      </c>
      <c r="X266" s="2" t="s">
        <v>40</v>
      </c>
      <c r="Y266" s="2"/>
      <c r="Z266" s="2" t="s">
        <v>320</v>
      </c>
      <c r="AA266" s="2" t="b">
        <v>1</v>
      </c>
      <c r="AB266" s="2" t="b">
        <v>1</v>
      </c>
      <c r="AC266" s="2" t="b">
        <v>0</v>
      </c>
    </row>
    <row r="267" spans="1:29">
      <c r="A267" s="2" t="s">
        <v>669</v>
      </c>
      <c r="B267" s="2" t="s">
        <v>309</v>
      </c>
      <c r="C267" s="2" t="s">
        <v>670</v>
      </c>
      <c r="D267" s="2" t="s">
        <v>311</v>
      </c>
      <c r="E267" s="2" t="s">
        <v>312</v>
      </c>
      <c r="F267" s="2" t="s">
        <v>671</v>
      </c>
      <c r="G267" s="2">
        <v>0</v>
      </c>
      <c r="H267" s="2" t="s">
        <v>45</v>
      </c>
      <c r="I267" s="2">
        <v>6</v>
      </c>
      <c r="J267" s="2" t="s">
        <v>314</v>
      </c>
      <c r="K267" s="2" t="s">
        <v>315</v>
      </c>
      <c r="L267" s="2" t="s">
        <v>316</v>
      </c>
      <c r="M267" s="2" t="s">
        <v>317</v>
      </c>
      <c r="N267" s="2" t="s">
        <v>325</v>
      </c>
      <c r="O267" s="2">
        <v>11664</v>
      </c>
      <c r="P267" s="2" t="s">
        <v>199</v>
      </c>
      <c r="Q267" s="2" t="s">
        <v>200</v>
      </c>
      <c r="R267" s="2" t="s">
        <v>589</v>
      </c>
      <c r="S267" s="2">
        <v>-8748</v>
      </c>
      <c r="T267" s="2">
        <v>20412</v>
      </c>
      <c r="U267" s="2">
        <v>21262.5</v>
      </c>
      <c r="V267" s="2">
        <v>2657.8125</v>
      </c>
      <c r="W267" s="2">
        <v>18604.6875</v>
      </c>
      <c r="X267" s="2" t="s">
        <v>40</v>
      </c>
      <c r="Y267" s="2"/>
      <c r="Z267" s="2" t="s">
        <v>320</v>
      </c>
      <c r="AA267" s="2" t="b">
        <v>1</v>
      </c>
      <c r="AB267" s="2" t="b">
        <v>1</v>
      </c>
      <c r="AC267" s="2" t="b">
        <v>0</v>
      </c>
    </row>
    <row r="268" spans="1:29">
      <c r="A268" s="2" t="s">
        <v>672</v>
      </c>
      <c r="B268" s="2" t="s">
        <v>309</v>
      </c>
      <c r="C268" s="2" t="s">
        <v>673</v>
      </c>
      <c r="D268" s="2" t="s">
        <v>311</v>
      </c>
      <c r="E268" s="2" t="s">
        <v>312</v>
      </c>
      <c r="F268" s="2" t="s">
        <v>674</v>
      </c>
      <c r="G268" s="2">
        <v>0</v>
      </c>
      <c r="H268" s="2" t="s">
        <v>32</v>
      </c>
      <c r="I268" s="2">
        <v>2</v>
      </c>
      <c r="J268" s="2" t="s">
        <v>314</v>
      </c>
      <c r="K268" s="2" t="s">
        <v>315</v>
      </c>
      <c r="L268" s="2" t="s">
        <v>316</v>
      </c>
      <c r="M268" s="2" t="s">
        <v>317</v>
      </c>
      <c r="N268" s="2" t="s">
        <v>318</v>
      </c>
      <c r="O268" s="2">
        <v>6912</v>
      </c>
      <c r="P268" s="2" t="s">
        <v>205</v>
      </c>
      <c r="Q268" s="2" t="s">
        <v>200</v>
      </c>
      <c r="R268" s="2" t="s">
        <v>394</v>
      </c>
      <c r="S268" s="2">
        <v>2880</v>
      </c>
      <c r="T268" s="2">
        <v>4032</v>
      </c>
      <c r="U268" s="2">
        <v>4088</v>
      </c>
      <c r="V268" s="2">
        <v>511</v>
      </c>
      <c r="W268" s="2">
        <v>3577</v>
      </c>
      <c r="X268" s="2" t="s">
        <v>40</v>
      </c>
      <c r="Y268" s="2"/>
      <c r="Z268" s="2" t="s">
        <v>320</v>
      </c>
      <c r="AA268" s="2" t="b">
        <v>1</v>
      </c>
      <c r="AB268" s="2" t="b">
        <v>1</v>
      </c>
      <c r="AC268" s="2" t="b">
        <v>1</v>
      </c>
    </row>
    <row r="269" spans="1:29">
      <c r="A269" s="2" t="s">
        <v>675</v>
      </c>
      <c r="B269" s="2" t="s">
        <v>309</v>
      </c>
      <c r="C269" s="2" t="s">
        <v>676</v>
      </c>
      <c r="D269" s="2" t="s">
        <v>323</v>
      </c>
      <c r="E269" s="2" t="s">
        <v>312</v>
      </c>
      <c r="F269" s="2" t="s">
        <v>677</v>
      </c>
      <c r="G269" s="2">
        <v>3</v>
      </c>
      <c r="H269" s="2" t="s">
        <v>51</v>
      </c>
      <c r="I269" s="2">
        <v>0</v>
      </c>
      <c r="J269" s="2" t="s">
        <v>314</v>
      </c>
      <c r="K269" s="2" t="s">
        <v>315</v>
      </c>
      <c r="L269" s="2" t="s">
        <v>316</v>
      </c>
      <c r="M269" s="2" t="s">
        <v>317</v>
      </c>
      <c r="N269" s="2" t="s">
        <v>325</v>
      </c>
      <c r="O269" s="2">
        <v>7524</v>
      </c>
      <c r="P269" s="2" t="s">
        <v>205</v>
      </c>
      <c r="Q269" s="2" t="s">
        <v>326</v>
      </c>
      <c r="R269" s="2" t="s">
        <v>331</v>
      </c>
      <c r="S269" s="2">
        <v>4.6263020833333304</v>
      </c>
      <c r="T269" s="2">
        <v>7519.3736979166597</v>
      </c>
      <c r="U269" s="2">
        <v>7519.3736979166597</v>
      </c>
      <c r="V269" s="2">
        <v>939.92171223958303</v>
      </c>
      <c r="W269" s="2">
        <v>6579.4519856770803</v>
      </c>
      <c r="X269" s="2" t="s">
        <v>40</v>
      </c>
      <c r="Y269" s="2"/>
      <c r="Z269" s="2" t="s">
        <v>320</v>
      </c>
      <c r="AA269" s="2" t="b">
        <v>1</v>
      </c>
      <c r="AB269" s="2" t="b">
        <v>1</v>
      </c>
      <c r="AC269" s="2" t="b">
        <v>0</v>
      </c>
    </row>
    <row r="270" spans="1:29">
      <c r="A270" s="2" t="s">
        <v>678</v>
      </c>
      <c r="B270" s="2" t="s">
        <v>309</v>
      </c>
      <c r="C270" s="2" t="s">
        <v>679</v>
      </c>
      <c r="D270" s="2" t="s">
        <v>323</v>
      </c>
      <c r="E270" s="2" t="s">
        <v>312</v>
      </c>
      <c r="F270" s="2" t="s">
        <v>680</v>
      </c>
      <c r="G270" s="2">
        <v>3</v>
      </c>
      <c r="H270" s="2" t="s">
        <v>51</v>
      </c>
      <c r="I270" s="2">
        <v>0</v>
      </c>
      <c r="J270" s="2" t="s">
        <v>314</v>
      </c>
      <c r="K270" s="2" t="s">
        <v>315</v>
      </c>
      <c r="L270" s="2" t="s">
        <v>316</v>
      </c>
      <c r="M270" s="2" t="s">
        <v>317</v>
      </c>
      <c r="N270" s="2" t="s">
        <v>325</v>
      </c>
      <c r="O270" s="2">
        <v>9792</v>
      </c>
      <c r="P270" s="2" t="s">
        <v>205</v>
      </c>
      <c r="Q270" s="2" t="s">
        <v>326</v>
      </c>
      <c r="R270" s="2" t="s">
        <v>331</v>
      </c>
      <c r="S270" s="2">
        <v>6.0208333333333304</v>
      </c>
      <c r="T270" s="2">
        <v>9785.9791666666606</v>
      </c>
      <c r="U270" s="2">
        <v>9785.9791666666606</v>
      </c>
      <c r="V270" s="2">
        <v>1223.2473958333301</v>
      </c>
      <c r="W270" s="2">
        <v>8562.7317708333303</v>
      </c>
      <c r="X270" s="2" t="s">
        <v>40</v>
      </c>
      <c r="Y270" s="2"/>
      <c r="Z270" s="2" t="s">
        <v>320</v>
      </c>
      <c r="AA270" s="2" t="b">
        <v>1</v>
      </c>
      <c r="AB270" s="2" t="b">
        <v>1</v>
      </c>
      <c r="AC270" s="2" t="b">
        <v>0</v>
      </c>
    </row>
    <row r="271" spans="1:29">
      <c r="A271" s="2" t="s">
        <v>681</v>
      </c>
      <c r="B271" s="2" t="s">
        <v>309</v>
      </c>
      <c r="C271" s="2" t="s">
        <v>682</v>
      </c>
      <c r="D271" s="2" t="s">
        <v>323</v>
      </c>
      <c r="E271" s="2" t="s">
        <v>312</v>
      </c>
      <c r="F271" s="2" t="s">
        <v>683</v>
      </c>
      <c r="G271" s="2">
        <v>3</v>
      </c>
      <c r="H271" s="2" t="s">
        <v>45</v>
      </c>
      <c r="I271" s="2">
        <v>1</v>
      </c>
      <c r="J271" s="2" t="s">
        <v>314</v>
      </c>
      <c r="K271" s="2" t="s">
        <v>315</v>
      </c>
      <c r="L271" s="2" t="s">
        <v>316</v>
      </c>
      <c r="M271" s="2" t="s">
        <v>317</v>
      </c>
      <c r="N271" s="2" t="s">
        <v>325</v>
      </c>
      <c r="O271" s="2">
        <v>8136</v>
      </c>
      <c r="P271" s="2" t="s">
        <v>199</v>
      </c>
      <c r="Q271" s="2" t="s">
        <v>326</v>
      </c>
      <c r="R271" s="2" t="s">
        <v>350</v>
      </c>
      <c r="S271" s="2">
        <v>-0.68663194444444398</v>
      </c>
      <c r="T271" s="2">
        <v>8136.6866319444398</v>
      </c>
      <c r="U271" s="2">
        <v>8193.1914002218291</v>
      </c>
      <c r="V271" s="2">
        <v>1024.14892502772</v>
      </c>
      <c r="W271" s="2">
        <v>7169.0424751941</v>
      </c>
      <c r="X271" s="2" t="s">
        <v>40</v>
      </c>
      <c r="Y271" s="2"/>
      <c r="Z271" s="2" t="s">
        <v>320</v>
      </c>
      <c r="AA271" s="2" t="b">
        <v>1</v>
      </c>
      <c r="AB271" s="2" t="b">
        <v>1</v>
      </c>
      <c r="AC271" s="2" t="b">
        <v>0</v>
      </c>
    </row>
    <row r="272" spans="1:29">
      <c r="A272" s="2" t="s">
        <v>684</v>
      </c>
      <c r="B272" s="2" t="s">
        <v>309</v>
      </c>
      <c r="C272" s="2" t="s">
        <v>685</v>
      </c>
      <c r="D272" s="2" t="s">
        <v>323</v>
      </c>
      <c r="E272" s="2" t="s">
        <v>312</v>
      </c>
      <c r="F272" s="2" t="s">
        <v>686</v>
      </c>
      <c r="G272" s="2">
        <v>3</v>
      </c>
      <c r="H272" s="2" t="s">
        <v>45</v>
      </c>
      <c r="I272" s="2">
        <v>1</v>
      </c>
      <c r="J272" s="2" t="s">
        <v>314</v>
      </c>
      <c r="K272" s="2" t="s">
        <v>315</v>
      </c>
      <c r="L272" s="2" t="s">
        <v>316</v>
      </c>
      <c r="M272" s="2" t="s">
        <v>317</v>
      </c>
      <c r="N272" s="2" t="s">
        <v>325</v>
      </c>
      <c r="O272" s="2">
        <v>10404</v>
      </c>
      <c r="P272" s="2" t="s">
        <v>199</v>
      </c>
      <c r="Q272" s="2" t="s">
        <v>326</v>
      </c>
      <c r="R272" s="2" t="s">
        <v>350</v>
      </c>
      <c r="S272" s="2">
        <v>-0.87803819444444398</v>
      </c>
      <c r="T272" s="2">
        <v>10404.8780381944</v>
      </c>
      <c r="U272" s="2">
        <v>10477.134135681899</v>
      </c>
      <c r="V272" s="2">
        <v>1309.6417669602299</v>
      </c>
      <c r="W272" s="2">
        <v>9167.4923687216597</v>
      </c>
      <c r="X272" s="2" t="s">
        <v>40</v>
      </c>
      <c r="Y272" s="2"/>
      <c r="Z272" s="2" t="s">
        <v>320</v>
      </c>
      <c r="AA272" s="2" t="b">
        <v>1</v>
      </c>
      <c r="AB272" s="2" t="b">
        <v>1</v>
      </c>
      <c r="AC272" s="2" t="b">
        <v>0</v>
      </c>
    </row>
    <row r="273" spans="1:29">
      <c r="A273" s="2" t="s">
        <v>687</v>
      </c>
      <c r="B273" s="2" t="s">
        <v>309</v>
      </c>
      <c r="C273" s="2" t="s">
        <v>688</v>
      </c>
      <c r="D273" s="2" t="s">
        <v>323</v>
      </c>
      <c r="E273" s="2" t="s">
        <v>312</v>
      </c>
      <c r="F273" s="2" t="s">
        <v>689</v>
      </c>
      <c r="G273" s="2">
        <v>3</v>
      </c>
      <c r="H273" s="2" t="s">
        <v>45</v>
      </c>
      <c r="I273" s="2">
        <v>4</v>
      </c>
      <c r="J273" s="2" t="s">
        <v>314</v>
      </c>
      <c r="K273" s="2" t="s">
        <v>315</v>
      </c>
      <c r="L273" s="2" t="s">
        <v>316</v>
      </c>
      <c r="M273" s="2" t="s">
        <v>317</v>
      </c>
      <c r="N273" s="2" t="s">
        <v>325</v>
      </c>
      <c r="O273" s="2">
        <v>12672</v>
      </c>
      <c r="P273" s="2" t="s">
        <v>199</v>
      </c>
      <c r="Q273" s="2" t="s">
        <v>326</v>
      </c>
      <c r="R273" s="2" t="s">
        <v>500</v>
      </c>
      <c r="S273" s="2">
        <v>-2.9027777777777701</v>
      </c>
      <c r="T273" s="2">
        <v>12674.902777777699</v>
      </c>
      <c r="U273" s="2">
        <v>13026.9834104938</v>
      </c>
      <c r="V273" s="2">
        <v>1628.37292631172</v>
      </c>
      <c r="W273" s="2">
        <v>11398.610484182</v>
      </c>
      <c r="X273" s="2" t="s">
        <v>40</v>
      </c>
      <c r="Y273" s="2"/>
      <c r="Z273" s="2" t="s">
        <v>320</v>
      </c>
      <c r="AA273" s="2" t="b">
        <v>1</v>
      </c>
      <c r="AB273" s="2" t="b">
        <v>1</v>
      </c>
      <c r="AC273" s="2" t="b">
        <v>0</v>
      </c>
    </row>
    <row r="274" spans="1:29">
      <c r="A274" s="2" t="s">
        <v>690</v>
      </c>
      <c r="B274" s="2" t="s">
        <v>309</v>
      </c>
      <c r="C274" s="2" t="s">
        <v>691</v>
      </c>
      <c r="D274" s="2" t="s">
        <v>311</v>
      </c>
      <c r="E274" s="2" t="s">
        <v>312</v>
      </c>
      <c r="F274" s="2" t="s">
        <v>692</v>
      </c>
      <c r="G274" s="2">
        <v>0</v>
      </c>
      <c r="H274" s="2" t="s">
        <v>51</v>
      </c>
      <c r="I274" s="2">
        <v>0</v>
      </c>
      <c r="J274" s="2" t="s">
        <v>314</v>
      </c>
      <c r="K274" s="2" t="s">
        <v>315</v>
      </c>
      <c r="L274" s="2" t="s">
        <v>316</v>
      </c>
      <c r="M274" s="2" t="s">
        <v>381</v>
      </c>
      <c r="N274" s="2" t="s">
        <v>382</v>
      </c>
      <c r="O274" s="2">
        <v>8748</v>
      </c>
      <c r="P274" s="2" t="s">
        <v>205</v>
      </c>
      <c r="Q274" s="2" t="s">
        <v>200</v>
      </c>
      <c r="R274" s="2" t="s">
        <v>383</v>
      </c>
      <c r="S274" s="2">
        <v>10935</v>
      </c>
      <c r="T274" s="2">
        <v>-2187</v>
      </c>
      <c r="U274" s="2">
        <v>0</v>
      </c>
      <c r="V274" s="2">
        <v>0</v>
      </c>
      <c r="W274" s="2">
        <v>0</v>
      </c>
      <c r="X274" s="2" t="s">
        <v>42</v>
      </c>
      <c r="Y274" s="2"/>
      <c r="Z274" s="2" t="s">
        <v>384</v>
      </c>
      <c r="AA274" s="2" t="b">
        <v>1</v>
      </c>
      <c r="AB274" s="2" t="b">
        <v>1</v>
      </c>
      <c r="AC274" s="2" t="b">
        <v>0</v>
      </c>
    </row>
    <row r="275" spans="1:29">
      <c r="A275" s="2" t="s">
        <v>693</v>
      </c>
      <c r="B275" s="2" t="s">
        <v>309</v>
      </c>
      <c r="C275" s="2" t="s">
        <v>694</v>
      </c>
      <c r="D275" s="2" t="s">
        <v>311</v>
      </c>
      <c r="E275" s="2" t="s">
        <v>312</v>
      </c>
      <c r="F275" s="2" t="s">
        <v>695</v>
      </c>
      <c r="G275" s="2">
        <v>0</v>
      </c>
      <c r="H275" s="2" t="s">
        <v>51</v>
      </c>
      <c r="I275" s="2">
        <v>0</v>
      </c>
      <c r="J275" s="2" t="s">
        <v>314</v>
      </c>
      <c r="K275" s="2" t="s">
        <v>315</v>
      </c>
      <c r="L275" s="2" t="s">
        <v>316</v>
      </c>
      <c r="M275" s="2" t="s">
        <v>381</v>
      </c>
      <c r="N275" s="2" t="s">
        <v>382</v>
      </c>
      <c r="O275" s="2">
        <v>11016</v>
      </c>
      <c r="P275" s="2" t="s">
        <v>205</v>
      </c>
      <c r="Q275" s="2" t="s">
        <v>200</v>
      </c>
      <c r="R275" s="2" t="s">
        <v>383</v>
      </c>
      <c r="S275" s="2">
        <v>13770</v>
      </c>
      <c r="T275" s="2">
        <v>-2754</v>
      </c>
      <c r="U275" s="2">
        <v>0</v>
      </c>
      <c r="V275" s="2">
        <v>0</v>
      </c>
      <c r="W275" s="2">
        <v>0</v>
      </c>
      <c r="X275" s="2" t="s">
        <v>42</v>
      </c>
      <c r="Y275" s="2"/>
      <c r="Z275" s="2" t="s">
        <v>384</v>
      </c>
      <c r="AA275" s="2" t="b">
        <v>1</v>
      </c>
      <c r="AB275" s="2" t="b">
        <v>1</v>
      </c>
      <c r="AC275" s="2" t="b">
        <v>0</v>
      </c>
    </row>
    <row r="276" spans="1:29">
      <c r="A276" s="2" t="s">
        <v>696</v>
      </c>
      <c r="B276" s="2" t="s">
        <v>309</v>
      </c>
      <c r="C276" s="2" t="s">
        <v>697</v>
      </c>
      <c r="D276" s="2" t="s">
        <v>311</v>
      </c>
      <c r="E276" s="2" t="s">
        <v>312</v>
      </c>
      <c r="F276" s="2" t="s">
        <v>698</v>
      </c>
      <c r="G276" s="2">
        <v>0</v>
      </c>
      <c r="H276" s="2" t="s">
        <v>45</v>
      </c>
      <c r="I276" s="2">
        <v>3</v>
      </c>
      <c r="J276" s="2" t="s">
        <v>314</v>
      </c>
      <c r="K276" s="2" t="s">
        <v>315</v>
      </c>
      <c r="L276" s="2" t="s">
        <v>316</v>
      </c>
      <c r="M276" s="2" t="s">
        <v>317</v>
      </c>
      <c r="N276" s="2" t="s">
        <v>325</v>
      </c>
      <c r="O276" s="2">
        <v>13284</v>
      </c>
      <c r="P276" s="2" t="s">
        <v>199</v>
      </c>
      <c r="Q276" s="2" t="s">
        <v>200</v>
      </c>
      <c r="R276" s="2" t="s">
        <v>415</v>
      </c>
      <c r="S276" s="2">
        <v>-6642</v>
      </c>
      <c r="T276" s="2">
        <v>19926</v>
      </c>
      <c r="U276" s="2">
        <v>20341.124999999902</v>
      </c>
      <c r="V276" s="2">
        <v>2542.64062499999</v>
      </c>
      <c r="W276" s="2">
        <v>17798.484374999902</v>
      </c>
      <c r="X276" s="2" t="s">
        <v>40</v>
      </c>
      <c r="Y276" s="2"/>
      <c r="Z276" s="2" t="s">
        <v>320</v>
      </c>
      <c r="AA276" s="2" t="b">
        <v>1</v>
      </c>
      <c r="AB276" s="2" t="b">
        <v>1</v>
      </c>
      <c r="AC276" s="2" t="b">
        <v>0</v>
      </c>
    </row>
    <row r="277" spans="1:29">
      <c r="A277" s="2" t="s">
        <v>699</v>
      </c>
      <c r="B277" s="2" t="s">
        <v>309</v>
      </c>
      <c r="C277" s="2" t="s">
        <v>700</v>
      </c>
      <c r="D277" s="2" t="s">
        <v>311</v>
      </c>
      <c r="E277" s="2" t="s">
        <v>312</v>
      </c>
      <c r="F277" s="2" t="s">
        <v>701</v>
      </c>
      <c r="G277" s="2">
        <v>0</v>
      </c>
      <c r="H277" s="2" t="s">
        <v>51</v>
      </c>
      <c r="I277" s="2">
        <v>0</v>
      </c>
      <c r="J277" s="2" t="s">
        <v>314</v>
      </c>
      <c r="K277" s="2" t="s">
        <v>315</v>
      </c>
      <c r="L277" s="2" t="s">
        <v>316</v>
      </c>
      <c r="M277" s="2" t="s">
        <v>381</v>
      </c>
      <c r="N277" s="2" t="s">
        <v>382</v>
      </c>
      <c r="O277" s="2">
        <v>15552</v>
      </c>
      <c r="P277" s="2" t="s">
        <v>205</v>
      </c>
      <c r="Q277" s="2" t="s">
        <v>200</v>
      </c>
      <c r="R277" s="2" t="s">
        <v>383</v>
      </c>
      <c r="S277" s="2">
        <v>19440</v>
      </c>
      <c r="T277" s="2">
        <v>-3888</v>
      </c>
      <c r="U277" s="2">
        <v>0</v>
      </c>
      <c r="V277" s="2">
        <v>0</v>
      </c>
      <c r="W277" s="2">
        <v>0</v>
      </c>
      <c r="X277" s="2" t="s">
        <v>42</v>
      </c>
      <c r="Y277" s="2"/>
      <c r="Z277" s="2" t="s">
        <v>384</v>
      </c>
      <c r="AA277" s="2" t="b">
        <v>1</v>
      </c>
      <c r="AB277" s="2" t="b">
        <v>1</v>
      </c>
      <c r="AC277" s="2" t="b">
        <v>0</v>
      </c>
    </row>
    <row r="278" spans="1:29">
      <c r="A278" s="2" t="s">
        <v>702</v>
      </c>
      <c r="B278" s="2" t="s">
        <v>309</v>
      </c>
      <c r="C278" s="2" t="s">
        <v>703</v>
      </c>
      <c r="D278" s="2" t="s">
        <v>704</v>
      </c>
      <c r="E278" s="2" t="s">
        <v>705</v>
      </c>
      <c r="F278" s="2" t="s">
        <v>706</v>
      </c>
      <c r="G278" s="2">
        <v>1</v>
      </c>
      <c r="H278" s="2" t="s">
        <v>51</v>
      </c>
      <c r="I278" s="2">
        <v>0</v>
      </c>
      <c r="J278" s="2" t="s">
        <v>707</v>
      </c>
      <c r="K278" s="2" t="s">
        <v>708</v>
      </c>
      <c r="L278" s="2" t="s">
        <v>709</v>
      </c>
      <c r="M278" s="2" t="s">
        <v>710</v>
      </c>
      <c r="N278" s="2" t="s">
        <v>711</v>
      </c>
      <c r="O278" s="2">
        <v>12</v>
      </c>
      <c r="P278" s="2" t="s">
        <v>205</v>
      </c>
      <c r="Q278" s="2" t="s">
        <v>243</v>
      </c>
      <c r="R278" s="2" t="s">
        <v>712</v>
      </c>
      <c r="S278" s="2">
        <v>1.25</v>
      </c>
      <c r="T278" s="2">
        <v>10.75</v>
      </c>
      <c r="U278" s="2">
        <v>10.75</v>
      </c>
      <c r="V278" s="2">
        <v>1.34375</v>
      </c>
      <c r="W278" s="2">
        <v>9.40625</v>
      </c>
      <c r="X278" s="2" t="s">
        <v>40</v>
      </c>
      <c r="Y278" s="2"/>
      <c r="Z278" s="2" t="s">
        <v>713</v>
      </c>
      <c r="AA278" s="2" t="b">
        <v>1</v>
      </c>
      <c r="AB278" s="2" t="b">
        <v>1</v>
      </c>
      <c r="AC278" s="2" t="b">
        <v>0</v>
      </c>
    </row>
    <row r="279" spans="1:29">
      <c r="A279" s="2" t="s">
        <v>714</v>
      </c>
      <c r="B279" s="2" t="s">
        <v>309</v>
      </c>
      <c r="C279" s="2" t="s">
        <v>715</v>
      </c>
      <c r="D279" s="2" t="s">
        <v>704</v>
      </c>
      <c r="E279" s="2" t="s">
        <v>705</v>
      </c>
      <c r="F279" s="2" t="s">
        <v>716</v>
      </c>
      <c r="G279" s="2">
        <v>3</v>
      </c>
      <c r="H279" s="2" t="s">
        <v>45</v>
      </c>
      <c r="I279" s="2">
        <v>1</v>
      </c>
      <c r="J279" s="2" t="s">
        <v>707</v>
      </c>
      <c r="K279" s="2" t="s">
        <v>708</v>
      </c>
      <c r="L279" s="2" t="s">
        <v>709</v>
      </c>
      <c r="M279" s="2" t="s">
        <v>710</v>
      </c>
      <c r="N279" s="2" t="s">
        <v>717</v>
      </c>
      <c r="O279" s="2">
        <v>27</v>
      </c>
      <c r="P279" s="2" t="s">
        <v>199</v>
      </c>
      <c r="Q279" s="2" t="s">
        <v>326</v>
      </c>
      <c r="R279" s="2" t="s">
        <v>718</v>
      </c>
      <c r="S279" s="2">
        <v>-5.2083333333333296E-3</v>
      </c>
      <c r="T279" s="2">
        <v>27.0052083333333</v>
      </c>
      <c r="U279" s="2">
        <v>27.192744502314799</v>
      </c>
      <c r="V279" s="2">
        <v>3.3990930627893499</v>
      </c>
      <c r="W279" s="2">
        <v>23.793651439525402</v>
      </c>
      <c r="X279" s="2" t="s">
        <v>40</v>
      </c>
      <c r="Y279" s="2"/>
      <c r="Z279" s="2" t="s">
        <v>713</v>
      </c>
      <c r="AA279" s="2" t="b">
        <v>1</v>
      </c>
      <c r="AB279" s="2" t="b">
        <v>1</v>
      </c>
      <c r="AC279" s="2" t="b">
        <v>0</v>
      </c>
    </row>
    <row r="280" spans="1:29">
      <c r="A280" s="2" t="s">
        <v>719</v>
      </c>
      <c r="B280" s="2" t="s">
        <v>309</v>
      </c>
      <c r="C280" s="2" t="s">
        <v>720</v>
      </c>
      <c r="D280" s="2" t="s">
        <v>704</v>
      </c>
      <c r="E280" s="2" t="s">
        <v>705</v>
      </c>
      <c r="F280" s="2" t="s">
        <v>721</v>
      </c>
      <c r="G280" s="2">
        <v>3</v>
      </c>
      <c r="H280" s="2" t="s">
        <v>45</v>
      </c>
      <c r="I280" s="2">
        <v>2</v>
      </c>
      <c r="J280" s="2" t="s">
        <v>707</v>
      </c>
      <c r="K280" s="2" t="s">
        <v>708</v>
      </c>
      <c r="L280" s="2" t="s">
        <v>709</v>
      </c>
      <c r="M280" s="2" t="s">
        <v>710</v>
      </c>
      <c r="N280" s="2" t="s">
        <v>717</v>
      </c>
      <c r="O280" s="2">
        <v>42</v>
      </c>
      <c r="P280" s="2" t="s">
        <v>199</v>
      </c>
      <c r="Q280" s="2" t="s">
        <v>326</v>
      </c>
      <c r="R280" s="2" t="s">
        <v>722</v>
      </c>
      <c r="S280" s="2">
        <v>-1.0127314814814801E-2</v>
      </c>
      <c r="T280" s="2">
        <v>42.010127314814802</v>
      </c>
      <c r="U280" s="2">
        <v>42.5936013052983</v>
      </c>
      <c r="V280" s="2">
        <v>5.3242001631622902</v>
      </c>
      <c r="W280" s="2">
        <v>37.269401142135997</v>
      </c>
      <c r="X280" s="2" t="s">
        <v>40</v>
      </c>
      <c r="Y280" s="2"/>
      <c r="Z280" s="2" t="s">
        <v>713</v>
      </c>
      <c r="AA280" s="2" t="b">
        <v>1</v>
      </c>
      <c r="AB280" s="2" t="b">
        <v>1</v>
      </c>
      <c r="AC280" s="2" t="b">
        <v>0</v>
      </c>
    </row>
    <row r="281" spans="1:29">
      <c r="A281" s="2" t="s">
        <v>723</v>
      </c>
      <c r="B281" s="2" t="s">
        <v>309</v>
      </c>
      <c r="C281" s="2" t="s">
        <v>724</v>
      </c>
      <c r="D281" s="2" t="s">
        <v>704</v>
      </c>
      <c r="E281" s="2" t="s">
        <v>705</v>
      </c>
      <c r="F281" s="2" t="s">
        <v>725</v>
      </c>
      <c r="G281" s="2">
        <v>3</v>
      </c>
      <c r="H281" s="2" t="s">
        <v>45</v>
      </c>
      <c r="I281" s="2">
        <v>3</v>
      </c>
      <c r="J281" s="2" t="s">
        <v>707</v>
      </c>
      <c r="K281" s="2" t="s">
        <v>708</v>
      </c>
      <c r="L281" s="2" t="s">
        <v>709</v>
      </c>
      <c r="M281" s="2" t="s">
        <v>710</v>
      </c>
      <c r="N281" s="2" t="s">
        <v>717</v>
      </c>
      <c r="O281" s="2">
        <v>57</v>
      </c>
      <c r="P281" s="2" t="s">
        <v>199</v>
      </c>
      <c r="Q281" s="2" t="s">
        <v>326</v>
      </c>
      <c r="R281" s="2" t="s">
        <v>726</v>
      </c>
      <c r="S281" s="2">
        <v>-1.64930555555555E-2</v>
      </c>
      <c r="T281" s="2">
        <v>57.0164930555555</v>
      </c>
      <c r="U281" s="2">
        <v>58.204336660879598</v>
      </c>
      <c r="V281" s="2">
        <v>7.2755420826099497</v>
      </c>
      <c r="W281" s="2">
        <v>50.928794578269603</v>
      </c>
      <c r="X281" s="2" t="s">
        <v>40</v>
      </c>
      <c r="Y281" s="2"/>
      <c r="Z281" s="2" t="s">
        <v>713</v>
      </c>
      <c r="AA281" s="2" t="b">
        <v>1</v>
      </c>
      <c r="AB281" s="2" t="b">
        <v>1</v>
      </c>
      <c r="AC281" s="2" t="b">
        <v>0</v>
      </c>
    </row>
    <row r="282" spans="1:29">
      <c r="A282" s="2" t="s">
        <v>727</v>
      </c>
      <c r="B282" s="2" t="s">
        <v>309</v>
      </c>
      <c r="C282" s="2" t="s">
        <v>728</v>
      </c>
      <c r="D282" s="2" t="s">
        <v>704</v>
      </c>
      <c r="E282" s="2" t="s">
        <v>705</v>
      </c>
      <c r="F282" s="2" t="s">
        <v>729</v>
      </c>
      <c r="G282" s="2">
        <v>3</v>
      </c>
      <c r="H282" s="2" t="s">
        <v>45</v>
      </c>
      <c r="I282" s="2">
        <v>5</v>
      </c>
      <c r="J282" s="2" t="s">
        <v>707</v>
      </c>
      <c r="K282" s="2" t="s">
        <v>708</v>
      </c>
      <c r="L282" s="2" t="s">
        <v>709</v>
      </c>
      <c r="M282" s="2" t="s">
        <v>710</v>
      </c>
      <c r="N282" s="2" t="s">
        <v>717</v>
      </c>
      <c r="O282" s="2">
        <v>87</v>
      </c>
      <c r="P282" s="2" t="s">
        <v>199</v>
      </c>
      <c r="Q282" s="2" t="s">
        <v>326</v>
      </c>
      <c r="R282" s="2" t="s">
        <v>730</v>
      </c>
      <c r="S282" s="2">
        <v>-3.3564814814814797E-2</v>
      </c>
      <c r="T282" s="2">
        <v>87.033564814814795</v>
      </c>
      <c r="U282" s="2">
        <v>90.055563593106896</v>
      </c>
      <c r="V282" s="2">
        <v>11.2569454491383</v>
      </c>
      <c r="W282" s="2">
        <v>78.798618143968596</v>
      </c>
      <c r="X282" s="2" t="s">
        <v>40</v>
      </c>
      <c r="Y282" s="2"/>
      <c r="Z282" s="2" t="s">
        <v>713</v>
      </c>
      <c r="AA282" s="2" t="b">
        <v>1</v>
      </c>
      <c r="AB282" s="2" t="b">
        <v>0</v>
      </c>
      <c r="AC282" s="2" t="b">
        <v>0</v>
      </c>
    </row>
    <row r="283" spans="1:29">
      <c r="A283" s="2" t="s">
        <v>731</v>
      </c>
      <c r="B283" s="2" t="s">
        <v>309</v>
      </c>
      <c r="C283" s="2" t="s">
        <v>732</v>
      </c>
      <c r="D283" s="2" t="s">
        <v>704</v>
      </c>
      <c r="E283" s="2" t="s">
        <v>705</v>
      </c>
      <c r="F283" s="2" t="s">
        <v>733</v>
      </c>
      <c r="G283" s="2">
        <v>3</v>
      </c>
      <c r="H283" s="2" t="s">
        <v>45</v>
      </c>
      <c r="I283" s="2">
        <v>7</v>
      </c>
      <c r="J283" s="2" t="s">
        <v>707</v>
      </c>
      <c r="K283" s="2" t="s">
        <v>708</v>
      </c>
      <c r="L283" s="2" t="s">
        <v>709</v>
      </c>
      <c r="M283" s="2" t="s">
        <v>710</v>
      </c>
      <c r="N283" s="2" t="s">
        <v>717</v>
      </c>
      <c r="O283" s="2">
        <v>117</v>
      </c>
      <c r="P283" s="2" t="s">
        <v>199</v>
      </c>
      <c r="Q283" s="2" t="s">
        <v>326</v>
      </c>
      <c r="R283" s="2" t="s">
        <v>734</v>
      </c>
      <c r="S283" s="2">
        <v>-5.6423611111111098E-2</v>
      </c>
      <c r="T283" s="2">
        <v>117.056423611111</v>
      </c>
      <c r="U283" s="2">
        <v>122.74666642554</v>
      </c>
      <c r="V283" s="2">
        <v>15.3433333031925</v>
      </c>
      <c r="W283" s="2">
        <v>107.40333312234699</v>
      </c>
      <c r="X283" s="2" t="s">
        <v>40</v>
      </c>
      <c r="Y283" s="2"/>
      <c r="Z283" s="2" t="s">
        <v>713</v>
      </c>
      <c r="AA283" s="2" t="b">
        <v>1</v>
      </c>
      <c r="AB283" s="2" t="b">
        <v>0</v>
      </c>
      <c r="AC283" s="2" t="b">
        <v>0</v>
      </c>
    </row>
    <row r="284" spans="1:29">
      <c r="A284" s="2" t="s">
        <v>735</v>
      </c>
      <c r="B284" s="2" t="s">
        <v>309</v>
      </c>
      <c r="C284" s="2" t="s">
        <v>736</v>
      </c>
      <c r="D284" s="2" t="s">
        <v>323</v>
      </c>
      <c r="E284" s="2" t="s">
        <v>705</v>
      </c>
      <c r="F284" s="2" t="s">
        <v>737</v>
      </c>
      <c r="G284" s="2">
        <v>3</v>
      </c>
      <c r="H284" s="2" t="s">
        <v>45</v>
      </c>
      <c r="I284" s="2">
        <v>8</v>
      </c>
      <c r="J284" s="2" t="s">
        <v>707</v>
      </c>
      <c r="K284" s="2" t="s">
        <v>708</v>
      </c>
      <c r="L284" s="2" t="s">
        <v>709</v>
      </c>
      <c r="M284" s="2" t="s">
        <v>710</v>
      </c>
      <c r="N284" s="2" t="s">
        <v>717</v>
      </c>
      <c r="O284" s="2">
        <v>132</v>
      </c>
      <c r="P284" s="2" t="s">
        <v>199</v>
      </c>
      <c r="Q284" s="2" t="s">
        <v>326</v>
      </c>
      <c r="R284" s="2" t="s">
        <v>435</v>
      </c>
      <c r="S284" s="2">
        <v>-5.5700231481481399E-2</v>
      </c>
      <c r="T284" s="2">
        <v>132.05570023148101</v>
      </c>
      <c r="U284" s="2">
        <v>139.39212802211901</v>
      </c>
      <c r="V284" s="2">
        <v>17.424016002764901</v>
      </c>
      <c r="W284" s="2">
        <v>121.968112019354</v>
      </c>
      <c r="X284" s="2" t="s">
        <v>40</v>
      </c>
      <c r="Y284" s="2"/>
      <c r="Z284" s="2" t="s">
        <v>713</v>
      </c>
      <c r="AA284" s="2" t="b">
        <v>1</v>
      </c>
      <c r="AB284" s="2" t="b">
        <v>1</v>
      </c>
      <c r="AC284" s="2" t="b">
        <v>0</v>
      </c>
    </row>
    <row r="285" spans="1:29">
      <c r="A285" s="2" t="s">
        <v>738</v>
      </c>
      <c r="B285" s="2" t="s">
        <v>174</v>
      </c>
      <c r="C285" s="2" t="s">
        <v>739</v>
      </c>
      <c r="D285" s="2" t="s">
        <v>323</v>
      </c>
      <c r="E285" s="2" t="s">
        <v>705</v>
      </c>
      <c r="F285" s="2" t="s">
        <v>740</v>
      </c>
      <c r="G285" s="2">
        <v>3</v>
      </c>
      <c r="H285" s="2" t="s">
        <v>45</v>
      </c>
      <c r="I285" s="2">
        <v>11</v>
      </c>
      <c r="J285" s="2" t="s">
        <v>707</v>
      </c>
      <c r="K285" s="2" t="s">
        <v>708</v>
      </c>
      <c r="L285" s="2" t="s">
        <v>709</v>
      </c>
      <c r="M285" s="2" t="s">
        <v>710</v>
      </c>
      <c r="N285" s="2" t="s">
        <v>741</v>
      </c>
      <c r="O285" s="2">
        <v>177</v>
      </c>
      <c r="P285" s="2" t="s">
        <v>199</v>
      </c>
      <c r="Q285" s="2" t="s">
        <v>326</v>
      </c>
      <c r="R285" s="2" t="s">
        <v>442</v>
      </c>
      <c r="S285" s="2">
        <v>-0.100296585648148</v>
      </c>
      <c r="T285" s="2">
        <v>177.10029658564801</v>
      </c>
      <c r="U285" s="2">
        <v>190.62879146371799</v>
      </c>
      <c r="V285" s="2">
        <v>23.828598932964798</v>
      </c>
      <c r="W285" s="2">
        <v>166.80019253075301</v>
      </c>
      <c r="X285" s="2" t="s">
        <v>40</v>
      </c>
      <c r="Y285" s="2"/>
      <c r="Z285" s="2" t="s">
        <v>713</v>
      </c>
      <c r="AA285" s="2" t="b">
        <v>1</v>
      </c>
      <c r="AB285" s="2" t="b">
        <v>0</v>
      </c>
      <c r="AC285" s="2" t="b">
        <v>0</v>
      </c>
    </row>
    <row r="286" spans="1:29">
      <c r="A286" s="2" t="s">
        <v>742</v>
      </c>
      <c r="B286" s="2" t="s">
        <v>309</v>
      </c>
      <c r="C286" s="2" t="s">
        <v>743</v>
      </c>
      <c r="D286" s="2" t="s">
        <v>704</v>
      </c>
      <c r="E286" s="2" t="s">
        <v>705</v>
      </c>
      <c r="F286" s="2" t="s">
        <v>744</v>
      </c>
      <c r="G286" s="2">
        <v>3</v>
      </c>
      <c r="H286" s="2" t="s">
        <v>32</v>
      </c>
      <c r="I286" s="2">
        <v>1</v>
      </c>
      <c r="J286" s="2" t="s">
        <v>707</v>
      </c>
      <c r="K286" s="2" t="s">
        <v>708</v>
      </c>
      <c r="L286" s="2" t="s">
        <v>709</v>
      </c>
      <c r="M286" s="2" t="s">
        <v>710</v>
      </c>
      <c r="N286" s="2" t="s">
        <v>717</v>
      </c>
      <c r="O286" s="2">
        <v>27</v>
      </c>
      <c r="P286" s="2" t="s">
        <v>205</v>
      </c>
      <c r="Q286" s="2" t="s">
        <v>326</v>
      </c>
      <c r="R286" s="2" t="s">
        <v>718</v>
      </c>
      <c r="S286" s="2">
        <v>5.2083333333333296E-3</v>
      </c>
      <c r="T286" s="2">
        <v>26.9947916666666</v>
      </c>
      <c r="U286" s="2">
        <v>27.182255497685102</v>
      </c>
      <c r="V286" s="2">
        <v>3.3977819372106399</v>
      </c>
      <c r="W286" s="2">
        <v>23.784473560474499</v>
      </c>
      <c r="X286" s="2" t="s">
        <v>40</v>
      </c>
      <c r="Y286" s="2"/>
      <c r="Z286" s="2" t="s">
        <v>713</v>
      </c>
      <c r="AA286" s="2" t="b">
        <v>1</v>
      </c>
      <c r="AB286" s="2" t="b">
        <v>1</v>
      </c>
      <c r="AC286" s="2" t="b">
        <v>0</v>
      </c>
    </row>
    <row r="287" spans="1:29">
      <c r="A287" s="2" t="s">
        <v>745</v>
      </c>
      <c r="B287" s="2" t="s">
        <v>309</v>
      </c>
      <c r="C287" s="2" t="s">
        <v>746</v>
      </c>
      <c r="D287" s="2" t="s">
        <v>704</v>
      </c>
      <c r="E287" s="2" t="s">
        <v>705</v>
      </c>
      <c r="F287" s="2" t="s">
        <v>747</v>
      </c>
      <c r="G287" s="2">
        <v>1</v>
      </c>
      <c r="H287" s="2" t="s">
        <v>51</v>
      </c>
      <c r="I287" s="2">
        <v>0</v>
      </c>
      <c r="J287" s="2" t="s">
        <v>707</v>
      </c>
      <c r="K287" s="2" t="s">
        <v>708</v>
      </c>
      <c r="L287" s="2" t="s">
        <v>709</v>
      </c>
      <c r="M287" s="2" t="s">
        <v>710</v>
      </c>
      <c r="N287" s="2" t="s">
        <v>711</v>
      </c>
      <c r="O287" s="2">
        <v>48</v>
      </c>
      <c r="P287" s="2" t="s">
        <v>205</v>
      </c>
      <c r="Q287" s="2" t="s">
        <v>243</v>
      </c>
      <c r="R287" s="2" t="s">
        <v>712</v>
      </c>
      <c r="S287" s="2">
        <v>5</v>
      </c>
      <c r="T287" s="2">
        <v>43</v>
      </c>
      <c r="U287" s="2">
        <v>43</v>
      </c>
      <c r="V287" s="2">
        <v>5.375</v>
      </c>
      <c r="W287" s="2">
        <v>37.625</v>
      </c>
      <c r="X287" s="2" t="s">
        <v>40</v>
      </c>
      <c r="Y287" s="2"/>
      <c r="Z287" s="2" t="s">
        <v>713</v>
      </c>
      <c r="AA287" s="2" t="b">
        <v>1</v>
      </c>
      <c r="AB287" s="2" t="b">
        <v>1</v>
      </c>
      <c r="AC287" s="2" t="b">
        <v>0</v>
      </c>
    </row>
    <row r="288" spans="1:29">
      <c r="A288" s="2" t="s">
        <v>748</v>
      </c>
      <c r="B288" s="2" t="s">
        <v>309</v>
      </c>
      <c r="C288" s="2" t="s">
        <v>749</v>
      </c>
      <c r="D288" s="2" t="s">
        <v>704</v>
      </c>
      <c r="E288" s="2" t="s">
        <v>705</v>
      </c>
      <c r="F288" s="2" t="s">
        <v>750</v>
      </c>
      <c r="G288" s="2">
        <v>3</v>
      </c>
      <c r="H288" s="2" t="s">
        <v>45</v>
      </c>
      <c r="I288" s="2">
        <v>1</v>
      </c>
      <c r="J288" s="2" t="s">
        <v>707</v>
      </c>
      <c r="K288" s="2" t="s">
        <v>708</v>
      </c>
      <c r="L288" s="2" t="s">
        <v>709</v>
      </c>
      <c r="M288" s="2" t="s">
        <v>710</v>
      </c>
      <c r="N288" s="2" t="s">
        <v>717</v>
      </c>
      <c r="O288" s="2">
        <v>75</v>
      </c>
      <c r="P288" s="2" t="s">
        <v>199</v>
      </c>
      <c r="Q288" s="2" t="s">
        <v>326</v>
      </c>
      <c r="R288" s="2" t="s">
        <v>718</v>
      </c>
      <c r="S288" s="2">
        <v>-1.4467592592592501E-2</v>
      </c>
      <c r="T288" s="2">
        <v>75.014467592592496</v>
      </c>
      <c r="U288" s="2">
        <v>75.5354013953189</v>
      </c>
      <c r="V288" s="2">
        <v>9.4419251744148607</v>
      </c>
      <c r="W288" s="2">
        <v>66.093476220903995</v>
      </c>
      <c r="X288" s="2" t="s">
        <v>40</v>
      </c>
      <c r="Y288" s="2"/>
      <c r="Z288" s="2" t="s">
        <v>713</v>
      </c>
      <c r="AA288" s="2" t="b">
        <v>1</v>
      </c>
      <c r="AB288" s="2" t="b">
        <v>1</v>
      </c>
      <c r="AC288" s="2" t="b">
        <v>0</v>
      </c>
    </row>
    <row r="289" spans="1:29">
      <c r="A289" s="2" t="s">
        <v>751</v>
      </c>
      <c r="B289" s="2" t="s">
        <v>309</v>
      </c>
      <c r="C289" s="2" t="s">
        <v>752</v>
      </c>
      <c r="D289" s="2" t="s">
        <v>704</v>
      </c>
      <c r="E289" s="2" t="s">
        <v>705</v>
      </c>
      <c r="F289" s="2" t="s">
        <v>753</v>
      </c>
      <c r="G289" s="2">
        <v>3</v>
      </c>
      <c r="H289" s="2" t="s">
        <v>45</v>
      </c>
      <c r="I289" s="2">
        <v>2</v>
      </c>
      <c r="J289" s="2" t="s">
        <v>707</v>
      </c>
      <c r="K289" s="2" t="s">
        <v>708</v>
      </c>
      <c r="L289" s="2" t="s">
        <v>709</v>
      </c>
      <c r="M289" s="2" t="s">
        <v>710</v>
      </c>
      <c r="N289" s="2" t="s">
        <v>717</v>
      </c>
      <c r="O289" s="2">
        <v>102</v>
      </c>
      <c r="P289" s="2" t="s">
        <v>199</v>
      </c>
      <c r="Q289" s="2" t="s">
        <v>326</v>
      </c>
      <c r="R289" s="2" t="s">
        <v>722</v>
      </c>
      <c r="S289" s="2">
        <v>-2.4594907407407399E-2</v>
      </c>
      <c r="T289" s="2">
        <v>102.02459490740701</v>
      </c>
      <c r="U289" s="2">
        <v>103.44160317001</v>
      </c>
      <c r="V289" s="2">
        <v>12.9302003962512</v>
      </c>
      <c r="W289" s="2">
        <v>90.511402773759002</v>
      </c>
      <c r="X289" s="2" t="s">
        <v>40</v>
      </c>
      <c r="Y289" s="2"/>
      <c r="Z289" s="2" t="s">
        <v>713</v>
      </c>
      <c r="AA289" s="2" t="b">
        <v>1</v>
      </c>
      <c r="AB289" s="2" t="b">
        <v>1</v>
      </c>
      <c r="AC289" s="2" t="b">
        <v>0</v>
      </c>
    </row>
    <row r="290" spans="1:29">
      <c r="A290" s="2" t="s">
        <v>754</v>
      </c>
      <c r="B290" s="2" t="s">
        <v>309</v>
      </c>
      <c r="C290" s="2" t="s">
        <v>755</v>
      </c>
      <c r="D290" s="2" t="s">
        <v>704</v>
      </c>
      <c r="E290" s="2" t="s">
        <v>705</v>
      </c>
      <c r="F290" s="2" t="s">
        <v>756</v>
      </c>
      <c r="G290" s="2">
        <v>3</v>
      </c>
      <c r="H290" s="2" t="s">
        <v>45</v>
      </c>
      <c r="I290" s="2">
        <v>4</v>
      </c>
      <c r="J290" s="2" t="s">
        <v>707</v>
      </c>
      <c r="K290" s="2" t="s">
        <v>708</v>
      </c>
      <c r="L290" s="2" t="s">
        <v>709</v>
      </c>
      <c r="M290" s="2" t="s">
        <v>710</v>
      </c>
      <c r="N290" s="2" t="s">
        <v>717</v>
      </c>
      <c r="O290" s="2">
        <v>156</v>
      </c>
      <c r="P290" s="2" t="s">
        <v>199</v>
      </c>
      <c r="Q290" s="2" t="s">
        <v>326</v>
      </c>
      <c r="R290" s="2" t="s">
        <v>757</v>
      </c>
      <c r="S290" s="2">
        <v>-5.2662037037037E-2</v>
      </c>
      <c r="T290" s="2">
        <v>156.05266203703701</v>
      </c>
      <c r="U290" s="2">
        <v>160.38745820473201</v>
      </c>
      <c r="V290" s="2">
        <v>20.048432275591502</v>
      </c>
      <c r="W290" s="2">
        <v>140.33902592914001</v>
      </c>
      <c r="X290" s="2" t="s">
        <v>40</v>
      </c>
      <c r="Y290" s="2"/>
      <c r="Z290" s="2" t="s">
        <v>713</v>
      </c>
      <c r="AA290" s="2" t="b">
        <v>1</v>
      </c>
      <c r="AB290" s="2" t="b">
        <v>1</v>
      </c>
      <c r="AC290" s="2" t="b">
        <v>0</v>
      </c>
    </row>
    <row r="291" spans="1:29">
      <c r="A291" s="2" t="s">
        <v>758</v>
      </c>
      <c r="B291" s="2" t="s">
        <v>309</v>
      </c>
      <c r="C291" s="2" t="s">
        <v>759</v>
      </c>
      <c r="D291" s="2" t="s">
        <v>704</v>
      </c>
      <c r="E291" s="2" t="s">
        <v>705</v>
      </c>
      <c r="F291" s="2" t="s">
        <v>760</v>
      </c>
      <c r="G291" s="2">
        <v>3</v>
      </c>
      <c r="H291" s="2" t="s">
        <v>45</v>
      </c>
      <c r="I291" s="2">
        <v>6</v>
      </c>
      <c r="J291" s="2" t="s">
        <v>707</v>
      </c>
      <c r="K291" s="2" t="s">
        <v>708</v>
      </c>
      <c r="L291" s="2" t="s">
        <v>709</v>
      </c>
      <c r="M291" s="2" t="s">
        <v>710</v>
      </c>
      <c r="N291" s="2" t="s">
        <v>717</v>
      </c>
      <c r="O291" s="2">
        <v>210</v>
      </c>
      <c r="P291" s="2" t="s">
        <v>199</v>
      </c>
      <c r="Q291" s="2" t="s">
        <v>326</v>
      </c>
      <c r="R291" s="2" t="s">
        <v>761</v>
      </c>
      <c r="S291" s="2">
        <v>-9.1145833333333301E-2</v>
      </c>
      <c r="T291" s="2">
        <v>210.091145833333</v>
      </c>
      <c r="U291" s="2">
        <v>218.844943576388</v>
      </c>
      <c r="V291" s="2">
        <v>27.3556179470486</v>
      </c>
      <c r="W291" s="2">
        <v>191.48932562933999</v>
      </c>
      <c r="X291" s="2" t="s">
        <v>40</v>
      </c>
      <c r="Y291" s="2"/>
      <c r="Z291" s="2" t="s">
        <v>713</v>
      </c>
      <c r="AA291" s="2" t="b">
        <v>1</v>
      </c>
      <c r="AB291" s="2" t="b">
        <v>1</v>
      </c>
      <c r="AC291" s="2" t="b">
        <v>0</v>
      </c>
    </row>
    <row r="292" spans="1:29">
      <c r="A292" s="2" t="s">
        <v>762</v>
      </c>
      <c r="B292" s="2" t="s">
        <v>309</v>
      </c>
      <c r="C292" s="2" t="s">
        <v>763</v>
      </c>
      <c r="D292" s="2" t="s">
        <v>323</v>
      </c>
      <c r="E292" s="2" t="s">
        <v>705</v>
      </c>
      <c r="F292" s="2" t="s">
        <v>764</v>
      </c>
      <c r="G292" s="2">
        <v>3</v>
      </c>
      <c r="H292" s="2" t="s">
        <v>45</v>
      </c>
      <c r="I292" s="2">
        <v>7</v>
      </c>
      <c r="J292" s="2" t="s">
        <v>707</v>
      </c>
      <c r="K292" s="2" t="s">
        <v>708</v>
      </c>
      <c r="L292" s="2" t="s">
        <v>709</v>
      </c>
      <c r="M292" s="2" t="s">
        <v>710</v>
      </c>
      <c r="N292" s="2" t="s">
        <v>717</v>
      </c>
      <c r="O292" s="2">
        <v>237</v>
      </c>
      <c r="P292" s="2" t="s">
        <v>199</v>
      </c>
      <c r="Q292" s="2" t="s">
        <v>326</v>
      </c>
      <c r="R292" s="2" t="s">
        <v>524</v>
      </c>
      <c r="S292" s="2">
        <v>-8.8577835648148098E-2</v>
      </c>
      <c r="T292" s="2">
        <v>237.08857783564801</v>
      </c>
      <c r="U292" s="2">
        <v>248.61371703599201</v>
      </c>
      <c r="V292" s="2">
        <v>31.076714629499001</v>
      </c>
      <c r="W292" s="2">
        <v>217.537002406493</v>
      </c>
      <c r="X292" s="2" t="s">
        <v>40</v>
      </c>
      <c r="Y292" s="2"/>
      <c r="Z292" s="2" t="s">
        <v>713</v>
      </c>
      <c r="AA292" s="2" t="b">
        <v>1</v>
      </c>
      <c r="AB292" s="2" t="b">
        <v>0</v>
      </c>
      <c r="AC292" s="2" t="b">
        <v>0</v>
      </c>
    </row>
    <row r="293" spans="1:29">
      <c r="A293" s="2" t="s">
        <v>765</v>
      </c>
      <c r="B293" s="2" t="s">
        <v>174</v>
      </c>
      <c r="C293" s="2" t="s">
        <v>766</v>
      </c>
      <c r="D293" s="2" t="s">
        <v>323</v>
      </c>
      <c r="E293" s="2" t="s">
        <v>705</v>
      </c>
      <c r="F293" s="2" t="s">
        <v>767</v>
      </c>
      <c r="G293" s="2">
        <v>3</v>
      </c>
      <c r="H293" s="2" t="s">
        <v>45</v>
      </c>
      <c r="I293" s="2">
        <v>10</v>
      </c>
      <c r="J293" s="2" t="s">
        <v>707</v>
      </c>
      <c r="K293" s="2" t="s">
        <v>708</v>
      </c>
      <c r="L293" s="2" t="s">
        <v>709</v>
      </c>
      <c r="M293" s="2" t="s">
        <v>710</v>
      </c>
      <c r="N293" s="2" t="s">
        <v>741</v>
      </c>
      <c r="O293" s="2">
        <v>318</v>
      </c>
      <c r="P293" s="2" t="s">
        <v>199</v>
      </c>
      <c r="Q293" s="2" t="s">
        <v>326</v>
      </c>
      <c r="R293" s="2" t="s">
        <v>531</v>
      </c>
      <c r="S293" s="2">
        <v>-0.164858217592592</v>
      </c>
      <c r="T293" s="2">
        <v>318.16485821759198</v>
      </c>
      <c r="U293" s="2">
        <v>340.259640038258</v>
      </c>
      <c r="V293" s="2">
        <v>42.5324550047823</v>
      </c>
      <c r="W293" s="2">
        <v>297.72718503347602</v>
      </c>
      <c r="X293" s="2" t="s">
        <v>40</v>
      </c>
      <c r="Y293" s="2"/>
      <c r="Z293" s="2" t="s">
        <v>713</v>
      </c>
      <c r="AA293" s="2" t="b">
        <v>1</v>
      </c>
      <c r="AB293" s="2" t="b">
        <v>0</v>
      </c>
      <c r="AC293" s="2" t="b">
        <v>0</v>
      </c>
    </row>
    <row r="294" spans="1:29">
      <c r="A294" s="2" t="s">
        <v>768</v>
      </c>
      <c r="B294" s="2" t="s">
        <v>309</v>
      </c>
      <c r="C294" s="2" t="s">
        <v>769</v>
      </c>
      <c r="D294" s="2" t="s">
        <v>704</v>
      </c>
      <c r="E294" s="2" t="s">
        <v>705</v>
      </c>
      <c r="F294" s="2" t="s">
        <v>770</v>
      </c>
      <c r="G294" s="2">
        <v>3</v>
      </c>
      <c r="H294" s="2" t="s">
        <v>32</v>
      </c>
      <c r="I294" s="2">
        <v>2</v>
      </c>
      <c r="J294" s="2" t="s">
        <v>707</v>
      </c>
      <c r="K294" s="2" t="s">
        <v>708</v>
      </c>
      <c r="L294" s="2" t="s">
        <v>709</v>
      </c>
      <c r="M294" s="2" t="s">
        <v>710</v>
      </c>
      <c r="N294" s="2" t="s">
        <v>717</v>
      </c>
      <c r="O294" s="2">
        <v>42</v>
      </c>
      <c r="P294" s="2" t="s">
        <v>205</v>
      </c>
      <c r="Q294" s="2" t="s">
        <v>326</v>
      </c>
      <c r="R294" s="2" t="s">
        <v>722</v>
      </c>
      <c r="S294" s="2">
        <v>1.0127314814814801E-2</v>
      </c>
      <c r="T294" s="2">
        <v>41.989872685185098</v>
      </c>
      <c r="U294" s="2">
        <v>42.5730653613683</v>
      </c>
      <c r="V294" s="2">
        <v>5.3216331701710304</v>
      </c>
      <c r="W294" s="2">
        <v>37.251432191197203</v>
      </c>
      <c r="X294" s="2" t="s">
        <v>40</v>
      </c>
      <c r="Y294" s="2"/>
      <c r="Z294" s="2" t="s">
        <v>713</v>
      </c>
      <c r="AA294" s="2" t="b">
        <v>1</v>
      </c>
      <c r="AB294" s="2" t="b">
        <v>1</v>
      </c>
      <c r="AC294" s="2" t="b">
        <v>0</v>
      </c>
    </row>
    <row r="295" spans="1:29">
      <c r="A295" s="2" t="s">
        <v>771</v>
      </c>
      <c r="B295" s="2" t="s">
        <v>309</v>
      </c>
      <c r="C295" s="2" t="s">
        <v>772</v>
      </c>
      <c r="D295" s="2" t="s">
        <v>704</v>
      </c>
      <c r="E295" s="2" t="s">
        <v>705</v>
      </c>
      <c r="F295" s="2" t="s">
        <v>773</v>
      </c>
      <c r="G295" s="2">
        <v>3</v>
      </c>
      <c r="H295" s="2" t="s">
        <v>32</v>
      </c>
      <c r="I295" s="2">
        <v>1</v>
      </c>
      <c r="J295" s="2" t="s">
        <v>707</v>
      </c>
      <c r="K295" s="2" t="s">
        <v>708</v>
      </c>
      <c r="L295" s="2" t="s">
        <v>709</v>
      </c>
      <c r="M295" s="2" t="s">
        <v>710</v>
      </c>
      <c r="N295" s="2" t="s">
        <v>717</v>
      </c>
      <c r="O295" s="2">
        <v>75</v>
      </c>
      <c r="P295" s="2" t="s">
        <v>205</v>
      </c>
      <c r="Q295" s="2" t="s">
        <v>326</v>
      </c>
      <c r="R295" s="2" t="s">
        <v>718</v>
      </c>
      <c r="S295" s="2">
        <v>1.4467592592592501E-2</v>
      </c>
      <c r="T295" s="2">
        <v>74.985532407407405</v>
      </c>
      <c r="U295" s="2">
        <v>75.506265271347701</v>
      </c>
      <c r="V295" s="2">
        <v>9.4382831589184608</v>
      </c>
      <c r="W295" s="2">
        <v>66.067982112429206</v>
      </c>
      <c r="X295" s="2" t="s">
        <v>40</v>
      </c>
      <c r="Y295" s="2"/>
      <c r="Z295" s="2" t="s">
        <v>713</v>
      </c>
      <c r="AA295" s="2" t="b">
        <v>1</v>
      </c>
      <c r="AB295" s="2" t="b">
        <v>1</v>
      </c>
      <c r="AC295" s="2" t="b">
        <v>0</v>
      </c>
    </row>
    <row r="296" spans="1:29">
      <c r="A296" s="2" t="s">
        <v>774</v>
      </c>
      <c r="B296" s="2" t="s">
        <v>309</v>
      </c>
      <c r="C296" s="2" t="s">
        <v>775</v>
      </c>
      <c r="D296" s="2" t="s">
        <v>704</v>
      </c>
      <c r="E296" s="2" t="s">
        <v>705</v>
      </c>
      <c r="F296" s="2" t="s">
        <v>776</v>
      </c>
      <c r="G296" s="2">
        <v>1</v>
      </c>
      <c r="H296" s="2" t="s">
        <v>51</v>
      </c>
      <c r="I296" s="2">
        <v>0</v>
      </c>
      <c r="J296" s="2" t="s">
        <v>707</v>
      </c>
      <c r="K296" s="2" t="s">
        <v>708</v>
      </c>
      <c r="L296" s="2" t="s">
        <v>709</v>
      </c>
      <c r="M296" s="2" t="s">
        <v>710</v>
      </c>
      <c r="N296" s="2" t="s">
        <v>711</v>
      </c>
      <c r="O296" s="2">
        <v>108</v>
      </c>
      <c r="P296" s="2" t="s">
        <v>205</v>
      </c>
      <c r="Q296" s="2" t="s">
        <v>243</v>
      </c>
      <c r="R296" s="2" t="s">
        <v>712</v>
      </c>
      <c r="S296" s="2">
        <v>11.25</v>
      </c>
      <c r="T296" s="2">
        <v>96.75</v>
      </c>
      <c r="U296" s="2">
        <v>96.75</v>
      </c>
      <c r="V296" s="2">
        <v>12.09375</v>
      </c>
      <c r="W296" s="2">
        <v>84.65625</v>
      </c>
      <c r="X296" s="2" t="s">
        <v>40</v>
      </c>
      <c r="Y296" s="2"/>
      <c r="Z296" s="2" t="s">
        <v>713</v>
      </c>
      <c r="AA296" s="2" t="b">
        <v>1</v>
      </c>
      <c r="AB296" s="2" t="b">
        <v>1</v>
      </c>
      <c r="AC296" s="2" t="b">
        <v>0</v>
      </c>
    </row>
    <row r="297" spans="1:29">
      <c r="A297" s="2" t="s">
        <v>777</v>
      </c>
      <c r="B297" s="2" t="s">
        <v>309</v>
      </c>
      <c r="C297" s="2" t="s">
        <v>778</v>
      </c>
      <c r="D297" s="2" t="s">
        <v>704</v>
      </c>
      <c r="E297" s="2" t="s">
        <v>705</v>
      </c>
      <c r="F297" s="2" t="s">
        <v>779</v>
      </c>
      <c r="G297" s="2">
        <v>3</v>
      </c>
      <c r="H297" s="2" t="s">
        <v>45</v>
      </c>
      <c r="I297" s="2">
        <v>1</v>
      </c>
      <c r="J297" s="2" t="s">
        <v>707</v>
      </c>
      <c r="K297" s="2" t="s">
        <v>708</v>
      </c>
      <c r="L297" s="2" t="s">
        <v>709</v>
      </c>
      <c r="M297" s="2" t="s">
        <v>710</v>
      </c>
      <c r="N297" s="2" t="s">
        <v>717</v>
      </c>
      <c r="O297" s="2">
        <v>147</v>
      </c>
      <c r="P297" s="2" t="s">
        <v>199</v>
      </c>
      <c r="Q297" s="2" t="s">
        <v>326</v>
      </c>
      <c r="R297" s="2" t="s">
        <v>718</v>
      </c>
      <c r="S297" s="2">
        <v>-2.8356481481481399E-2</v>
      </c>
      <c r="T297" s="2">
        <v>147.02835648148101</v>
      </c>
      <c r="U297" s="2">
        <v>148.04938673482499</v>
      </c>
      <c r="V297" s="2">
        <v>18.506173341853099</v>
      </c>
      <c r="W297" s="2">
        <v>129.54321339297101</v>
      </c>
      <c r="X297" s="2" t="s">
        <v>40</v>
      </c>
      <c r="Y297" s="2"/>
      <c r="Z297" s="2" t="s">
        <v>713</v>
      </c>
      <c r="AA297" s="2" t="b">
        <v>1</v>
      </c>
      <c r="AB297" s="2" t="b">
        <v>1</v>
      </c>
      <c r="AC297" s="2" t="b">
        <v>0</v>
      </c>
    </row>
    <row r="298" spans="1:29">
      <c r="A298" s="2" t="s">
        <v>780</v>
      </c>
      <c r="B298" s="2" t="s">
        <v>309</v>
      </c>
      <c r="C298" s="2" t="s">
        <v>781</v>
      </c>
      <c r="D298" s="2" t="s">
        <v>704</v>
      </c>
      <c r="E298" s="2" t="s">
        <v>705</v>
      </c>
      <c r="F298" s="2" t="s">
        <v>782</v>
      </c>
      <c r="G298" s="2">
        <v>3</v>
      </c>
      <c r="H298" s="2" t="s">
        <v>45</v>
      </c>
      <c r="I298" s="2">
        <v>3</v>
      </c>
      <c r="J298" s="2" t="s">
        <v>707</v>
      </c>
      <c r="K298" s="2" t="s">
        <v>708</v>
      </c>
      <c r="L298" s="2" t="s">
        <v>709</v>
      </c>
      <c r="M298" s="2" t="s">
        <v>710</v>
      </c>
      <c r="N298" s="2" t="s">
        <v>717</v>
      </c>
      <c r="O298" s="2">
        <v>225</v>
      </c>
      <c r="P298" s="2" t="s">
        <v>199</v>
      </c>
      <c r="Q298" s="2" t="s">
        <v>326</v>
      </c>
      <c r="R298" s="2" t="s">
        <v>726</v>
      </c>
      <c r="S298" s="2">
        <v>-6.5104166666666602E-2</v>
      </c>
      <c r="T298" s="2">
        <v>225.065104166666</v>
      </c>
      <c r="U298" s="2">
        <v>229.753960503472</v>
      </c>
      <c r="V298" s="2">
        <v>28.719245062934</v>
      </c>
      <c r="W298" s="2">
        <v>201.03471544053801</v>
      </c>
      <c r="X298" s="2" t="s">
        <v>40</v>
      </c>
      <c r="Y298" s="2"/>
      <c r="Z298" s="2" t="s">
        <v>713</v>
      </c>
      <c r="AA298" s="2" t="b">
        <v>1</v>
      </c>
      <c r="AB298" s="2" t="b">
        <v>1</v>
      </c>
      <c r="AC298" s="2" t="b">
        <v>0</v>
      </c>
    </row>
    <row r="299" spans="1:29">
      <c r="A299" s="2" t="s">
        <v>783</v>
      </c>
      <c r="B299" s="2" t="s">
        <v>309</v>
      </c>
      <c r="C299" s="2" t="s">
        <v>784</v>
      </c>
      <c r="D299" s="2" t="s">
        <v>704</v>
      </c>
      <c r="E299" s="2" t="s">
        <v>705</v>
      </c>
      <c r="F299" s="2" t="s">
        <v>785</v>
      </c>
      <c r="G299" s="2">
        <v>3</v>
      </c>
      <c r="H299" s="2" t="s">
        <v>45</v>
      </c>
      <c r="I299" s="2">
        <v>5</v>
      </c>
      <c r="J299" s="2" t="s">
        <v>707</v>
      </c>
      <c r="K299" s="2" t="s">
        <v>708</v>
      </c>
      <c r="L299" s="2" t="s">
        <v>709</v>
      </c>
      <c r="M299" s="2" t="s">
        <v>710</v>
      </c>
      <c r="N299" s="2" t="s">
        <v>717</v>
      </c>
      <c r="O299" s="2">
        <v>303</v>
      </c>
      <c r="P299" s="2" t="s">
        <v>199</v>
      </c>
      <c r="Q299" s="2" t="s">
        <v>326</v>
      </c>
      <c r="R299" s="2" t="s">
        <v>730</v>
      </c>
      <c r="S299" s="2">
        <v>-0.116898148148148</v>
      </c>
      <c r="T299" s="2">
        <v>303.11689814814798</v>
      </c>
      <c r="U299" s="2">
        <v>313.64179044495802</v>
      </c>
      <c r="V299" s="2">
        <v>39.205223805619802</v>
      </c>
      <c r="W299" s="2">
        <v>274.43656663933803</v>
      </c>
      <c r="X299" s="2" t="s">
        <v>40</v>
      </c>
      <c r="Y299" s="2"/>
      <c r="Z299" s="2" t="s">
        <v>713</v>
      </c>
      <c r="AA299" s="2" t="b">
        <v>1</v>
      </c>
      <c r="AB299" s="2" t="b">
        <v>0</v>
      </c>
      <c r="AC299" s="2" t="b">
        <v>0</v>
      </c>
    </row>
    <row r="300" spans="1:29">
      <c r="A300" s="2" t="s">
        <v>786</v>
      </c>
      <c r="B300" s="2" t="s">
        <v>309</v>
      </c>
      <c r="C300" s="2" t="s">
        <v>787</v>
      </c>
      <c r="D300" s="2" t="s">
        <v>323</v>
      </c>
      <c r="E300" s="2" t="s">
        <v>705</v>
      </c>
      <c r="F300" s="2" t="s">
        <v>788</v>
      </c>
      <c r="G300" s="2">
        <v>3</v>
      </c>
      <c r="H300" s="2" t="s">
        <v>45</v>
      </c>
      <c r="I300" s="2">
        <v>6</v>
      </c>
      <c r="J300" s="2" t="s">
        <v>707</v>
      </c>
      <c r="K300" s="2" t="s">
        <v>708</v>
      </c>
      <c r="L300" s="2" t="s">
        <v>709</v>
      </c>
      <c r="M300" s="2" t="s">
        <v>710</v>
      </c>
      <c r="N300" s="2" t="s">
        <v>717</v>
      </c>
      <c r="O300" s="2">
        <v>342</v>
      </c>
      <c r="P300" s="2" t="s">
        <v>199</v>
      </c>
      <c r="Q300" s="2" t="s">
        <v>326</v>
      </c>
      <c r="R300" s="2" t="s">
        <v>517</v>
      </c>
      <c r="S300" s="2">
        <v>-0.111328125</v>
      </c>
      <c r="T300" s="2">
        <v>342.111328125</v>
      </c>
      <c r="U300" s="2">
        <v>356.365966796875</v>
      </c>
      <c r="V300" s="2">
        <v>44.545745849609297</v>
      </c>
      <c r="W300" s="2">
        <v>311.820220947265</v>
      </c>
      <c r="X300" s="2" t="s">
        <v>40</v>
      </c>
      <c r="Y300" s="2"/>
      <c r="Z300" s="2" t="s">
        <v>713</v>
      </c>
      <c r="AA300" s="2" t="b">
        <v>1</v>
      </c>
      <c r="AB300" s="2" t="b">
        <v>1</v>
      </c>
      <c r="AC300" s="2" t="b">
        <v>0</v>
      </c>
    </row>
    <row r="301" spans="1:29">
      <c r="A301" s="2" t="s">
        <v>789</v>
      </c>
      <c r="B301" s="2" t="s">
        <v>174</v>
      </c>
      <c r="C301" s="2" t="s">
        <v>790</v>
      </c>
      <c r="D301" s="2" t="s">
        <v>323</v>
      </c>
      <c r="E301" s="2" t="s">
        <v>705</v>
      </c>
      <c r="F301" s="2" t="s">
        <v>791</v>
      </c>
      <c r="G301" s="2">
        <v>3</v>
      </c>
      <c r="H301" s="2" t="s">
        <v>45</v>
      </c>
      <c r="I301" s="2">
        <v>9</v>
      </c>
      <c r="J301" s="2" t="s">
        <v>707</v>
      </c>
      <c r="K301" s="2" t="s">
        <v>708</v>
      </c>
      <c r="L301" s="2" t="s">
        <v>709</v>
      </c>
      <c r="M301" s="2" t="s">
        <v>710</v>
      </c>
      <c r="N301" s="2" t="s">
        <v>741</v>
      </c>
      <c r="O301" s="2">
        <v>459</v>
      </c>
      <c r="P301" s="2" t="s">
        <v>199</v>
      </c>
      <c r="Q301" s="2" t="s">
        <v>326</v>
      </c>
      <c r="R301" s="2" t="s">
        <v>792</v>
      </c>
      <c r="S301" s="2">
        <v>-0.2158203125</v>
      </c>
      <c r="T301" s="2">
        <v>459.2158203125</v>
      </c>
      <c r="U301" s="2">
        <v>487.91680908203102</v>
      </c>
      <c r="V301" s="2">
        <v>60.989601135253899</v>
      </c>
      <c r="W301" s="2">
        <v>426.927207946777</v>
      </c>
      <c r="X301" s="2" t="s">
        <v>40</v>
      </c>
      <c r="Y301" s="2"/>
      <c r="Z301" s="2" t="s">
        <v>713</v>
      </c>
      <c r="AA301" s="2" t="b">
        <v>1</v>
      </c>
      <c r="AB301" s="2" t="b">
        <v>1</v>
      </c>
      <c r="AC301" s="2" t="b">
        <v>0</v>
      </c>
    </row>
    <row r="302" spans="1:29">
      <c r="A302" s="2" t="s">
        <v>793</v>
      </c>
      <c r="B302" s="2" t="s">
        <v>309</v>
      </c>
      <c r="C302" s="2" t="s">
        <v>794</v>
      </c>
      <c r="D302" s="2" t="s">
        <v>704</v>
      </c>
      <c r="E302" s="2" t="s">
        <v>705</v>
      </c>
      <c r="F302" s="2" t="s">
        <v>795</v>
      </c>
      <c r="G302" s="2">
        <v>3</v>
      </c>
      <c r="H302" s="2" t="s">
        <v>32</v>
      </c>
      <c r="I302" s="2">
        <v>3</v>
      </c>
      <c r="J302" s="2" t="s">
        <v>707</v>
      </c>
      <c r="K302" s="2" t="s">
        <v>708</v>
      </c>
      <c r="L302" s="2" t="s">
        <v>709</v>
      </c>
      <c r="M302" s="2" t="s">
        <v>710</v>
      </c>
      <c r="N302" s="2" t="s">
        <v>717</v>
      </c>
      <c r="O302" s="2">
        <v>57</v>
      </c>
      <c r="P302" s="2" t="s">
        <v>205</v>
      </c>
      <c r="Q302" s="2" t="s">
        <v>326</v>
      </c>
      <c r="R302" s="2" t="s">
        <v>726</v>
      </c>
      <c r="S302" s="2">
        <v>1.64930555555555E-2</v>
      </c>
      <c r="T302" s="2">
        <v>56.9835069444444</v>
      </c>
      <c r="U302" s="2">
        <v>58.170663339120303</v>
      </c>
      <c r="V302" s="2">
        <v>7.2713329173900396</v>
      </c>
      <c r="W302" s="2">
        <v>50.899330421730298</v>
      </c>
      <c r="X302" s="2" t="s">
        <v>40</v>
      </c>
      <c r="Y302" s="2"/>
      <c r="Z302" s="2" t="s">
        <v>713</v>
      </c>
      <c r="AA302" s="2" t="b">
        <v>1</v>
      </c>
      <c r="AB302" s="2" t="b">
        <v>1</v>
      </c>
      <c r="AC302" s="2" t="b">
        <v>0</v>
      </c>
    </row>
    <row r="303" spans="1:29">
      <c r="A303" s="2" t="s">
        <v>796</v>
      </c>
      <c r="B303" s="2" t="s">
        <v>309</v>
      </c>
      <c r="C303" s="2" t="s">
        <v>797</v>
      </c>
      <c r="D303" s="2" t="s">
        <v>704</v>
      </c>
      <c r="E303" s="2" t="s">
        <v>705</v>
      </c>
      <c r="F303" s="2" t="s">
        <v>798</v>
      </c>
      <c r="G303" s="2">
        <v>3</v>
      </c>
      <c r="H303" s="2" t="s">
        <v>32</v>
      </c>
      <c r="I303" s="2">
        <v>2</v>
      </c>
      <c r="J303" s="2" t="s">
        <v>707</v>
      </c>
      <c r="K303" s="2" t="s">
        <v>708</v>
      </c>
      <c r="L303" s="2" t="s">
        <v>709</v>
      </c>
      <c r="M303" s="2" t="s">
        <v>710</v>
      </c>
      <c r="N303" s="2" t="s">
        <v>717</v>
      </c>
      <c r="O303" s="2">
        <v>102</v>
      </c>
      <c r="P303" s="2" t="s">
        <v>205</v>
      </c>
      <c r="Q303" s="2" t="s">
        <v>326</v>
      </c>
      <c r="R303" s="2" t="s">
        <v>722</v>
      </c>
      <c r="S303" s="2">
        <v>2.4594907407407399E-2</v>
      </c>
      <c r="T303" s="2">
        <v>101.975405092592</v>
      </c>
      <c r="U303" s="2">
        <v>103.391730163323</v>
      </c>
      <c r="V303" s="2">
        <v>12.923966270415301</v>
      </c>
      <c r="W303" s="2">
        <v>90.467763892907598</v>
      </c>
      <c r="X303" s="2" t="s">
        <v>40</v>
      </c>
      <c r="Y303" s="2"/>
      <c r="Z303" s="2" t="s">
        <v>713</v>
      </c>
      <c r="AA303" s="2" t="b">
        <v>1</v>
      </c>
      <c r="AB303" s="2" t="b">
        <v>1</v>
      </c>
      <c r="AC303" s="2" t="b">
        <v>0</v>
      </c>
    </row>
    <row r="304" spans="1:29">
      <c r="A304" s="2" t="s">
        <v>799</v>
      </c>
      <c r="B304" s="2" t="s">
        <v>309</v>
      </c>
      <c r="C304" s="2" t="s">
        <v>800</v>
      </c>
      <c r="D304" s="2" t="s">
        <v>704</v>
      </c>
      <c r="E304" s="2" t="s">
        <v>705</v>
      </c>
      <c r="F304" s="2" t="s">
        <v>801</v>
      </c>
      <c r="G304" s="2">
        <v>3</v>
      </c>
      <c r="H304" s="2" t="s">
        <v>32</v>
      </c>
      <c r="I304" s="2">
        <v>1</v>
      </c>
      <c r="J304" s="2" t="s">
        <v>707</v>
      </c>
      <c r="K304" s="2" t="s">
        <v>708</v>
      </c>
      <c r="L304" s="2" t="s">
        <v>709</v>
      </c>
      <c r="M304" s="2" t="s">
        <v>710</v>
      </c>
      <c r="N304" s="2" t="s">
        <v>717</v>
      </c>
      <c r="O304" s="2">
        <v>147</v>
      </c>
      <c r="P304" s="2" t="s">
        <v>205</v>
      </c>
      <c r="Q304" s="2" t="s">
        <v>326</v>
      </c>
      <c r="R304" s="2" t="s">
        <v>718</v>
      </c>
      <c r="S304" s="2">
        <v>2.8356481481481399E-2</v>
      </c>
      <c r="T304" s="2">
        <v>146.97164351851799</v>
      </c>
      <c r="U304" s="2">
        <v>147.99227993184101</v>
      </c>
      <c r="V304" s="2">
        <v>18.499034991480102</v>
      </c>
      <c r="W304" s="2">
        <v>129.493244940361</v>
      </c>
      <c r="X304" s="2" t="s">
        <v>40</v>
      </c>
      <c r="Y304" s="2"/>
      <c r="Z304" s="2" t="s">
        <v>713</v>
      </c>
      <c r="AA304" s="2" t="b">
        <v>1</v>
      </c>
      <c r="AB304" s="2" t="b">
        <v>1</v>
      </c>
      <c r="AC304" s="2" t="b">
        <v>0</v>
      </c>
    </row>
    <row r="305" spans="1:29">
      <c r="A305" s="2" t="s">
        <v>802</v>
      </c>
      <c r="B305" s="2" t="s">
        <v>309</v>
      </c>
      <c r="C305" s="2" t="s">
        <v>803</v>
      </c>
      <c r="D305" s="2" t="s">
        <v>704</v>
      </c>
      <c r="E305" s="2" t="s">
        <v>705</v>
      </c>
      <c r="F305" s="2" t="s">
        <v>804</v>
      </c>
      <c r="G305" s="2">
        <v>1</v>
      </c>
      <c r="H305" s="2" t="s">
        <v>51</v>
      </c>
      <c r="I305" s="2">
        <v>0</v>
      </c>
      <c r="J305" s="2" t="s">
        <v>707</v>
      </c>
      <c r="K305" s="2" t="s">
        <v>708</v>
      </c>
      <c r="L305" s="2" t="s">
        <v>709</v>
      </c>
      <c r="M305" s="2" t="s">
        <v>710</v>
      </c>
      <c r="N305" s="2" t="s">
        <v>711</v>
      </c>
      <c r="O305" s="2">
        <v>192</v>
      </c>
      <c r="P305" s="2" t="s">
        <v>205</v>
      </c>
      <c r="Q305" s="2" t="s">
        <v>243</v>
      </c>
      <c r="R305" s="2" t="s">
        <v>712</v>
      </c>
      <c r="S305" s="2">
        <v>20</v>
      </c>
      <c r="T305" s="2">
        <v>172</v>
      </c>
      <c r="U305" s="2">
        <v>172</v>
      </c>
      <c r="V305" s="2">
        <v>21.5</v>
      </c>
      <c r="W305" s="2">
        <v>150.5</v>
      </c>
      <c r="X305" s="2" t="s">
        <v>40</v>
      </c>
      <c r="Y305" s="2"/>
      <c r="Z305" s="2" t="s">
        <v>713</v>
      </c>
      <c r="AA305" s="2" t="b">
        <v>1</v>
      </c>
      <c r="AB305" s="2" t="b">
        <v>1</v>
      </c>
      <c r="AC305" s="2" t="b">
        <v>0</v>
      </c>
    </row>
    <row r="306" spans="1:29">
      <c r="A306" s="2" t="s">
        <v>805</v>
      </c>
      <c r="B306" s="2" t="s">
        <v>309</v>
      </c>
      <c r="C306" s="2" t="s">
        <v>806</v>
      </c>
      <c r="D306" s="2" t="s">
        <v>704</v>
      </c>
      <c r="E306" s="2" t="s">
        <v>705</v>
      </c>
      <c r="F306" s="2" t="s">
        <v>807</v>
      </c>
      <c r="G306" s="2">
        <v>3</v>
      </c>
      <c r="H306" s="2" t="s">
        <v>45</v>
      </c>
      <c r="I306" s="2">
        <v>2</v>
      </c>
      <c r="J306" s="2" t="s">
        <v>707</v>
      </c>
      <c r="K306" s="2" t="s">
        <v>708</v>
      </c>
      <c r="L306" s="2" t="s">
        <v>709</v>
      </c>
      <c r="M306" s="2" t="s">
        <v>710</v>
      </c>
      <c r="N306" s="2" t="s">
        <v>717</v>
      </c>
      <c r="O306" s="2">
        <v>294</v>
      </c>
      <c r="P306" s="2" t="s">
        <v>199</v>
      </c>
      <c r="Q306" s="2" t="s">
        <v>326</v>
      </c>
      <c r="R306" s="2" t="s">
        <v>722</v>
      </c>
      <c r="S306" s="2">
        <v>-7.0891203703703706E-2</v>
      </c>
      <c r="T306" s="2">
        <v>294.07089120370301</v>
      </c>
      <c r="U306" s="2">
        <v>298.15520913708798</v>
      </c>
      <c r="V306" s="2">
        <v>37.269401142135997</v>
      </c>
      <c r="W306" s="2">
        <v>260.88580799495202</v>
      </c>
      <c r="X306" s="2" t="s">
        <v>40</v>
      </c>
      <c r="Y306" s="2"/>
      <c r="Z306" s="2" t="s">
        <v>713</v>
      </c>
      <c r="AA306" s="2" t="b">
        <v>1</v>
      </c>
      <c r="AB306" s="2" t="b">
        <v>1</v>
      </c>
      <c r="AC306" s="2" t="b">
        <v>0</v>
      </c>
    </row>
    <row r="307" spans="1:29">
      <c r="A307" s="2" t="s">
        <v>808</v>
      </c>
      <c r="B307" s="2" t="s">
        <v>309</v>
      </c>
      <c r="C307" s="2" t="s">
        <v>809</v>
      </c>
      <c r="D307" s="2" t="s">
        <v>704</v>
      </c>
      <c r="E307" s="2" t="s">
        <v>705</v>
      </c>
      <c r="F307" s="2" t="s">
        <v>810</v>
      </c>
      <c r="G307" s="2">
        <v>3</v>
      </c>
      <c r="H307" s="2" t="s">
        <v>45</v>
      </c>
      <c r="I307" s="2">
        <v>4</v>
      </c>
      <c r="J307" s="2" t="s">
        <v>707</v>
      </c>
      <c r="K307" s="2" t="s">
        <v>708</v>
      </c>
      <c r="L307" s="2" t="s">
        <v>709</v>
      </c>
      <c r="M307" s="2" t="s">
        <v>710</v>
      </c>
      <c r="N307" s="2" t="s">
        <v>717</v>
      </c>
      <c r="O307" s="2">
        <v>396</v>
      </c>
      <c r="P307" s="2" t="s">
        <v>199</v>
      </c>
      <c r="Q307" s="2" t="s">
        <v>326</v>
      </c>
      <c r="R307" s="2" t="s">
        <v>757</v>
      </c>
      <c r="S307" s="2">
        <v>-0.133680555555555</v>
      </c>
      <c r="T307" s="2">
        <v>396.13368055555497</v>
      </c>
      <c r="U307" s="2">
        <v>407.13739390431999</v>
      </c>
      <c r="V307" s="2">
        <v>50.892174238040099</v>
      </c>
      <c r="W307" s="2">
        <v>356.24521966627998</v>
      </c>
      <c r="X307" s="2" t="s">
        <v>40</v>
      </c>
      <c r="Y307" s="2"/>
      <c r="Z307" s="2" t="s">
        <v>713</v>
      </c>
      <c r="AA307" s="2" t="b">
        <v>1</v>
      </c>
      <c r="AB307" s="2" t="b">
        <v>1</v>
      </c>
      <c r="AC307" s="2" t="b">
        <v>0</v>
      </c>
    </row>
    <row r="308" spans="1:29">
      <c r="A308" s="2" t="s">
        <v>811</v>
      </c>
      <c r="B308" s="2" t="s">
        <v>309</v>
      </c>
      <c r="C308" s="2" t="s">
        <v>812</v>
      </c>
      <c r="D308" s="2" t="s">
        <v>323</v>
      </c>
      <c r="E308" s="2" t="s">
        <v>705</v>
      </c>
      <c r="F308" s="2" t="s">
        <v>813</v>
      </c>
      <c r="G308" s="2">
        <v>3</v>
      </c>
      <c r="H308" s="2" t="s">
        <v>45</v>
      </c>
      <c r="I308" s="2">
        <v>5</v>
      </c>
      <c r="J308" s="2" t="s">
        <v>707</v>
      </c>
      <c r="K308" s="2" t="s">
        <v>708</v>
      </c>
      <c r="L308" s="2" t="s">
        <v>709</v>
      </c>
      <c r="M308" s="2" t="s">
        <v>710</v>
      </c>
      <c r="N308" s="2" t="s">
        <v>717</v>
      </c>
      <c r="O308" s="2">
        <v>447</v>
      </c>
      <c r="P308" s="2" t="s">
        <v>199</v>
      </c>
      <c r="Q308" s="2" t="s">
        <v>326</v>
      </c>
      <c r="R308" s="2" t="s">
        <v>411</v>
      </c>
      <c r="S308" s="2">
        <v>-0.12395109953703699</v>
      </c>
      <c r="T308" s="2">
        <v>447.12395109953701</v>
      </c>
      <c r="U308" s="2">
        <v>462.64908829049301</v>
      </c>
      <c r="V308" s="2">
        <v>57.831136036311598</v>
      </c>
      <c r="W308" s="2">
        <v>404.81795225418102</v>
      </c>
      <c r="X308" s="2" t="s">
        <v>40</v>
      </c>
      <c r="Y308" s="2"/>
      <c r="Z308" s="2" t="s">
        <v>713</v>
      </c>
      <c r="AA308" s="2" t="b">
        <v>1</v>
      </c>
      <c r="AB308" s="2" t="b">
        <v>0</v>
      </c>
      <c r="AC308" s="2" t="b">
        <v>0</v>
      </c>
    </row>
    <row r="309" spans="1:29">
      <c r="A309" s="2" t="s">
        <v>814</v>
      </c>
      <c r="B309" s="2" t="s">
        <v>174</v>
      </c>
      <c r="C309" s="2" t="s">
        <v>815</v>
      </c>
      <c r="D309" s="2" t="s">
        <v>323</v>
      </c>
      <c r="E309" s="2" t="s">
        <v>705</v>
      </c>
      <c r="F309" s="2" t="s">
        <v>816</v>
      </c>
      <c r="G309" s="2">
        <v>3</v>
      </c>
      <c r="H309" s="2" t="s">
        <v>45</v>
      </c>
      <c r="I309" s="2">
        <v>8</v>
      </c>
      <c r="J309" s="2" t="s">
        <v>707</v>
      </c>
      <c r="K309" s="2" t="s">
        <v>708</v>
      </c>
      <c r="L309" s="2" t="s">
        <v>709</v>
      </c>
      <c r="M309" s="2" t="s">
        <v>710</v>
      </c>
      <c r="N309" s="2" t="s">
        <v>741</v>
      </c>
      <c r="O309" s="2">
        <v>600</v>
      </c>
      <c r="P309" s="2" t="s">
        <v>199</v>
      </c>
      <c r="Q309" s="2" t="s">
        <v>326</v>
      </c>
      <c r="R309" s="2" t="s">
        <v>435</v>
      </c>
      <c r="S309" s="2">
        <v>-0.25318287037037002</v>
      </c>
      <c r="T309" s="2">
        <v>600.25318287036998</v>
      </c>
      <c r="U309" s="2">
        <v>633.60058191872395</v>
      </c>
      <c r="V309" s="2">
        <v>79.200072739840493</v>
      </c>
      <c r="W309" s="2">
        <v>554.400509178883</v>
      </c>
      <c r="X309" s="2" t="s">
        <v>40</v>
      </c>
      <c r="Y309" s="2"/>
      <c r="Z309" s="2" t="s">
        <v>713</v>
      </c>
      <c r="AA309" s="2" t="b">
        <v>1</v>
      </c>
      <c r="AB309" s="2" t="b">
        <v>1</v>
      </c>
      <c r="AC309" s="2" t="b">
        <v>0</v>
      </c>
    </row>
    <row r="310" spans="1:29">
      <c r="A310" s="2" t="s">
        <v>817</v>
      </c>
      <c r="B310" s="2" t="s">
        <v>309</v>
      </c>
      <c r="C310" s="2" t="s">
        <v>818</v>
      </c>
      <c r="D310" s="2" t="s">
        <v>704</v>
      </c>
      <c r="E310" s="2" t="s">
        <v>705</v>
      </c>
      <c r="F310" s="2" t="s">
        <v>819</v>
      </c>
      <c r="G310" s="2">
        <v>3</v>
      </c>
      <c r="H310" s="2" t="s">
        <v>32</v>
      </c>
      <c r="I310" s="2">
        <v>5</v>
      </c>
      <c r="J310" s="2" t="s">
        <v>707</v>
      </c>
      <c r="K310" s="2" t="s">
        <v>708</v>
      </c>
      <c r="L310" s="2" t="s">
        <v>709</v>
      </c>
      <c r="M310" s="2" t="s">
        <v>710</v>
      </c>
      <c r="N310" s="2" t="s">
        <v>717</v>
      </c>
      <c r="O310" s="2">
        <v>87</v>
      </c>
      <c r="P310" s="2" t="s">
        <v>205</v>
      </c>
      <c r="Q310" s="2" t="s">
        <v>326</v>
      </c>
      <c r="R310" s="2" t="s">
        <v>730</v>
      </c>
      <c r="S310" s="2">
        <v>3.3564814814814797E-2</v>
      </c>
      <c r="T310" s="2">
        <v>86.966435185185105</v>
      </c>
      <c r="U310" s="2">
        <v>89.986103073559605</v>
      </c>
      <c r="V310" s="2">
        <v>11.248262884194901</v>
      </c>
      <c r="W310" s="2">
        <v>78.737840189364704</v>
      </c>
      <c r="X310" s="2" t="s">
        <v>40</v>
      </c>
      <c r="Y310" s="2"/>
      <c r="Z310" s="2" t="s">
        <v>713</v>
      </c>
      <c r="AA310" s="2" t="b">
        <v>1</v>
      </c>
      <c r="AB310" s="2" t="b">
        <v>0</v>
      </c>
      <c r="AC310" s="2" t="b">
        <v>0</v>
      </c>
    </row>
    <row r="311" spans="1:29">
      <c r="A311" s="2" t="s">
        <v>820</v>
      </c>
      <c r="B311" s="2" t="s">
        <v>309</v>
      </c>
      <c r="C311" s="2" t="s">
        <v>821</v>
      </c>
      <c r="D311" s="2" t="s">
        <v>704</v>
      </c>
      <c r="E311" s="2" t="s">
        <v>705</v>
      </c>
      <c r="F311" s="2" t="s">
        <v>822</v>
      </c>
      <c r="G311" s="2">
        <v>3</v>
      </c>
      <c r="H311" s="2" t="s">
        <v>32</v>
      </c>
      <c r="I311" s="2">
        <v>4</v>
      </c>
      <c r="J311" s="2" t="s">
        <v>707</v>
      </c>
      <c r="K311" s="2" t="s">
        <v>708</v>
      </c>
      <c r="L311" s="2" t="s">
        <v>709</v>
      </c>
      <c r="M311" s="2" t="s">
        <v>710</v>
      </c>
      <c r="N311" s="2" t="s">
        <v>717</v>
      </c>
      <c r="O311" s="2">
        <v>156</v>
      </c>
      <c r="P311" s="2" t="s">
        <v>205</v>
      </c>
      <c r="Q311" s="2" t="s">
        <v>326</v>
      </c>
      <c r="R311" s="2" t="s">
        <v>757</v>
      </c>
      <c r="S311" s="2">
        <v>5.2662037037037E-2</v>
      </c>
      <c r="T311" s="2">
        <v>155.947337962962</v>
      </c>
      <c r="U311" s="2">
        <v>160.27920846193399</v>
      </c>
      <c r="V311" s="2">
        <v>20.034901057741699</v>
      </c>
      <c r="W311" s="2">
        <v>140.244307404192</v>
      </c>
      <c r="X311" s="2" t="s">
        <v>40</v>
      </c>
      <c r="Y311" s="2"/>
      <c r="Z311" s="2" t="s">
        <v>713</v>
      </c>
      <c r="AA311" s="2" t="b">
        <v>1</v>
      </c>
      <c r="AB311" s="2" t="b">
        <v>1</v>
      </c>
      <c r="AC311" s="2" t="b">
        <v>0</v>
      </c>
    </row>
    <row r="312" spans="1:29">
      <c r="A312" s="2" t="s">
        <v>823</v>
      </c>
      <c r="B312" s="2" t="s">
        <v>309</v>
      </c>
      <c r="C312" s="2" t="s">
        <v>824</v>
      </c>
      <c r="D312" s="2" t="s">
        <v>704</v>
      </c>
      <c r="E312" s="2" t="s">
        <v>705</v>
      </c>
      <c r="F312" s="2" t="s">
        <v>825</v>
      </c>
      <c r="G312" s="2">
        <v>3</v>
      </c>
      <c r="H312" s="2" t="s">
        <v>32</v>
      </c>
      <c r="I312" s="2">
        <v>3</v>
      </c>
      <c r="J312" s="2" t="s">
        <v>707</v>
      </c>
      <c r="K312" s="2" t="s">
        <v>708</v>
      </c>
      <c r="L312" s="2" t="s">
        <v>709</v>
      </c>
      <c r="M312" s="2" t="s">
        <v>710</v>
      </c>
      <c r="N312" s="2" t="s">
        <v>717</v>
      </c>
      <c r="O312" s="2">
        <v>225</v>
      </c>
      <c r="P312" s="2" t="s">
        <v>205</v>
      </c>
      <c r="Q312" s="2" t="s">
        <v>326</v>
      </c>
      <c r="R312" s="2" t="s">
        <v>726</v>
      </c>
      <c r="S312" s="2">
        <v>6.5104166666666602E-2</v>
      </c>
      <c r="T312" s="2">
        <v>224.934895833333</v>
      </c>
      <c r="U312" s="2">
        <v>229.621039496527</v>
      </c>
      <c r="V312" s="2">
        <v>28.7026299370659</v>
      </c>
      <c r="W312" s="2">
        <v>200.918409559461</v>
      </c>
      <c r="X312" s="2" t="s">
        <v>40</v>
      </c>
      <c r="Y312" s="2"/>
      <c r="Z312" s="2" t="s">
        <v>713</v>
      </c>
      <c r="AA312" s="2" t="b">
        <v>1</v>
      </c>
      <c r="AB312" s="2" t="b">
        <v>1</v>
      </c>
      <c r="AC312" s="2" t="b">
        <v>0</v>
      </c>
    </row>
    <row r="313" spans="1:29">
      <c r="A313" s="2" t="s">
        <v>826</v>
      </c>
      <c r="B313" s="2" t="s">
        <v>309</v>
      </c>
      <c r="C313" s="2" t="s">
        <v>827</v>
      </c>
      <c r="D313" s="2" t="s">
        <v>704</v>
      </c>
      <c r="E313" s="2" t="s">
        <v>705</v>
      </c>
      <c r="F313" s="2" t="s">
        <v>828</v>
      </c>
      <c r="G313" s="2">
        <v>3</v>
      </c>
      <c r="H313" s="2" t="s">
        <v>32</v>
      </c>
      <c r="I313" s="2">
        <v>2</v>
      </c>
      <c r="J313" s="2" t="s">
        <v>707</v>
      </c>
      <c r="K313" s="2" t="s">
        <v>708</v>
      </c>
      <c r="L313" s="2" t="s">
        <v>709</v>
      </c>
      <c r="M313" s="2" t="s">
        <v>710</v>
      </c>
      <c r="N313" s="2" t="s">
        <v>717</v>
      </c>
      <c r="O313" s="2">
        <v>294</v>
      </c>
      <c r="P313" s="2" t="s">
        <v>205</v>
      </c>
      <c r="Q313" s="2" t="s">
        <v>326</v>
      </c>
      <c r="R313" s="2" t="s">
        <v>722</v>
      </c>
      <c r="S313" s="2">
        <v>7.0891203703703706E-2</v>
      </c>
      <c r="T313" s="2">
        <v>293.92910879629602</v>
      </c>
      <c r="U313" s="2">
        <v>298.01145752957802</v>
      </c>
      <c r="V313" s="2">
        <v>37.251432191197203</v>
      </c>
      <c r="W313" s="2">
        <v>260.76002533837999</v>
      </c>
      <c r="X313" s="2" t="s">
        <v>40</v>
      </c>
      <c r="Y313" s="2"/>
      <c r="Z313" s="2" t="s">
        <v>713</v>
      </c>
      <c r="AA313" s="2" t="b">
        <v>1</v>
      </c>
      <c r="AB313" s="2" t="b">
        <v>1</v>
      </c>
      <c r="AC313" s="2" t="b">
        <v>0</v>
      </c>
    </row>
    <row r="314" spans="1:29">
      <c r="A314" s="2" t="s">
        <v>829</v>
      </c>
      <c r="B314" s="2" t="s">
        <v>309</v>
      </c>
      <c r="C314" s="2" t="s">
        <v>830</v>
      </c>
      <c r="D314" s="2" t="s">
        <v>704</v>
      </c>
      <c r="E314" s="2" t="s">
        <v>705</v>
      </c>
      <c r="F314" s="2" t="s">
        <v>831</v>
      </c>
      <c r="G314" s="2">
        <v>1</v>
      </c>
      <c r="H314" s="2" t="s">
        <v>51</v>
      </c>
      <c r="I314" s="2">
        <v>0</v>
      </c>
      <c r="J314" s="2" t="s">
        <v>707</v>
      </c>
      <c r="K314" s="2" t="s">
        <v>708</v>
      </c>
      <c r="L314" s="2" t="s">
        <v>709</v>
      </c>
      <c r="M314" s="2" t="s">
        <v>710</v>
      </c>
      <c r="N314" s="2" t="s">
        <v>711</v>
      </c>
      <c r="O314" s="2">
        <v>432</v>
      </c>
      <c r="P314" s="2" t="s">
        <v>205</v>
      </c>
      <c r="Q314" s="2" t="s">
        <v>243</v>
      </c>
      <c r="R314" s="2" t="s">
        <v>712</v>
      </c>
      <c r="S314" s="2">
        <v>45</v>
      </c>
      <c r="T314" s="2">
        <v>387</v>
      </c>
      <c r="U314" s="2">
        <v>387</v>
      </c>
      <c r="V314" s="2">
        <v>48.375</v>
      </c>
      <c r="W314" s="2">
        <v>338.625</v>
      </c>
      <c r="X314" s="2" t="s">
        <v>40</v>
      </c>
      <c r="Y314" s="2"/>
      <c r="Z314" s="2" t="s">
        <v>713</v>
      </c>
      <c r="AA314" s="2" t="b">
        <v>1</v>
      </c>
      <c r="AB314" s="2" t="b">
        <v>1</v>
      </c>
      <c r="AC314" s="2" t="b">
        <v>0</v>
      </c>
    </row>
    <row r="315" spans="1:29">
      <c r="A315" s="2" t="s">
        <v>832</v>
      </c>
      <c r="B315" s="2" t="s">
        <v>309</v>
      </c>
      <c r="C315" s="2" t="s">
        <v>833</v>
      </c>
      <c r="D315" s="2" t="s">
        <v>704</v>
      </c>
      <c r="E315" s="2" t="s">
        <v>705</v>
      </c>
      <c r="F315" s="2" t="s">
        <v>834</v>
      </c>
      <c r="G315" s="2">
        <v>3</v>
      </c>
      <c r="H315" s="2" t="s">
        <v>45</v>
      </c>
      <c r="I315" s="2">
        <v>2</v>
      </c>
      <c r="J315" s="2" t="s">
        <v>707</v>
      </c>
      <c r="K315" s="2" t="s">
        <v>708</v>
      </c>
      <c r="L315" s="2" t="s">
        <v>709</v>
      </c>
      <c r="M315" s="2" t="s">
        <v>710</v>
      </c>
      <c r="N315" s="2" t="s">
        <v>717</v>
      </c>
      <c r="O315" s="2">
        <v>582</v>
      </c>
      <c r="P315" s="2" t="s">
        <v>199</v>
      </c>
      <c r="Q315" s="2" t="s">
        <v>326</v>
      </c>
      <c r="R315" s="2" t="s">
        <v>722</v>
      </c>
      <c r="S315" s="2">
        <v>-0.140335648148148</v>
      </c>
      <c r="T315" s="2">
        <v>582.14033564814804</v>
      </c>
      <c r="U315" s="2">
        <v>590.22561808770502</v>
      </c>
      <c r="V315" s="2">
        <v>73.778202260963198</v>
      </c>
      <c r="W315" s="2">
        <v>516.44741582674203</v>
      </c>
      <c r="X315" s="2" t="s">
        <v>40</v>
      </c>
      <c r="Y315" s="2"/>
      <c r="Z315" s="2" t="s">
        <v>713</v>
      </c>
      <c r="AA315" s="2" t="b">
        <v>1</v>
      </c>
      <c r="AB315" s="2" t="b">
        <v>1</v>
      </c>
      <c r="AC315" s="2" t="b">
        <v>0</v>
      </c>
    </row>
    <row r="316" spans="1:29">
      <c r="A316" s="2" t="s">
        <v>835</v>
      </c>
      <c r="B316" s="2" t="s">
        <v>309</v>
      </c>
      <c r="C316" s="2" t="s">
        <v>836</v>
      </c>
      <c r="D316" s="2" t="s">
        <v>323</v>
      </c>
      <c r="E316" s="2" t="s">
        <v>705</v>
      </c>
      <c r="F316" s="2" t="s">
        <v>837</v>
      </c>
      <c r="G316" s="2">
        <v>3</v>
      </c>
      <c r="H316" s="2" t="s">
        <v>45</v>
      </c>
      <c r="I316" s="2">
        <v>3</v>
      </c>
      <c r="J316" s="2" t="s">
        <v>707</v>
      </c>
      <c r="K316" s="2" t="s">
        <v>708</v>
      </c>
      <c r="L316" s="2" t="s">
        <v>709</v>
      </c>
      <c r="M316" s="2" t="s">
        <v>710</v>
      </c>
      <c r="N316" s="2" t="s">
        <v>717</v>
      </c>
      <c r="O316" s="2">
        <v>657</v>
      </c>
      <c r="P316" s="2" t="s">
        <v>199</v>
      </c>
      <c r="Q316" s="2" t="s">
        <v>326</v>
      </c>
      <c r="R316" s="2" t="s">
        <v>398</v>
      </c>
      <c r="S316" s="2">
        <v>-0.11881510416666601</v>
      </c>
      <c r="T316" s="2">
        <v>657.11881510416595</v>
      </c>
      <c r="U316" s="2">
        <v>670.808790418836</v>
      </c>
      <c r="V316" s="2">
        <v>83.851098802354599</v>
      </c>
      <c r="W316" s="2">
        <v>586.95769161648195</v>
      </c>
      <c r="X316" s="2" t="s">
        <v>40</v>
      </c>
      <c r="Y316" s="2"/>
      <c r="Z316" s="2" t="s">
        <v>713</v>
      </c>
      <c r="AA316" s="2" t="b">
        <v>1</v>
      </c>
      <c r="AB316" s="2" t="b">
        <v>1</v>
      </c>
      <c r="AC316" s="2" t="b">
        <v>0</v>
      </c>
    </row>
    <row r="317" spans="1:29">
      <c r="A317" s="2" t="s">
        <v>838</v>
      </c>
      <c r="B317" s="2" t="s">
        <v>174</v>
      </c>
      <c r="C317" s="2" t="s">
        <v>839</v>
      </c>
      <c r="D317" s="2" t="s">
        <v>323</v>
      </c>
      <c r="E317" s="2" t="s">
        <v>705</v>
      </c>
      <c r="F317" s="2" t="s">
        <v>840</v>
      </c>
      <c r="G317" s="2">
        <v>3</v>
      </c>
      <c r="H317" s="2" t="s">
        <v>45</v>
      </c>
      <c r="I317" s="2">
        <v>6</v>
      </c>
      <c r="J317" s="2" t="s">
        <v>707</v>
      </c>
      <c r="K317" s="2" t="s">
        <v>708</v>
      </c>
      <c r="L317" s="2" t="s">
        <v>709</v>
      </c>
      <c r="M317" s="2" t="s">
        <v>710</v>
      </c>
      <c r="N317" s="2" t="s">
        <v>741</v>
      </c>
      <c r="O317" s="2">
        <v>882</v>
      </c>
      <c r="P317" s="2" t="s">
        <v>199</v>
      </c>
      <c r="Q317" s="2" t="s">
        <v>326</v>
      </c>
      <c r="R317" s="2" t="s">
        <v>517</v>
      </c>
      <c r="S317" s="2">
        <v>-0.287109375</v>
      </c>
      <c r="T317" s="2">
        <v>882.287109375</v>
      </c>
      <c r="U317" s="2">
        <v>919.049072265625</v>
      </c>
      <c r="V317" s="2">
        <v>114.881134033203</v>
      </c>
      <c r="W317" s="2">
        <v>804.16793823242097</v>
      </c>
      <c r="X317" s="2" t="s">
        <v>40</v>
      </c>
      <c r="Y317" s="2"/>
      <c r="Z317" s="2" t="s">
        <v>713</v>
      </c>
      <c r="AA317" s="2" t="b">
        <v>1</v>
      </c>
      <c r="AB317" s="2" t="b">
        <v>1</v>
      </c>
      <c r="AC317" s="2" t="b">
        <v>0</v>
      </c>
    </row>
    <row r="318" spans="1:29">
      <c r="A318" s="2" t="s">
        <v>841</v>
      </c>
      <c r="B318" s="2" t="s">
        <v>309</v>
      </c>
      <c r="C318" s="2" t="s">
        <v>842</v>
      </c>
      <c r="D318" s="2" t="s">
        <v>704</v>
      </c>
      <c r="E318" s="2" t="s">
        <v>705</v>
      </c>
      <c r="F318" s="2" t="s">
        <v>843</v>
      </c>
      <c r="G318" s="2">
        <v>3</v>
      </c>
      <c r="H318" s="2" t="s">
        <v>32</v>
      </c>
      <c r="I318" s="2">
        <v>7</v>
      </c>
      <c r="J318" s="2" t="s">
        <v>707</v>
      </c>
      <c r="K318" s="2" t="s">
        <v>708</v>
      </c>
      <c r="L318" s="2" t="s">
        <v>709</v>
      </c>
      <c r="M318" s="2" t="s">
        <v>710</v>
      </c>
      <c r="N318" s="2" t="s">
        <v>717</v>
      </c>
      <c r="O318" s="2">
        <v>117</v>
      </c>
      <c r="P318" s="2" t="s">
        <v>205</v>
      </c>
      <c r="Q318" s="2" t="s">
        <v>326</v>
      </c>
      <c r="R318" s="2" t="s">
        <v>734</v>
      </c>
      <c r="S318" s="2">
        <v>5.6423611111111098E-2</v>
      </c>
      <c r="T318" s="2">
        <v>116.943576388888</v>
      </c>
      <c r="U318" s="2">
        <v>122.62833357445901</v>
      </c>
      <c r="V318" s="2">
        <v>15.328541696807401</v>
      </c>
      <c r="W318" s="2">
        <v>107.299791877652</v>
      </c>
      <c r="X318" s="2" t="s">
        <v>40</v>
      </c>
      <c r="Y318" s="2"/>
      <c r="Z318" s="2" t="s">
        <v>713</v>
      </c>
      <c r="AA318" s="2" t="b">
        <v>1</v>
      </c>
      <c r="AB318" s="2" t="b">
        <v>0</v>
      </c>
      <c r="AC318" s="2" t="b">
        <v>0</v>
      </c>
    </row>
    <row r="319" spans="1:29">
      <c r="A319" s="2" t="s">
        <v>844</v>
      </c>
      <c r="B319" s="2" t="s">
        <v>309</v>
      </c>
      <c r="C319" s="2" t="s">
        <v>845</v>
      </c>
      <c r="D319" s="2" t="s">
        <v>704</v>
      </c>
      <c r="E319" s="2" t="s">
        <v>705</v>
      </c>
      <c r="F319" s="2" t="s">
        <v>846</v>
      </c>
      <c r="G319" s="2">
        <v>3</v>
      </c>
      <c r="H319" s="2" t="s">
        <v>32</v>
      </c>
      <c r="I319" s="2">
        <v>6</v>
      </c>
      <c r="J319" s="2" t="s">
        <v>707</v>
      </c>
      <c r="K319" s="2" t="s">
        <v>708</v>
      </c>
      <c r="L319" s="2" t="s">
        <v>709</v>
      </c>
      <c r="M319" s="2" t="s">
        <v>710</v>
      </c>
      <c r="N319" s="2" t="s">
        <v>717</v>
      </c>
      <c r="O319" s="2">
        <v>210</v>
      </c>
      <c r="P319" s="2" t="s">
        <v>205</v>
      </c>
      <c r="Q319" s="2" t="s">
        <v>326</v>
      </c>
      <c r="R319" s="2" t="s">
        <v>761</v>
      </c>
      <c r="S319" s="2">
        <v>9.1145833333333301E-2</v>
      </c>
      <c r="T319" s="2">
        <v>209.908854166666</v>
      </c>
      <c r="U319" s="2">
        <v>218.655056423611</v>
      </c>
      <c r="V319" s="2">
        <v>27.3318820529513</v>
      </c>
      <c r="W319" s="2">
        <v>191.32317437065899</v>
      </c>
      <c r="X319" s="2" t="s">
        <v>40</v>
      </c>
      <c r="Y319" s="2"/>
      <c r="Z319" s="2" t="s">
        <v>713</v>
      </c>
      <c r="AA319" s="2" t="b">
        <v>1</v>
      </c>
      <c r="AB319" s="2" t="b">
        <v>1</v>
      </c>
      <c r="AC319" s="2" t="b">
        <v>0</v>
      </c>
    </row>
    <row r="320" spans="1:29">
      <c r="A320" s="2" t="s">
        <v>847</v>
      </c>
      <c r="B320" s="2" t="s">
        <v>309</v>
      </c>
      <c r="C320" s="2" t="s">
        <v>848</v>
      </c>
      <c r="D320" s="2" t="s">
        <v>704</v>
      </c>
      <c r="E320" s="2" t="s">
        <v>705</v>
      </c>
      <c r="F320" s="2" t="s">
        <v>849</v>
      </c>
      <c r="G320" s="2">
        <v>3</v>
      </c>
      <c r="H320" s="2" t="s">
        <v>32</v>
      </c>
      <c r="I320" s="2">
        <v>5</v>
      </c>
      <c r="J320" s="2" t="s">
        <v>707</v>
      </c>
      <c r="K320" s="2" t="s">
        <v>708</v>
      </c>
      <c r="L320" s="2" t="s">
        <v>709</v>
      </c>
      <c r="M320" s="2" t="s">
        <v>710</v>
      </c>
      <c r="N320" s="2" t="s">
        <v>717</v>
      </c>
      <c r="O320" s="2">
        <v>303</v>
      </c>
      <c r="P320" s="2" t="s">
        <v>205</v>
      </c>
      <c r="Q320" s="2" t="s">
        <v>326</v>
      </c>
      <c r="R320" s="2" t="s">
        <v>730</v>
      </c>
      <c r="S320" s="2">
        <v>0.116898148148148</v>
      </c>
      <c r="T320" s="2">
        <v>302.88310185185099</v>
      </c>
      <c r="U320" s="2">
        <v>313.39987622170702</v>
      </c>
      <c r="V320" s="2">
        <v>39.174984527713399</v>
      </c>
      <c r="W320" s="2">
        <v>274.22489169399398</v>
      </c>
      <c r="X320" s="2" t="s">
        <v>40</v>
      </c>
      <c r="Y320" s="2"/>
      <c r="Z320" s="2" t="s">
        <v>713</v>
      </c>
      <c r="AA320" s="2" t="b">
        <v>1</v>
      </c>
      <c r="AB320" s="2" t="b">
        <v>0</v>
      </c>
      <c r="AC320" s="2" t="b">
        <v>0</v>
      </c>
    </row>
    <row r="321" spans="1:29">
      <c r="A321" s="2" t="s">
        <v>850</v>
      </c>
      <c r="B321" s="2" t="s">
        <v>309</v>
      </c>
      <c r="C321" s="2" t="s">
        <v>851</v>
      </c>
      <c r="D321" s="2" t="s">
        <v>704</v>
      </c>
      <c r="E321" s="2" t="s">
        <v>705</v>
      </c>
      <c r="F321" s="2" t="s">
        <v>852</v>
      </c>
      <c r="G321" s="2">
        <v>3</v>
      </c>
      <c r="H321" s="2" t="s">
        <v>32</v>
      </c>
      <c r="I321" s="2">
        <v>4</v>
      </c>
      <c r="J321" s="2" t="s">
        <v>707</v>
      </c>
      <c r="K321" s="2" t="s">
        <v>708</v>
      </c>
      <c r="L321" s="2" t="s">
        <v>709</v>
      </c>
      <c r="M321" s="2" t="s">
        <v>710</v>
      </c>
      <c r="N321" s="2" t="s">
        <v>717</v>
      </c>
      <c r="O321" s="2">
        <v>396</v>
      </c>
      <c r="P321" s="2" t="s">
        <v>205</v>
      </c>
      <c r="Q321" s="2" t="s">
        <v>326</v>
      </c>
      <c r="R321" s="2" t="s">
        <v>757</v>
      </c>
      <c r="S321" s="2">
        <v>0.133680555555555</v>
      </c>
      <c r="T321" s="2">
        <v>395.866319444444</v>
      </c>
      <c r="U321" s="2">
        <v>406.86260609567898</v>
      </c>
      <c r="V321" s="2">
        <v>50.857825761959802</v>
      </c>
      <c r="W321" s="2">
        <v>356.004780333719</v>
      </c>
      <c r="X321" s="2" t="s">
        <v>40</v>
      </c>
      <c r="Y321" s="2"/>
      <c r="Z321" s="2" t="s">
        <v>713</v>
      </c>
      <c r="AA321" s="2" t="b">
        <v>1</v>
      </c>
      <c r="AB321" s="2" t="b">
        <v>1</v>
      </c>
      <c r="AC321" s="2" t="b">
        <v>0</v>
      </c>
    </row>
    <row r="322" spans="1:29">
      <c r="A322" s="2" t="s">
        <v>853</v>
      </c>
      <c r="B322" s="2" t="s">
        <v>309</v>
      </c>
      <c r="C322" s="2" t="s">
        <v>854</v>
      </c>
      <c r="D322" s="2" t="s">
        <v>704</v>
      </c>
      <c r="E322" s="2" t="s">
        <v>705</v>
      </c>
      <c r="F322" s="2" t="s">
        <v>855</v>
      </c>
      <c r="G322" s="2">
        <v>3</v>
      </c>
      <c r="H322" s="2" t="s">
        <v>32</v>
      </c>
      <c r="I322" s="2">
        <v>2</v>
      </c>
      <c r="J322" s="2" t="s">
        <v>707</v>
      </c>
      <c r="K322" s="2" t="s">
        <v>708</v>
      </c>
      <c r="L322" s="2" t="s">
        <v>709</v>
      </c>
      <c r="M322" s="2" t="s">
        <v>710</v>
      </c>
      <c r="N322" s="2" t="s">
        <v>717</v>
      </c>
      <c r="O322" s="2">
        <v>582</v>
      </c>
      <c r="P322" s="2" t="s">
        <v>205</v>
      </c>
      <c r="Q322" s="2" t="s">
        <v>326</v>
      </c>
      <c r="R322" s="2" t="s">
        <v>722</v>
      </c>
      <c r="S322" s="2">
        <v>0.140335648148148</v>
      </c>
      <c r="T322" s="2">
        <v>581.85966435185105</v>
      </c>
      <c r="U322" s="2">
        <v>589.94104857896002</v>
      </c>
      <c r="V322" s="2">
        <v>73.742631072370102</v>
      </c>
      <c r="W322" s="2">
        <v>516.19841750658998</v>
      </c>
      <c r="X322" s="2" t="s">
        <v>40</v>
      </c>
      <c r="Y322" s="2"/>
      <c r="Z322" s="2" t="s">
        <v>713</v>
      </c>
      <c r="AA322" s="2" t="b">
        <v>1</v>
      </c>
      <c r="AB322" s="2" t="b">
        <v>1</v>
      </c>
      <c r="AC322" s="2" t="b">
        <v>0</v>
      </c>
    </row>
    <row r="323" spans="1:29">
      <c r="A323" s="2" t="s">
        <v>856</v>
      </c>
      <c r="B323" s="2" t="s">
        <v>309</v>
      </c>
      <c r="C323" s="2" t="s">
        <v>857</v>
      </c>
      <c r="D323" s="2" t="s">
        <v>704</v>
      </c>
      <c r="E323" s="2" t="s">
        <v>705</v>
      </c>
      <c r="F323" s="2" t="s">
        <v>858</v>
      </c>
      <c r="G323" s="2">
        <v>1</v>
      </c>
      <c r="H323" s="2" t="s">
        <v>51</v>
      </c>
      <c r="I323" s="2">
        <v>0</v>
      </c>
      <c r="J323" s="2" t="s">
        <v>707</v>
      </c>
      <c r="K323" s="2" t="s">
        <v>708</v>
      </c>
      <c r="L323" s="2" t="s">
        <v>709</v>
      </c>
      <c r="M323" s="2" t="s">
        <v>710</v>
      </c>
      <c r="N323" s="2" t="s">
        <v>711</v>
      </c>
      <c r="O323" s="2">
        <v>768</v>
      </c>
      <c r="P323" s="2" t="s">
        <v>205</v>
      </c>
      <c r="Q323" s="2" t="s">
        <v>243</v>
      </c>
      <c r="R323" s="2" t="s">
        <v>712</v>
      </c>
      <c r="S323" s="2">
        <v>80</v>
      </c>
      <c r="T323" s="2">
        <v>688</v>
      </c>
      <c r="U323" s="2">
        <v>688</v>
      </c>
      <c r="V323" s="2">
        <v>86</v>
      </c>
      <c r="W323" s="2">
        <v>602</v>
      </c>
      <c r="X323" s="2" t="s">
        <v>40</v>
      </c>
      <c r="Y323" s="2"/>
      <c r="Z323" s="2" t="s">
        <v>713</v>
      </c>
      <c r="AA323" s="2" t="b">
        <v>1</v>
      </c>
      <c r="AB323" s="2" t="b">
        <v>1</v>
      </c>
      <c r="AC323" s="2" t="b">
        <v>0</v>
      </c>
    </row>
    <row r="324" spans="1:29">
      <c r="A324" s="2" t="s">
        <v>859</v>
      </c>
      <c r="B324" s="2" t="s">
        <v>309</v>
      </c>
      <c r="C324" s="2" t="s">
        <v>860</v>
      </c>
      <c r="D324" s="2" t="s">
        <v>323</v>
      </c>
      <c r="E324" s="2" t="s">
        <v>705</v>
      </c>
      <c r="F324" s="2" t="s">
        <v>861</v>
      </c>
      <c r="G324" s="2">
        <v>3</v>
      </c>
      <c r="H324" s="2" t="s">
        <v>45</v>
      </c>
      <c r="I324" s="2">
        <v>1</v>
      </c>
      <c r="J324" s="2" t="s">
        <v>707</v>
      </c>
      <c r="K324" s="2" t="s">
        <v>708</v>
      </c>
      <c r="L324" s="2" t="s">
        <v>709</v>
      </c>
      <c r="M324" s="2" t="s">
        <v>710</v>
      </c>
      <c r="N324" s="2" t="s">
        <v>717</v>
      </c>
      <c r="O324" s="2">
        <v>867</v>
      </c>
      <c r="P324" s="2" t="s">
        <v>199</v>
      </c>
      <c r="Q324" s="2" t="s">
        <v>326</v>
      </c>
      <c r="R324" s="2" t="s">
        <v>350</v>
      </c>
      <c r="S324" s="2">
        <v>-7.3169849537036993E-2</v>
      </c>
      <c r="T324" s="2">
        <v>867.07316984953695</v>
      </c>
      <c r="U324" s="2">
        <v>873.09451130682498</v>
      </c>
      <c r="V324" s="2">
        <v>109.136813913353</v>
      </c>
      <c r="W324" s="2">
        <v>763.95769739347202</v>
      </c>
      <c r="X324" s="2" t="s">
        <v>40</v>
      </c>
      <c r="Y324" s="2"/>
      <c r="Z324" s="2" t="s">
        <v>713</v>
      </c>
      <c r="AA324" s="2" t="b">
        <v>1</v>
      </c>
      <c r="AB324" s="2" t="b">
        <v>1</v>
      </c>
      <c r="AC324" s="2" t="b">
        <v>0</v>
      </c>
    </row>
    <row r="325" spans="1:29">
      <c r="A325" s="2" t="s">
        <v>862</v>
      </c>
      <c r="B325" s="2" t="s">
        <v>174</v>
      </c>
      <c r="C325" s="2" t="s">
        <v>863</v>
      </c>
      <c r="D325" s="2" t="s">
        <v>323</v>
      </c>
      <c r="E325" s="2" t="s">
        <v>705</v>
      </c>
      <c r="F325" s="2" t="s">
        <v>864</v>
      </c>
      <c r="G325" s="2">
        <v>3</v>
      </c>
      <c r="H325" s="2" t="s">
        <v>45</v>
      </c>
      <c r="I325" s="2">
        <v>4</v>
      </c>
      <c r="J325" s="2" t="s">
        <v>707</v>
      </c>
      <c r="K325" s="2" t="s">
        <v>708</v>
      </c>
      <c r="L325" s="2" t="s">
        <v>709</v>
      </c>
      <c r="M325" s="2" t="s">
        <v>710</v>
      </c>
      <c r="N325" s="2" t="s">
        <v>741</v>
      </c>
      <c r="O325" s="2">
        <v>1164</v>
      </c>
      <c r="P325" s="2" t="s">
        <v>199</v>
      </c>
      <c r="Q325" s="2" t="s">
        <v>326</v>
      </c>
      <c r="R325" s="2" t="s">
        <v>500</v>
      </c>
      <c r="S325" s="2">
        <v>-0.26663773148148101</v>
      </c>
      <c r="T325" s="2">
        <v>1164.2666377314799</v>
      </c>
      <c r="U325" s="2">
        <v>1196.60737766846</v>
      </c>
      <c r="V325" s="2">
        <v>149.57592220855801</v>
      </c>
      <c r="W325" s="2">
        <v>1047.0314554598999</v>
      </c>
      <c r="X325" s="2" t="s">
        <v>40</v>
      </c>
      <c r="Y325" s="2"/>
      <c r="Z325" s="2" t="s">
        <v>713</v>
      </c>
      <c r="AA325" s="2" t="b">
        <v>1</v>
      </c>
      <c r="AB325" s="2" t="b">
        <v>1</v>
      </c>
      <c r="AC325" s="2" t="b">
        <v>0</v>
      </c>
    </row>
    <row r="326" spans="1:29">
      <c r="A326" s="2" t="s">
        <v>865</v>
      </c>
      <c r="B326" s="2" t="s">
        <v>309</v>
      </c>
      <c r="C326" s="2" t="s">
        <v>866</v>
      </c>
      <c r="D326" s="2" t="s">
        <v>323</v>
      </c>
      <c r="E326" s="2" t="s">
        <v>705</v>
      </c>
      <c r="F326" s="2" t="s">
        <v>867</v>
      </c>
      <c r="G326" s="2">
        <v>3</v>
      </c>
      <c r="H326" s="2" t="s">
        <v>32</v>
      </c>
      <c r="I326" s="2">
        <v>8</v>
      </c>
      <c r="J326" s="2" t="s">
        <v>707</v>
      </c>
      <c r="K326" s="2" t="s">
        <v>708</v>
      </c>
      <c r="L326" s="2" t="s">
        <v>709</v>
      </c>
      <c r="M326" s="2" t="s">
        <v>710</v>
      </c>
      <c r="N326" s="2" t="s">
        <v>717</v>
      </c>
      <c r="O326" s="2">
        <v>132</v>
      </c>
      <c r="P326" s="2" t="s">
        <v>205</v>
      </c>
      <c r="Q326" s="2" t="s">
        <v>326</v>
      </c>
      <c r="R326" s="2" t="s">
        <v>435</v>
      </c>
      <c r="S326" s="2">
        <v>5.5700231481481399E-2</v>
      </c>
      <c r="T326" s="2">
        <v>131.94429976851799</v>
      </c>
      <c r="U326" s="2">
        <v>139.27453864454699</v>
      </c>
      <c r="V326" s="2">
        <v>17.409317330568399</v>
      </c>
      <c r="W326" s="2">
        <v>121.865221313978</v>
      </c>
      <c r="X326" s="2" t="s">
        <v>40</v>
      </c>
      <c r="Y326" s="2"/>
      <c r="Z326" s="2" t="s">
        <v>713</v>
      </c>
      <c r="AA326" s="2" t="b">
        <v>1</v>
      </c>
      <c r="AB326" s="2" t="b">
        <v>1</v>
      </c>
      <c r="AC326" s="2" t="b">
        <v>0</v>
      </c>
    </row>
    <row r="327" spans="1:29">
      <c r="A327" s="2" t="s">
        <v>868</v>
      </c>
      <c r="B327" s="2" t="s">
        <v>309</v>
      </c>
      <c r="C327" s="2" t="s">
        <v>869</v>
      </c>
      <c r="D327" s="2" t="s">
        <v>323</v>
      </c>
      <c r="E327" s="2" t="s">
        <v>705</v>
      </c>
      <c r="F327" s="2" t="s">
        <v>870</v>
      </c>
      <c r="G327" s="2">
        <v>3</v>
      </c>
      <c r="H327" s="2" t="s">
        <v>32</v>
      </c>
      <c r="I327" s="2">
        <v>7</v>
      </c>
      <c r="J327" s="2" t="s">
        <v>707</v>
      </c>
      <c r="K327" s="2" t="s">
        <v>708</v>
      </c>
      <c r="L327" s="2" t="s">
        <v>709</v>
      </c>
      <c r="M327" s="2" t="s">
        <v>710</v>
      </c>
      <c r="N327" s="2" t="s">
        <v>717</v>
      </c>
      <c r="O327" s="2">
        <v>237</v>
      </c>
      <c r="P327" s="2" t="s">
        <v>205</v>
      </c>
      <c r="Q327" s="2" t="s">
        <v>326</v>
      </c>
      <c r="R327" s="2" t="s">
        <v>524</v>
      </c>
      <c r="S327" s="2">
        <v>8.8577835648148098E-2</v>
      </c>
      <c r="T327" s="2">
        <v>236.91142216435099</v>
      </c>
      <c r="U327" s="2">
        <v>248.42794963067399</v>
      </c>
      <c r="V327" s="2">
        <v>31.053493703834299</v>
      </c>
      <c r="W327" s="2">
        <v>217.37445592684</v>
      </c>
      <c r="X327" s="2" t="s">
        <v>40</v>
      </c>
      <c r="Y327" s="2"/>
      <c r="Z327" s="2" t="s">
        <v>713</v>
      </c>
      <c r="AA327" s="2" t="b">
        <v>1</v>
      </c>
      <c r="AB327" s="2" t="b">
        <v>0</v>
      </c>
      <c r="AC327" s="2" t="b">
        <v>0</v>
      </c>
    </row>
    <row r="328" spans="1:29">
      <c r="A328" s="2" t="s">
        <v>871</v>
      </c>
      <c r="B328" s="2" t="s">
        <v>309</v>
      </c>
      <c r="C328" s="2" t="s">
        <v>872</v>
      </c>
      <c r="D328" s="2" t="s">
        <v>323</v>
      </c>
      <c r="E328" s="2" t="s">
        <v>705</v>
      </c>
      <c r="F328" s="2" t="s">
        <v>873</v>
      </c>
      <c r="G328" s="2">
        <v>3</v>
      </c>
      <c r="H328" s="2" t="s">
        <v>32</v>
      </c>
      <c r="I328" s="2">
        <v>6</v>
      </c>
      <c r="J328" s="2" t="s">
        <v>707</v>
      </c>
      <c r="K328" s="2" t="s">
        <v>708</v>
      </c>
      <c r="L328" s="2" t="s">
        <v>709</v>
      </c>
      <c r="M328" s="2" t="s">
        <v>710</v>
      </c>
      <c r="N328" s="2" t="s">
        <v>717</v>
      </c>
      <c r="O328" s="2">
        <v>342</v>
      </c>
      <c r="P328" s="2" t="s">
        <v>205</v>
      </c>
      <c r="Q328" s="2" t="s">
        <v>326</v>
      </c>
      <c r="R328" s="2" t="s">
        <v>517</v>
      </c>
      <c r="S328" s="2">
        <v>0.111328125</v>
      </c>
      <c r="T328" s="2">
        <v>341.888671875</v>
      </c>
      <c r="U328" s="2">
        <v>356.134033203125</v>
      </c>
      <c r="V328" s="2">
        <v>44.516754150390597</v>
      </c>
      <c r="W328" s="2">
        <v>311.61727905273398</v>
      </c>
      <c r="X328" s="2" t="s">
        <v>40</v>
      </c>
      <c r="Y328" s="2"/>
      <c r="Z328" s="2" t="s">
        <v>713</v>
      </c>
      <c r="AA328" s="2" t="b">
        <v>1</v>
      </c>
      <c r="AB328" s="2" t="b">
        <v>1</v>
      </c>
      <c r="AC328" s="2" t="b">
        <v>0</v>
      </c>
    </row>
    <row r="329" spans="1:29">
      <c r="A329" s="2" t="s">
        <v>874</v>
      </c>
      <c r="B329" s="2" t="s">
        <v>309</v>
      </c>
      <c r="C329" s="2" t="s">
        <v>875</v>
      </c>
      <c r="D329" s="2" t="s">
        <v>323</v>
      </c>
      <c r="E329" s="2" t="s">
        <v>705</v>
      </c>
      <c r="F329" s="2" t="s">
        <v>876</v>
      </c>
      <c r="G329" s="2">
        <v>3</v>
      </c>
      <c r="H329" s="2" t="s">
        <v>32</v>
      </c>
      <c r="I329" s="2">
        <v>5</v>
      </c>
      <c r="J329" s="2" t="s">
        <v>707</v>
      </c>
      <c r="K329" s="2" t="s">
        <v>708</v>
      </c>
      <c r="L329" s="2" t="s">
        <v>709</v>
      </c>
      <c r="M329" s="2" t="s">
        <v>710</v>
      </c>
      <c r="N329" s="2" t="s">
        <v>717</v>
      </c>
      <c r="O329" s="2">
        <v>447</v>
      </c>
      <c r="P329" s="2" t="s">
        <v>205</v>
      </c>
      <c r="Q329" s="2" t="s">
        <v>326</v>
      </c>
      <c r="R329" s="2" t="s">
        <v>411</v>
      </c>
      <c r="S329" s="2">
        <v>0.12395109953703699</v>
      </c>
      <c r="T329" s="2">
        <v>446.87604890046202</v>
      </c>
      <c r="U329" s="2">
        <v>462.39257837617299</v>
      </c>
      <c r="V329" s="2">
        <v>57.799072297021603</v>
      </c>
      <c r="W329" s="2">
        <v>404.59350607915098</v>
      </c>
      <c r="X329" s="2" t="s">
        <v>40</v>
      </c>
      <c r="Y329" s="2"/>
      <c r="Z329" s="2" t="s">
        <v>713</v>
      </c>
      <c r="AA329" s="2" t="b">
        <v>1</v>
      </c>
      <c r="AB329" s="2" t="b">
        <v>0</v>
      </c>
      <c r="AC329" s="2" t="b">
        <v>0</v>
      </c>
    </row>
    <row r="330" spans="1:29">
      <c r="A330" s="2" t="s">
        <v>877</v>
      </c>
      <c r="B330" s="2" t="s">
        <v>309</v>
      </c>
      <c r="C330" s="2" t="s">
        <v>878</v>
      </c>
      <c r="D330" s="2" t="s">
        <v>323</v>
      </c>
      <c r="E330" s="2" t="s">
        <v>705</v>
      </c>
      <c r="F330" s="2" t="s">
        <v>879</v>
      </c>
      <c r="G330" s="2">
        <v>3</v>
      </c>
      <c r="H330" s="2" t="s">
        <v>32</v>
      </c>
      <c r="I330" s="2">
        <v>3</v>
      </c>
      <c r="J330" s="2" t="s">
        <v>707</v>
      </c>
      <c r="K330" s="2" t="s">
        <v>708</v>
      </c>
      <c r="L330" s="2" t="s">
        <v>709</v>
      </c>
      <c r="M330" s="2" t="s">
        <v>710</v>
      </c>
      <c r="N330" s="2" t="s">
        <v>717</v>
      </c>
      <c r="O330" s="2">
        <v>657</v>
      </c>
      <c r="P330" s="2" t="s">
        <v>205</v>
      </c>
      <c r="Q330" s="2" t="s">
        <v>326</v>
      </c>
      <c r="R330" s="2" t="s">
        <v>398</v>
      </c>
      <c r="S330" s="2">
        <v>0.11881510416666601</v>
      </c>
      <c r="T330" s="2">
        <v>656.88118489583303</v>
      </c>
      <c r="U330" s="2">
        <v>670.56620958116298</v>
      </c>
      <c r="V330" s="2">
        <v>83.820776197645301</v>
      </c>
      <c r="W330" s="2">
        <v>586.74543338351702</v>
      </c>
      <c r="X330" s="2" t="s">
        <v>40</v>
      </c>
      <c r="Y330" s="2"/>
      <c r="Z330" s="2" t="s">
        <v>713</v>
      </c>
      <c r="AA330" s="2" t="b">
        <v>1</v>
      </c>
      <c r="AB330" s="2" t="b">
        <v>1</v>
      </c>
      <c r="AC330" s="2" t="b">
        <v>0</v>
      </c>
    </row>
    <row r="331" spans="1:29">
      <c r="A331" s="2" t="s">
        <v>880</v>
      </c>
      <c r="B331" s="2" t="s">
        <v>309</v>
      </c>
      <c r="C331" s="2" t="s">
        <v>881</v>
      </c>
      <c r="D331" s="2" t="s">
        <v>323</v>
      </c>
      <c r="E331" s="2" t="s">
        <v>705</v>
      </c>
      <c r="F331" s="2" t="s">
        <v>882</v>
      </c>
      <c r="G331" s="2">
        <v>3</v>
      </c>
      <c r="H331" s="2" t="s">
        <v>32</v>
      </c>
      <c r="I331" s="2">
        <v>1</v>
      </c>
      <c r="J331" s="2" t="s">
        <v>707</v>
      </c>
      <c r="K331" s="2" t="s">
        <v>708</v>
      </c>
      <c r="L331" s="2" t="s">
        <v>709</v>
      </c>
      <c r="M331" s="2" t="s">
        <v>710</v>
      </c>
      <c r="N331" s="2" t="s">
        <v>717</v>
      </c>
      <c r="O331" s="2">
        <v>867</v>
      </c>
      <c r="P331" s="2" t="s">
        <v>205</v>
      </c>
      <c r="Q331" s="2" t="s">
        <v>326</v>
      </c>
      <c r="R331" s="2" t="s">
        <v>350</v>
      </c>
      <c r="S331" s="2">
        <v>7.3169849537036993E-2</v>
      </c>
      <c r="T331" s="2">
        <v>866.92683015046202</v>
      </c>
      <c r="U331" s="2">
        <v>872.94715535984096</v>
      </c>
      <c r="V331" s="2">
        <v>109.11839441998001</v>
      </c>
      <c r="W331" s="2">
        <v>763.82876093986101</v>
      </c>
      <c r="X331" s="2" t="s">
        <v>40</v>
      </c>
      <c r="Y331" s="2"/>
      <c r="Z331" s="2" t="s">
        <v>713</v>
      </c>
      <c r="AA331" s="2" t="b">
        <v>1</v>
      </c>
      <c r="AB331" s="2" t="b">
        <v>1</v>
      </c>
      <c r="AC331" s="2" t="b">
        <v>0</v>
      </c>
    </row>
    <row r="332" spans="1:29">
      <c r="A332" s="2" t="s">
        <v>883</v>
      </c>
      <c r="B332" s="2" t="s">
        <v>309</v>
      </c>
      <c r="C332" s="2" t="s">
        <v>884</v>
      </c>
      <c r="D332" s="2" t="s">
        <v>323</v>
      </c>
      <c r="E332" s="2" t="s">
        <v>705</v>
      </c>
      <c r="F332" s="2" t="s">
        <v>885</v>
      </c>
      <c r="G332" s="2">
        <v>1</v>
      </c>
      <c r="H332" s="2" t="s">
        <v>51</v>
      </c>
      <c r="I332" s="2">
        <v>0</v>
      </c>
      <c r="J332" s="2" t="s">
        <v>707</v>
      </c>
      <c r="K332" s="2" t="s">
        <v>708</v>
      </c>
      <c r="L332" s="2" t="s">
        <v>709</v>
      </c>
      <c r="M332" s="2" t="s">
        <v>710</v>
      </c>
      <c r="N332" s="2" t="s">
        <v>711</v>
      </c>
      <c r="O332" s="2">
        <v>972</v>
      </c>
      <c r="P332" s="2" t="s">
        <v>205</v>
      </c>
      <c r="Q332" s="2" t="s">
        <v>243</v>
      </c>
      <c r="R332" s="2" t="s">
        <v>886</v>
      </c>
      <c r="S332" s="2">
        <v>86.0625</v>
      </c>
      <c r="T332" s="2">
        <v>885.9375</v>
      </c>
      <c r="U332" s="2">
        <v>885.9375</v>
      </c>
      <c r="V332" s="2">
        <v>110.7421875</v>
      </c>
      <c r="W332" s="2">
        <v>775.1953125</v>
      </c>
      <c r="X332" s="2" t="s">
        <v>40</v>
      </c>
      <c r="Y332" s="2"/>
      <c r="Z332" s="2" t="s">
        <v>713</v>
      </c>
      <c r="AA332" s="2" t="b">
        <v>1</v>
      </c>
      <c r="AB332" s="2" t="b">
        <v>1</v>
      </c>
      <c r="AC332" s="2" t="b">
        <v>0</v>
      </c>
    </row>
    <row r="333" spans="1:29">
      <c r="A333" s="2" t="s">
        <v>887</v>
      </c>
      <c r="B333" s="2" t="s">
        <v>174</v>
      </c>
      <c r="C333" s="2" t="s">
        <v>888</v>
      </c>
      <c r="D333" s="2" t="s">
        <v>323</v>
      </c>
      <c r="E333" s="2" t="s">
        <v>705</v>
      </c>
      <c r="F333" s="2" t="s">
        <v>889</v>
      </c>
      <c r="G333" s="2">
        <v>3</v>
      </c>
      <c r="H333" s="2" t="s">
        <v>45</v>
      </c>
      <c r="I333" s="2">
        <v>3</v>
      </c>
      <c r="J333" s="2" t="s">
        <v>707</v>
      </c>
      <c r="K333" s="2" t="s">
        <v>708</v>
      </c>
      <c r="L333" s="2" t="s">
        <v>709</v>
      </c>
      <c r="M333" s="2" t="s">
        <v>710</v>
      </c>
      <c r="N333" s="2" t="s">
        <v>741</v>
      </c>
      <c r="O333" s="2">
        <v>1305</v>
      </c>
      <c r="P333" s="2" t="s">
        <v>199</v>
      </c>
      <c r="Q333" s="2" t="s">
        <v>326</v>
      </c>
      <c r="R333" s="2" t="s">
        <v>398</v>
      </c>
      <c r="S333" s="2">
        <v>-0.23600260416666599</v>
      </c>
      <c r="T333" s="2">
        <v>1305.2360026041599</v>
      </c>
      <c r="U333" s="2">
        <v>1332.4284193250801</v>
      </c>
      <c r="V333" s="2">
        <v>166.55355241563501</v>
      </c>
      <c r="W333" s="2">
        <v>1165.87486690945</v>
      </c>
      <c r="X333" s="2" t="s">
        <v>40</v>
      </c>
      <c r="Y333" s="2"/>
      <c r="Z333" s="2" t="s">
        <v>713</v>
      </c>
      <c r="AA333" s="2" t="b">
        <v>1</v>
      </c>
      <c r="AB333" s="2" t="b">
        <v>1</v>
      </c>
      <c r="AC333" s="2" t="b">
        <v>0</v>
      </c>
    </row>
    <row r="334" spans="1:29">
      <c r="A334" s="2" t="s">
        <v>890</v>
      </c>
      <c r="B334" s="2" t="s">
        <v>174</v>
      </c>
      <c r="C334" s="2" t="s">
        <v>891</v>
      </c>
      <c r="D334" s="2" t="s">
        <v>323</v>
      </c>
      <c r="E334" s="2" t="s">
        <v>705</v>
      </c>
      <c r="F334" s="2" t="s">
        <v>892</v>
      </c>
      <c r="G334" s="2">
        <v>3</v>
      </c>
      <c r="H334" s="2" t="s">
        <v>32</v>
      </c>
      <c r="I334" s="2">
        <v>11</v>
      </c>
      <c r="J334" s="2" t="s">
        <v>707</v>
      </c>
      <c r="K334" s="2" t="s">
        <v>708</v>
      </c>
      <c r="L334" s="2" t="s">
        <v>709</v>
      </c>
      <c r="M334" s="2" t="s">
        <v>710</v>
      </c>
      <c r="N334" s="2" t="s">
        <v>741</v>
      </c>
      <c r="O334" s="2">
        <v>177</v>
      </c>
      <c r="P334" s="2" t="s">
        <v>205</v>
      </c>
      <c r="Q334" s="2" t="s">
        <v>326</v>
      </c>
      <c r="R334" s="2" t="s">
        <v>442</v>
      </c>
      <c r="S334" s="2">
        <v>0.100296585648148</v>
      </c>
      <c r="T334" s="2">
        <v>176.89970341435099</v>
      </c>
      <c r="U334" s="2">
        <v>190.41287520294799</v>
      </c>
      <c r="V334" s="2">
        <v>23.801609400368498</v>
      </c>
      <c r="W334" s="2">
        <v>166.611265802579</v>
      </c>
      <c r="X334" s="2" t="s">
        <v>40</v>
      </c>
      <c r="Y334" s="2"/>
      <c r="Z334" s="2" t="s">
        <v>713</v>
      </c>
      <c r="AA334" s="2" t="b">
        <v>1</v>
      </c>
      <c r="AB334" s="2" t="b">
        <v>0</v>
      </c>
      <c r="AC334" s="2" t="b">
        <v>0</v>
      </c>
    </row>
    <row r="335" spans="1:29">
      <c r="A335" s="2" t="s">
        <v>893</v>
      </c>
      <c r="B335" s="2" t="s">
        <v>174</v>
      </c>
      <c r="C335" s="2" t="s">
        <v>894</v>
      </c>
      <c r="D335" s="2" t="s">
        <v>323</v>
      </c>
      <c r="E335" s="2" t="s">
        <v>705</v>
      </c>
      <c r="F335" s="2" t="s">
        <v>895</v>
      </c>
      <c r="G335" s="2">
        <v>3</v>
      </c>
      <c r="H335" s="2" t="s">
        <v>32</v>
      </c>
      <c r="I335" s="2">
        <v>10</v>
      </c>
      <c r="J335" s="2" t="s">
        <v>707</v>
      </c>
      <c r="K335" s="2" t="s">
        <v>708</v>
      </c>
      <c r="L335" s="2" t="s">
        <v>709</v>
      </c>
      <c r="M335" s="2" t="s">
        <v>710</v>
      </c>
      <c r="N335" s="2" t="s">
        <v>741</v>
      </c>
      <c r="O335" s="2">
        <v>318</v>
      </c>
      <c r="P335" s="2" t="s">
        <v>205</v>
      </c>
      <c r="Q335" s="2" t="s">
        <v>326</v>
      </c>
      <c r="R335" s="2" t="s">
        <v>531</v>
      </c>
      <c r="S335" s="2">
        <v>0.164858217592592</v>
      </c>
      <c r="T335" s="2">
        <v>317.83514178240699</v>
      </c>
      <c r="U335" s="2">
        <v>339.90702662840698</v>
      </c>
      <c r="V335" s="2">
        <v>42.488378328550901</v>
      </c>
      <c r="W335" s="2">
        <v>297.41864829985599</v>
      </c>
      <c r="X335" s="2" t="s">
        <v>40</v>
      </c>
      <c r="Y335" s="2"/>
      <c r="Z335" s="2" t="s">
        <v>713</v>
      </c>
      <c r="AA335" s="2" t="b">
        <v>1</v>
      </c>
      <c r="AB335" s="2" t="b">
        <v>0</v>
      </c>
      <c r="AC335" s="2" t="b">
        <v>0</v>
      </c>
    </row>
    <row r="336" spans="1:29">
      <c r="A336" s="2" t="s">
        <v>896</v>
      </c>
      <c r="B336" s="2" t="s">
        <v>174</v>
      </c>
      <c r="C336" s="2" t="s">
        <v>897</v>
      </c>
      <c r="D336" s="2" t="s">
        <v>323</v>
      </c>
      <c r="E336" s="2" t="s">
        <v>705</v>
      </c>
      <c r="F336" s="2" t="s">
        <v>898</v>
      </c>
      <c r="G336" s="2">
        <v>3</v>
      </c>
      <c r="H336" s="2" t="s">
        <v>32</v>
      </c>
      <c r="I336" s="2">
        <v>9</v>
      </c>
      <c r="J336" s="2" t="s">
        <v>707</v>
      </c>
      <c r="K336" s="2" t="s">
        <v>708</v>
      </c>
      <c r="L336" s="2" t="s">
        <v>709</v>
      </c>
      <c r="M336" s="2" t="s">
        <v>710</v>
      </c>
      <c r="N336" s="2" t="s">
        <v>741</v>
      </c>
      <c r="O336" s="2">
        <v>459</v>
      </c>
      <c r="P336" s="2" t="s">
        <v>205</v>
      </c>
      <c r="Q336" s="2" t="s">
        <v>326</v>
      </c>
      <c r="R336" s="2" t="s">
        <v>792</v>
      </c>
      <c r="S336" s="2">
        <v>0.2158203125</v>
      </c>
      <c r="T336" s="2">
        <v>458.7841796875</v>
      </c>
      <c r="U336" s="2">
        <v>487.45819091796801</v>
      </c>
      <c r="V336" s="2">
        <v>60.932273864746001</v>
      </c>
      <c r="W336" s="2">
        <v>426.52591705322197</v>
      </c>
      <c r="X336" s="2" t="s">
        <v>40</v>
      </c>
      <c r="Y336" s="2"/>
      <c r="Z336" s="2" t="s">
        <v>713</v>
      </c>
      <c r="AA336" s="2" t="b">
        <v>1</v>
      </c>
      <c r="AB336" s="2" t="b">
        <v>1</v>
      </c>
      <c r="AC336" s="2" t="b">
        <v>0</v>
      </c>
    </row>
    <row r="337" spans="1:29">
      <c r="A337" s="2" t="s">
        <v>899</v>
      </c>
      <c r="B337" s="2" t="s">
        <v>174</v>
      </c>
      <c r="C337" s="2" t="s">
        <v>900</v>
      </c>
      <c r="D337" s="2" t="s">
        <v>323</v>
      </c>
      <c r="E337" s="2" t="s">
        <v>705</v>
      </c>
      <c r="F337" s="2" t="s">
        <v>901</v>
      </c>
      <c r="G337" s="2">
        <v>3</v>
      </c>
      <c r="H337" s="2" t="s">
        <v>32</v>
      </c>
      <c r="I337" s="2">
        <v>8</v>
      </c>
      <c r="J337" s="2" t="s">
        <v>707</v>
      </c>
      <c r="K337" s="2" t="s">
        <v>708</v>
      </c>
      <c r="L337" s="2" t="s">
        <v>709</v>
      </c>
      <c r="M337" s="2" t="s">
        <v>710</v>
      </c>
      <c r="N337" s="2" t="s">
        <v>741</v>
      </c>
      <c r="O337" s="2">
        <v>600</v>
      </c>
      <c r="P337" s="2" t="s">
        <v>205</v>
      </c>
      <c r="Q337" s="2" t="s">
        <v>326</v>
      </c>
      <c r="R337" s="2" t="s">
        <v>435</v>
      </c>
      <c r="S337" s="2">
        <v>0.25318287037037002</v>
      </c>
      <c r="T337" s="2">
        <v>599.74681712962899</v>
      </c>
      <c r="U337" s="2">
        <v>633.066084747942</v>
      </c>
      <c r="V337" s="2">
        <v>79.133260593492693</v>
      </c>
      <c r="W337" s="2">
        <v>553.93282415444901</v>
      </c>
      <c r="X337" s="2" t="s">
        <v>40</v>
      </c>
      <c r="Y337" s="2"/>
      <c r="Z337" s="2" t="s">
        <v>713</v>
      </c>
      <c r="AA337" s="2" t="b">
        <v>1</v>
      </c>
      <c r="AB337" s="2" t="b">
        <v>1</v>
      </c>
      <c r="AC337" s="2" t="b">
        <v>0</v>
      </c>
    </row>
    <row r="338" spans="1:29">
      <c r="A338" s="2" t="s">
        <v>902</v>
      </c>
      <c r="B338" s="2" t="s">
        <v>174</v>
      </c>
      <c r="C338" s="2" t="s">
        <v>903</v>
      </c>
      <c r="D338" s="2" t="s">
        <v>323</v>
      </c>
      <c r="E338" s="2" t="s">
        <v>705</v>
      </c>
      <c r="F338" s="2" t="s">
        <v>904</v>
      </c>
      <c r="G338" s="2">
        <v>3</v>
      </c>
      <c r="H338" s="2" t="s">
        <v>32</v>
      </c>
      <c r="I338" s="2">
        <v>6</v>
      </c>
      <c r="J338" s="2" t="s">
        <v>707</v>
      </c>
      <c r="K338" s="2" t="s">
        <v>708</v>
      </c>
      <c r="L338" s="2" t="s">
        <v>709</v>
      </c>
      <c r="M338" s="2" t="s">
        <v>710</v>
      </c>
      <c r="N338" s="2" t="s">
        <v>741</v>
      </c>
      <c r="O338" s="2">
        <v>882</v>
      </c>
      <c r="P338" s="2" t="s">
        <v>205</v>
      </c>
      <c r="Q338" s="2" t="s">
        <v>326</v>
      </c>
      <c r="R338" s="2" t="s">
        <v>517</v>
      </c>
      <c r="S338" s="2">
        <v>0.287109375</v>
      </c>
      <c r="T338" s="2">
        <v>881.712890625</v>
      </c>
      <c r="U338" s="2">
        <v>918.450927734375</v>
      </c>
      <c r="V338" s="2">
        <v>114.80636596679599</v>
      </c>
      <c r="W338" s="2">
        <v>803.64456176757801</v>
      </c>
      <c r="X338" s="2" t="s">
        <v>40</v>
      </c>
      <c r="Y338" s="2"/>
      <c r="Z338" s="2" t="s">
        <v>713</v>
      </c>
      <c r="AA338" s="2" t="b">
        <v>1</v>
      </c>
      <c r="AB338" s="2" t="b">
        <v>1</v>
      </c>
      <c r="AC338" s="2" t="b">
        <v>0</v>
      </c>
    </row>
    <row r="339" spans="1:29">
      <c r="A339" s="2" t="s">
        <v>905</v>
      </c>
      <c r="B339" s="2" t="s">
        <v>174</v>
      </c>
      <c r="C339" s="2" t="s">
        <v>906</v>
      </c>
      <c r="D339" s="2" t="s">
        <v>323</v>
      </c>
      <c r="E339" s="2" t="s">
        <v>705</v>
      </c>
      <c r="F339" s="2" t="s">
        <v>907</v>
      </c>
      <c r="G339" s="2">
        <v>3</v>
      </c>
      <c r="H339" s="2" t="s">
        <v>32</v>
      </c>
      <c r="I339" s="2">
        <v>4</v>
      </c>
      <c r="J339" s="2" t="s">
        <v>707</v>
      </c>
      <c r="K339" s="2" t="s">
        <v>708</v>
      </c>
      <c r="L339" s="2" t="s">
        <v>709</v>
      </c>
      <c r="M339" s="2" t="s">
        <v>710</v>
      </c>
      <c r="N339" s="2" t="s">
        <v>741</v>
      </c>
      <c r="O339" s="2">
        <v>1164</v>
      </c>
      <c r="P339" s="2" t="s">
        <v>205</v>
      </c>
      <c r="Q339" s="2" t="s">
        <v>326</v>
      </c>
      <c r="R339" s="2" t="s">
        <v>500</v>
      </c>
      <c r="S339" s="2">
        <v>0.26663773148148101</v>
      </c>
      <c r="T339" s="2">
        <v>1163.7333622685101</v>
      </c>
      <c r="U339" s="2">
        <v>1196.0592889981899</v>
      </c>
      <c r="V339" s="2">
        <v>149.50741112477399</v>
      </c>
      <c r="W339" s="2">
        <v>1046.5518778734199</v>
      </c>
      <c r="X339" s="2" t="s">
        <v>40</v>
      </c>
      <c r="Y339" s="2"/>
      <c r="Z339" s="2" t="s">
        <v>713</v>
      </c>
      <c r="AA339" s="2" t="b">
        <v>1</v>
      </c>
      <c r="AB339" s="2" t="b">
        <v>1</v>
      </c>
      <c r="AC339" s="2" t="b">
        <v>0</v>
      </c>
    </row>
    <row r="340" spans="1:29">
      <c r="A340" s="2" t="s">
        <v>908</v>
      </c>
      <c r="B340" s="2" t="s">
        <v>174</v>
      </c>
      <c r="C340" s="2" t="s">
        <v>909</v>
      </c>
      <c r="D340" s="2" t="s">
        <v>323</v>
      </c>
      <c r="E340" s="2" t="s">
        <v>705</v>
      </c>
      <c r="F340" s="2" t="s">
        <v>910</v>
      </c>
      <c r="G340" s="2">
        <v>3</v>
      </c>
      <c r="H340" s="2" t="s">
        <v>32</v>
      </c>
      <c r="I340" s="2">
        <v>3</v>
      </c>
      <c r="J340" s="2" t="s">
        <v>707</v>
      </c>
      <c r="K340" s="2" t="s">
        <v>708</v>
      </c>
      <c r="L340" s="2" t="s">
        <v>709</v>
      </c>
      <c r="M340" s="2" t="s">
        <v>710</v>
      </c>
      <c r="N340" s="2" t="s">
        <v>741</v>
      </c>
      <c r="O340" s="2">
        <v>1305</v>
      </c>
      <c r="P340" s="2" t="s">
        <v>205</v>
      </c>
      <c r="Q340" s="2" t="s">
        <v>326</v>
      </c>
      <c r="R340" s="2" t="s">
        <v>398</v>
      </c>
      <c r="S340" s="2">
        <v>0.23600260416666599</v>
      </c>
      <c r="T340" s="2">
        <v>1304.7639973958301</v>
      </c>
      <c r="U340" s="2">
        <v>1331.9465806749099</v>
      </c>
      <c r="V340" s="2">
        <v>166.49332258436399</v>
      </c>
      <c r="W340" s="2">
        <v>1165.45325809054</v>
      </c>
      <c r="X340" s="2" t="s">
        <v>40</v>
      </c>
      <c r="Y340" s="2"/>
      <c r="Z340" s="2" t="s">
        <v>713</v>
      </c>
      <c r="AA340" s="2" t="b">
        <v>1</v>
      </c>
      <c r="AB340" s="2" t="b">
        <v>1</v>
      </c>
      <c r="AC340" s="2" t="b">
        <v>0</v>
      </c>
    </row>
    <row r="341" spans="1:29">
      <c r="A341" s="2" t="s">
        <v>911</v>
      </c>
      <c r="B341" s="2" t="s">
        <v>174</v>
      </c>
      <c r="C341" s="2" t="s">
        <v>912</v>
      </c>
      <c r="D341" s="2" t="s">
        <v>323</v>
      </c>
      <c r="E341" s="2" t="s">
        <v>705</v>
      </c>
      <c r="F341" s="2" t="s">
        <v>913</v>
      </c>
      <c r="G341" s="2">
        <v>1</v>
      </c>
      <c r="H341" s="2" t="s">
        <v>51</v>
      </c>
      <c r="I341" s="2">
        <v>0</v>
      </c>
      <c r="J341" s="2" t="s">
        <v>707</v>
      </c>
      <c r="K341" s="2" t="s">
        <v>708</v>
      </c>
      <c r="L341" s="2" t="s">
        <v>709</v>
      </c>
      <c r="M341" s="2" t="s">
        <v>710</v>
      </c>
      <c r="N341" s="2" t="s">
        <v>741</v>
      </c>
      <c r="O341" s="2">
        <v>1728</v>
      </c>
      <c r="P341" s="2" t="s">
        <v>205</v>
      </c>
      <c r="Q341" s="2" t="s">
        <v>243</v>
      </c>
      <c r="R341" s="2" t="s">
        <v>886</v>
      </c>
      <c r="S341" s="2">
        <v>153</v>
      </c>
      <c r="T341" s="2">
        <v>1575</v>
      </c>
      <c r="U341" s="2">
        <v>1575</v>
      </c>
      <c r="V341" s="2">
        <v>196.875</v>
      </c>
      <c r="W341" s="2">
        <v>1378.125</v>
      </c>
      <c r="X341" s="2" t="s">
        <v>40</v>
      </c>
      <c r="Y341" s="2"/>
      <c r="Z341" s="2" t="s">
        <v>713</v>
      </c>
      <c r="AA341" s="2" t="b">
        <v>1</v>
      </c>
      <c r="AB341" s="2" t="b">
        <v>1</v>
      </c>
      <c r="AC341" s="2" t="b">
        <v>0</v>
      </c>
    </row>
    <row r="342" spans="1:29">
      <c r="A342" s="2" t="s">
        <v>914</v>
      </c>
      <c r="B342" s="2" t="s">
        <v>174</v>
      </c>
      <c r="C342" s="2" t="s">
        <v>915</v>
      </c>
      <c r="D342" s="2" t="s">
        <v>916</v>
      </c>
      <c r="E342" s="2" t="s">
        <v>917</v>
      </c>
      <c r="F342" s="2" t="s">
        <v>913</v>
      </c>
      <c r="G342" s="2">
        <v>3</v>
      </c>
      <c r="H342" s="2" t="s">
        <v>51</v>
      </c>
      <c r="I342" s="2">
        <v>0</v>
      </c>
      <c r="J342" s="2" t="s">
        <v>918</v>
      </c>
      <c r="K342" s="2" t="s">
        <v>919</v>
      </c>
      <c r="L342" s="2" t="s">
        <v>974</v>
      </c>
      <c r="M342" s="2" t="s">
        <v>920</v>
      </c>
      <c r="N342" s="2" t="s">
        <v>921</v>
      </c>
      <c r="O342" s="2">
        <v>0</v>
      </c>
      <c r="P342" s="2" t="s">
        <v>205</v>
      </c>
      <c r="Q342" s="2" t="s">
        <v>922</v>
      </c>
      <c r="R342" s="2" t="s">
        <v>922</v>
      </c>
      <c r="S342" s="2">
        <v>750</v>
      </c>
      <c r="T342" s="2">
        <v>125250</v>
      </c>
      <c r="U342" s="2">
        <v>125250</v>
      </c>
      <c r="V342" s="2">
        <v>15656.25</v>
      </c>
      <c r="W342" s="2">
        <v>109593.75</v>
      </c>
      <c r="X342" s="2" t="s">
        <v>40</v>
      </c>
      <c r="Y342" s="2" t="s">
        <v>975</v>
      </c>
      <c r="Z342" s="2" t="s">
        <v>923</v>
      </c>
      <c r="AA342" s="2" t="b">
        <v>1</v>
      </c>
      <c r="AB342" s="2" t="b">
        <v>1</v>
      </c>
      <c r="AC342" s="2" t="b">
        <v>0</v>
      </c>
    </row>
    <row r="343" spans="1:2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>
        <f>SUBTOTAL(9,tblRejectedParticles[M_native])</f>
        <v>600174</v>
      </c>
      <c r="P343" s="7"/>
      <c r="Q343" s="7"/>
      <c r="R343" s="7"/>
      <c r="S343" s="7">
        <f>SUBTOTAL(9,tblRejectedParticles[S_debit_or_credit])</f>
        <v>13497.016059027763</v>
      </c>
      <c r="T343" s="7">
        <f>SUBTOTAL(9,tblRejectedParticles[M_observed_candidate])</f>
        <v>712676.98394097202</v>
      </c>
      <c r="U343" s="7"/>
      <c r="V343" s="7"/>
      <c r="W343" s="7"/>
      <c r="X343" s="7"/>
      <c r="Y343" s="7"/>
      <c r="Z343" s="7"/>
      <c r="AA343" s="7"/>
      <c r="AB343" s="7"/>
      <c r="AC343" s="7"/>
    </row>
    <row r="344" spans="1:29">
      <c r="A344" s="40" t="s">
        <v>1003</v>
      </c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</row>
    <row r="345" spans="1:29">
      <c r="A345" s="1" t="s">
        <v>1</v>
      </c>
      <c r="B345" s="1" t="s">
        <v>2</v>
      </c>
      <c r="C345" s="1" t="s">
        <v>3</v>
      </c>
      <c r="D345" s="1" t="s">
        <v>4</v>
      </c>
      <c r="E345" s="1" t="s">
        <v>5</v>
      </c>
      <c r="F345" s="1" t="s">
        <v>6</v>
      </c>
      <c r="G345" s="1" t="s">
        <v>7</v>
      </c>
      <c r="H345" s="1" t="s">
        <v>8</v>
      </c>
      <c r="I345" s="1" t="s">
        <v>9</v>
      </c>
      <c r="J345" s="1" t="s">
        <v>10</v>
      </c>
      <c r="K345" s="1" t="s">
        <v>11</v>
      </c>
      <c r="L345" s="1" t="s">
        <v>12</v>
      </c>
      <c r="M345" s="1" t="s">
        <v>13</v>
      </c>
      <c r="N345" s="1" t="s">
        <v>14</v>
      </c>
      <c r="O345" s="1" t="s">
        <v>15</v>
      </c>
      <c r="P345" s="1" t="s">
        <v>16</v>
      </c>
      <c r="Q345" s="1" t="s">
        <v>17</v>
      </c>
      <c r="R345" s="1" t="s">
        <v>18</v>
      </c>
      <c r="S345" s="1" t="s">
        <v>19</v>
      </c>
      <c r="T345" s="1" t="s">
        <v>20</v>
      </c>
      <c r="U345" s="1" t="s">
        <v>21</v>
      </c>
      <c r="V345" s="1" t="s">
        <v>22</v>
      </c>
      <c r="W345" s="1" t="s">
        <v>23</v>
      </c>
      <c r="X345" s="1" t="s">
        <v>24</v>
      </c>
      <c r="Y345" s="1" t="s">
        <v>25</v>
      </c>
      <c r="Z345" s="1" t="s">
        <v>26</v>
      </c>
      <c r="AA345" s="1" t="s">
        <v>971</v>
      </c>
      <c r="AB345" s="1" t="s">
        <v>972</v>
      </c>
      <c r="AC345" s="1" t="s">
        <v>982</v>
      </c>
    </row>
    <row r="346" spans="1:29">
      <c r="A346" s="21" t="s">
        <v>0</v>
      </c>
      <c r="B346" s="21" t="s">
        <v>925</v>
      </c>
      <c r="C346" s="21" t="s">
        <v>944</v>
      </c>
      <c r="D346" s="21" t="s">
        <v>945</v>
      </c>
      <c r="E346" s="21" t="s">
        <v>928</v>
      </c>
      <c r="F346" s="21">
        <v>81</v>
      </c>
      <c r="G346" s="21">
        <v>3</v>
      </c>
      <c r="H346" s="21" t="s">
        <v>51</v>
      </c>
      <c r="I346" s="21">
        <v>0</v>
      </c>
      <c r="J346" s="21" t="s">
        <v>929</v>
      </c>
      <c r="K346" s="21" t="s">
        <v>943</v>
      </c>
      <c r="L346" s="21" t="s">
        <v>976</v>
      </c>
      <c r="M346" s="21" t="s">
        <v>931</v>
      </c>
      <c r="N346" s="21" t="s">
        <v>932</v>
      </c>
      <c r="O346" s="21">
        <v>81</v>
      </c>
      <c r="P346" s="21" t="s">
        <v>933</v>
      </c>
      <c r="Q346" s="21" t="s">
        <v>934</v>
      </c>
      <c r="R346" s="21" t="s">
        <v>934</v>
      </c>
      <c r="S346" s="21">
        <v>0</v>
      </c>
      <c r="T346" s="21">
        <v>81</v>
      </c>
      <c r="U346" s="21">
        <v>0</v>
      </c>
      <c r="V346" s="21">
        <v>0</v>
      </c>
      <c r="W346" s="21">
        <v>0</v>
      </c>
      <c r="X346" s="21" t="s">
        <v>42</v>
      </c>
      <c r="Y346" s="21"/>
      <c r="Z346" s="21" t="s">
        <v>935</v>
      </c>
      <c r="AA346" s="21" t="b">
        <v>1</v>
      </c>
      <c r="AB346" s="21" t="b">
        <v>1</v>
      </c>
      <c r="AC346" s="21" t="b">
        <v>0</v>
      </c>
    </row>
    <row r="347" spans="1:29">
      <c r="A347" s="21" t="s">
        <v>977</v>
      </c>
      <c r="B347" s="21" t="s">
        <v>925</v>
      </c>
      <c r="C347" s="21" t="s">
        <v>978</v>
      </c>
      <c r="D347" s="21" t="s">
        <v>979</v>
      </c>
      <c r="E347" s="21" t="s">
        <v>928</v>
      </c>
      <c r="F347" s="21">
        <v>1</v>
      </c>
      <c r="G347" s="21">
        <v>3</v>
      </c>
      <c r="H347" s="21" t="s">
        <v>51</v>
      </c>
      <c r="I347" s="21">
        <v>0</v>
      </c>
      <c r="J347" s="21" t="s">
        <v>929</v>
      </c>
      <c r="K347" s="21" t="s">
        <v>980</v>
      </c>
      <c r="L347" s="21" t="s">
        <v>976</v>
      </c>
      <c r="M347" s="21" t="s">
        <v>931</v>
      </c>
      <c r="N347" s="21" t="s">
        <v>932</v>
      </c>
      <c r="O347" s="21">
        <v>0</v>
      </c>
      <c r="P347" s="21" t="s">
        <v>933</v>
      </c>
      <c r="Q347" s="21" t="s">
        <v>934</v>
      </c>
      <c r="R347" s="21" t="s">
        <v>934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 t="s">
        <v>42</v>
      </c>
      <c r="Y347" s="21"/>
      <c r="Z347" s="21" t="s">
        <v>935</v>
      </c>
      <c r="AA347" s="21" t="b">
        <v>1</v>
      </c>
      <c r="AB347" s="21" t="b">
        <v>1</v>
      </c>
      <c r="AC347" s="21" t="b">
        <v>0</v>
      </c>
    </row>
  </sheetData>
  <mergeCells count="5">
    <mergeCell ref="A1:AC1"/>
    <mergeCell ref="A2:AC2"/>
    <mergeCell ref="A3:AC3"/>
    <mergeCell ref="A156:AC156"/>
    <mergeCell ref="A344:AC34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B132-7449-43A0-88C6-B3F7BFFDA7B0}">
  <sheetPr>
    <tabColor rgb="FF4472C4"/>
  </sheetPr>
  <dimension ref="A1:AF82"/>
  <sheetViews>
    <sheetView showGridLines="0" workbookViewId="0">
      <pane ySplit="1" topLeftCell="A67" activePane="bottomLeft" state="frozen"/>
      <selection pane="bottomLeft" activeCell="E80" sqref="E80"/>
    </sheetView>
  </sheetViews>
  <sheetFormatPr defaultRowHeight="13.65"/>
  <cols>
    <col min="1" max="1" width="11.7265625" bestFit="1" customWidth="1"/>
    <col min="2" max="2" width="19.6328125" bestFit="1" customWidth="1"/>
    <col min="3" max="5" width="25" customWidth="1"/>
    <col min="6" max="6" width="16.26953125" bestFit="1" customWidth="1"/>
    <col min="7" max="7" width="12.7265625" bestFit="1" customWidth="1"/>
    <col min="8" max="8" width="7.2265625" bestFit="1" customWidth="1"/>
    <col min="9" max="9" width="6.81640625" bestFit="1" customWidth="1"/>
    <col min="10" max="14" width="25" customWidth="1"/>
    <col min="15" max="15" width="9.36328125" bestFit="1" customWidth="1"/>
    <col min="16" max="18" width="25" customWidth="1"/>
    <col min="19" max="19" width="15.1796875" bestFit="1" customWidth="1"/>
    <col min="20" max="20" width="19.31640625" bestFit="1" customWidth="1"/>
    <col min="21" max="21" width="16.40625" bestFit="1" customWidth="1"/>
    <col min="22" max="22" width="19" bestFit="1" customWidth="1"/>
    <col min="23" max="23" width="19.58984375" bestFit="1" customWidth="1"/>
    <col min="24" max="24" width="17.54296875" bestFit="1" customWidth="1"/>
    <col min="25" max="25" width="12.6796875" bestFit="1" customWidth="1"/>
    <col min="26" max="26" width="25" customWidth="1"/>
    <col min="27" max="27" width="20.40625" bestFit="1" customWidth="1"/>
    <col min="28" max="28" width="21.81640625" bestFit="1" customWidth="1"/>
    <col min="29" max="29" width="16.5" bestFit="1" customWidth="1"/>
    <col min="31" max="31" width="17.54296875" bestFit="1" customWidth="1"/>
    <col min="32" max="32" width="6.1328125" bestFit="1" customWidth="1"/>
  </cols>
  <sheetData>
    <row r="1" spans="1:32">
      <c r="A1" s="28" t="s">
        <v>1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9</v>
      </c>
      <c r="J1" s="28" t="s">
        <v>10</v>
      </c>
      <c r="K1" s="28" t="s">
        <v>11</v>
      </c>
      <c r="L1" s="28" t="s">
        <v>12</v>
      </c>
      <c r="M1" s="28" t="s">
        <v>13</v>
      </c>
      <c r="N1" s="28" t="s">
        <v>14</v>
      </c>
      <c r="O1" s="28" t="s">
        <v>15</v>
      </c>
      <c r="P1" s="28" t="s">
        <v>16</v>
      </c>
      <c r="Q1" s="28" t="s">
        <v>17</v>
      </c>
      <c r="R1" s="28" t="s">
        <v>18</v>
      </c>
      <c r="S1" s="28" t="s">
        <v>19</v>
      </c>
      <c r="T1" s="28" t="s">
        <v>20</v>
      </c>
      <c r="U1" s="28" t="s">
        <v>21</v>
      </c>
      <c r="V1" s="28" t="s">
        <v>22</v>
      </c>
      <c r="W1" s="28" t="s">
        <v>23</v>
      </c>
      <c r="X1" s="28" t="s">
        <v>24</v>
      </c>
      <c r="Y1" s="28" t="s">
        <v>25</v>
      </c>
      <c r="Z1" s="28" t="s">
        <v>26</v>
      </c>
      <c r="AA1" s="28" t="s">
        <v>971</v>
      </c>
      <c r="AB1" s="28" t="s">
        <v>972</v>
      </c>
      <c r="AC1" s="28" t="s">
        <v>982</v>
      </c>
      <c r="AE1" s="29" t="s">
        <v>1008</v>
      </c>
      <c r="AF1" s="29" t="s">
        <v>1009</v>
      </c>
    </row>
    <row r="2" spans="1:32" ht="26.2">
      <c r="A2" s="23" t="s">
        <v>27</v>
      </c>
      <c r="B2" s="23" t="s">
        <v>28</v>
      </c>
      <c r="C2" s="31" t="s">
        <v>29</v>
      </c>
      <c r="D2" s="31" t="s">
        <v>30</v>
      </c>
      <c r="E2" s="31" t="s">
        <v>31</v>
      </c>
      <c r="F2" s="23">
        <v>1</v>
      </c>
      <c r="G2" s="23">
        <v>0</v>
      </c>
      <c r="H2" s="23" t="s">
        <v>32</v>
      </c>
      <c r="I2" s="23">
        <v>1</v>
      </c>
      <c r="J2" s="31" t="s">
        <v>33</v>
      </c>
      <c r="K2" s="31" t="s">
        <v>34</v>
      </c>
      <c r="L2" s="31" t="s">
        <v>35</v>
      </c>
      <c r="M2" s="31" t="s">
        <v>36</v>
      </c>
      <c r="N2" s="31" t="s">
        <v>37</v>
      </c>
      <c r="O2" s="23">
        <v>1.25</v>
      </c>
      <c r="P2" s="31" t="s">
        <v>38</v>
      </c>
      <c r="Q2" s="31" t="s">
        <v>39</v>
      </c>
      <c r="R2" s="31" t="s">
        <v>39</v>
      </c>
      <c r="S2" s="23">
        <v>0</v>
      </c>
      <c r="T2" s="23">
        <v>1.25</v>
      </c>
      <c r="U2" s="23">
        <v>1.25868055555555</v>
      </c>
      <c r="V2" s="23">
        <v>0.157335069444444</v>
      </c>
      <c r="W2" s="23">
        <v>1.1013454861111101</v>
      </c>
      <c r="X2" s="23" t="s">
        <v>40</v>
      </c>
      <c r="Y2" s="23"/>
      <c r="Z2" s="31" t="s">
        <v>41</v>
      </c>
      <c r="AA2" s="23" t="b">
        <v>1</v>
      </c>
      <c r="AB2" s="23" t="b">
        <v>1</v>
      </c>
      <c r="AC2" s="23" t="b">
        <v>1</v>
      </c>
      <c r="AE2" s="30" t="s">
        <v>1010</v>
      </c>
      <c r="AF2">
        <f>ROWS(A2:A82)</f>
        <v>81</v>
      </c>
    </row>
    <row r="3" spans="1:32" ht="26.2">
      <c r="A3" s="24" t="s">
        <v>192</v>
      </c>
      <c r="B3" s="24" t="s">
        <v>193</v>
      </c>
      <c r="C3" s="32" t="s">
        <v>194</v>
      </c>
      <c r="D3" s="32" t="s">
        <v>30</v>
      </c>
      <c r="E3" s="32" t="s">
        <v>195</v>
      </c>
      <c r="F3" s="24">
        <v>1</v>
      </c>
      <c r="G3" s="24">
        <v>0</v>
      </c>
      <c r="H3" s="24" t="s">
        <v>45</v>
      </c>
      <c r="I3" s="24">
        <v>1</v>
      </c>
      <c r="J3" s="32" t="s">
        <v>196</v>
      </c>
      <c r="K3" s="32" t="s">
        <v>34</v>
      </c>
      <c r="L3" s="32" t="s">
        <v>973</v>
      </c>
      <c r="M3" s="32" t="s">
        <v>197</v>
      </c>
      <c r="N3" s="32" t="s">
        <v>198</v>
      </c>
      <c r="O3" s="24">
        <v>1.25</v>
      </c>
      <c r="P3" s="32" t="s">
        <v>199</v>
      </c>
      <c r="Q3" s="32" t="s">
        <v>200</v>
      </c>
      <c r="R3" s="32" t="s">
        <v>201</v>
      </c>
      <c r="S3" s="24">
        <v>-0.10416666666666601</v>
      </c>
      <c r="T3" s="24">
        <v>1.3541666666666601</v>
      </c>
      <c r="U3" s="24">
        <v>1.3635706018518501</v>
      </c>
      <c r="V3" s="24">
        <v>0.17044632523148101</v>
      </c>
      <c r="W3" s="24">
        <v>1.19312427662037</v>
      </c>
      <c r="X3" s="24" t="s">
        <v>40</v>
      </c>
      <c r="Y3" s="24"/>
      <c r="Z3" s="32" t="s">
        <v>202</v>
      </c>
      <c r="AA3" s="24" t="b">
        <v>1</v>
      </c>
      <c r="AB3" s="24" t="b">
        <v>1</v>
      </c>
      <c r="AC3" s="24" t="b">
        <v>1</v>
      </c>
      <c r="AE3" s="30" t="s">
        <v>1011</v>
      </c>
      <c r="AF3">
        <f>SUM(O2:O82)</f>
        <v>12600</v>
      </c>
    </row>
    <row r="4" spans="1:32" ht="26.2">
      <c r="A4" s="23" t="s">
        <v>43</v>
      </c>
      <c r="B4" s="23" t="s">
        <v>28</v>
      </c>
      <c r="C4" s="31" t="s">
        <v>44</v>
      </c>
      <c r="D4" s="31" t="s">
        <v>30</v>
      </c>
      <c r="E4" s="31" t="s">
        <v>31</v>
      </c>
      <c r="F4" s="23">
        <v>1</v>
      </c>
      <c r="G4" s="23">
        <v>0</v>
      </c>
      <c r="H4" s="23" t="s">
        <v>45</v>
      </c>
      <c r="I4" s="23">
        <v>1</v>
      </c>
      <c r="J4" s="31" t="s">
        <v>46</v>
      </c>
      <c r="K4" s="31" t="s">
        <v>34</v>
      </c>
      <c r="L4" s="31" t="s">
        <v>35</v>
      </c>
      <c r="M4" s="31" t="s">
        <v>36</v>
      </c>
      <c r="N4" s="31" t="s">
        <v>37</v>
      </c>
      <c r="O4" s="23">
        <v>1.5</v>
      </c>
      <c r="P4" s="31" t="s">
        <v>38</v>
      </c>
      <c r="Q4" s="31" t="s">
        <v>39</v>
      </c>
      <c r="R4" s="31" t="s">
        <v>39</v>
      </c>
      <c r="S4" s="23">
        <v>0</v>
      </c>
      <c r="T4" s="23">
        <v>1.5</v>
      </c>
      <c r="U4" s="23">
        <v>1.5104166666666601</v>
      </c>
      <c r="V4" s="23">
        <v>0.18880208333333301</v>
      </c>
      <c r="W4" s="23">
        <v>1.3216145833333299</v>
      </c>
      <c r="X4" s="23" t="s">
        <v>40</v>
      </c>
      <c r="Y4" s="23"/>
      <c r="Z4" s="31" t="s">
        <v>41</v>
      </c>
      <c r="AA4" s="23" t="b">
        <v>1</v>
      </c>
      <c r="AB4" s="23" t="b">
        <v>1</v>
      </c>
      <c r="AC4" s="23" t="b">
        <v>1</v>
      </c>
      <c r="AE4" s="30" t="s">
        <v>1012</v>
      </c>
      <c r="AF4">
        <f>AF3-12600</f>
        <v>0</v>
      </c>
    </row>
    <row r="5" spans="1:32" ht="26.2">
      <c r="A5" s="24" t="s">
        <v>203</v>
      </c>
      <c r="B5" s="24" t="s">
        <v>193</v>
      </c>
      <c r="C5" s="32" t="s">
        <v>204</v>
      </c>
      <c r="D5" s="32" t="s">
        <v>30</v>
      </c>
      <c r="E5" s="32" t="s">
        <v>195</v>
      </c>
      <c r="F5" s="24">
        <v>1</v>
      </c>
      <c r="G5" s="24">
        <v>0</v>
      </c>
      <c r="H5" s="24" t="s">
        <v>32</v>
      </c>
      <c r="I5" s="24">
        <v>1</v>
      </c>
      <c r="J5" s="32" t="s">
        <v>196</v>
      </c>
      <c r="K5" s="32" t="s">
        <v>34</v>
      </c>
      <c r="L5" s="32" t="s">
        <v>973</v>
      </c>
      <c r="M5" s="32" t="s">
        <v>197</v>
      </c>
      <c r="N5" s="32" t="s">
        <v>198</v>
      </c>
      <c r="O5" s="24">
        <v>1.5</v>
      </c>
      <c r="P5" s="32" t="s">
        <v>205</v>
      </c>
      <c r="Q5" s="32" t="s">
        <v>200</v>
      </c>
      <c r="R5" s="32" t="s">
        <v>201</v>
      </c>
      <c r="S5" s="24">
        <v>0.125</v>
      </c>
      <c r="T5" s="24">
        <v>1.375</v>
      </c>
      <c r="U5" s="24">
        <v>1.3845486111111101</v>
      </c>
      <c r="V5" s="24">
        <v>0.17306857638888801</v>
      </c>
      <c r="W5" s="24">
        <v>1.2114800347222201</v>
      </c>
      <c r="X5" s="24" t="s">
        <v>40</v>
      </c>
      <c r="Y5" s="24"/>
      <c r="Z5" s="32" t="s">
        <v>202</v>
      </c>
      <c r="AA5" s="24" t="b">
        <v>1</v>
      </c>
      <c r="AB5" s="24" t="b">
        <v>1</v>
      </c>
      <c r="AC5" s="24" t="b">
        <v>1</v>
      </c>
    </row>
    <row r="6" spans="1:32" ht="26.2">
      <c r="A6" s="25" t="s">
        <v>47</v>
      </c>
      <c r="B6" s="25" t="s">
        <v>28</v>
      </c>
      <c r="C6" s="33" t="s">
        <v>48</v>
      </c>
      <c r="D6" s="33" t="s">
        <v>49</v>
      </c>
      <c r="E6" s="33" t="s">
        <v>50</v>
      </c>
      <c r="F6" s="25">
        <v>1</v>
      </c>
      <c r="G6" s="25">
        <v>0</v>
      </c>
      <c r="H6" s="25" t="s">
        <v>51</v>
      </c>
      <c r="I6" s="25">
        <v>0</v>
      </c>
      <c r="J6" s="33" t="s">
        <v>51</v>
      </c>
      <c r="K6" s="33" t="s">
        <v>34</v>
      </c>
      <c r="L6" s="33" t="s">
        <v>35</v>
      </c>
      <c r="M6" s="33" t="s">
        <v>36</v>
      </c>
      <c r="N6" s="33" t="s">
        <v>52</v>
      </c>
      <c r="O6" s="25">
        <v>0.125</v>
      </c>
      <c r="P6" s="33" t="s">
        <v>38</v>
      </c>
      <c r="Q6" s="33" t="s">
        <v>39</v>
      </c>
      <c r="R6" s="33" t="s">
        <v>39</v>
      </c>
      <c r="S6" s="25">
        <v>0</v>
      </c>
      <c r="T6" s="25">
        <v>0.125</v>
      </c>
      <c r="U6" s="25">
        <v>0.125</v>
      </c>
      <c r="V6" s="25">
        <v>1.5625E-2</v>
      </c>
      <c r="W6" s="25">
        <v>0.109375</v>
      </c>
      <c r="X6" s="25" t="s">
        <v>40</v>
      </c>
      <c r="Y6" s="25"/>
      <c r="Z6" s="33" t="s">
        <v>41</v>
      </c>
      <c r="AA6" s="25" t="b">
        <v>1</v>
      </c>
      <c r="AB6" s="25" t="b">
        <v>1</v>
      </c>
      <c r="AC6" s="25" t="b">
        <v>1</v>
      </c>
    </row>
    <row r="7" spans="1:32" ht="26.2">
      <c r="A7" s="23" t="s">
        <v>53</v>
      </c>
      <c r="B7" s="23" t="s">
        <v>28</v>
      </c>
      <c r="C7" s="31" t="s">
        <v>54</v>
      </c>
      <c r="D7" s="31" t="s">
        <v>30</v>
      </c>
      <c r="E7" s="31" t="s">
        <v>31</v>
      </c>
      <c r="F7" s="23">
        <v>2</v>
      </c>
      <c r="G7" s="23">
        <v>0</v>
      </c>
      <c r="H7" s="23" t="s">
        <v>32</v>
      </c>
      <c r="I7" s="23">
        <v>2</v>
      </c>
      <c r="J7" s="31" t="s">
        <v>33</v>
      </c>
      <c r="K7" s="31" t="s">
        <v>34</v>
      </c>
      <c r="L7" s="31" t="s">
        <v>35</v>
      </c>
      <c r="M7" s="31" t="s">
        <v>36</v>
      </c>
      <c r="N7" s="31" t="s">
        <v>37</v>
      </c>
      <c r="O7" s="23">
        <v>2.5</v>
      </c>
      <c r="P7" s="31" t="s">
        <v>38</v>
      </c>
      <c r="Q7" s="31" t="s">
        <v>39</v>
      </c>
      <c r="R7" s="31" t="s">
        <v>39</v>
      </c>
      <c r="S7" s="23">
        <v>0</v>
      </c>
      <c r="T7" s="23">
        <v>2.5</v>
      </c>
      <c r="U7" s="23">
        <v>2.5347222222222201</v>
      </c>
      <c r="V7" s="23">
        <v>0.31684027777777701</v>
      </c>
      <c r="W7" s="23">
        <v>2.2178819444444402</v>
      </c>
      <c r="X7" s="23" t="s">
        <v>40</v>
      </c>
      <c r="Y7" s="23"/>
      <c r="Z7" s="31" t="s">
        <v>41</v>
      </c>
      <c r="AA7" s="23" t="b">
        <v>1</v>
      </c>
      <c r="AB7" s="23" t="b">
        <v>1</v>
      </c>
      <c r="AC7" s="23" t="b">
        <v>1</v>
      </c>
    </row>
    <row r="8" spans="1:32" ht="26.2">
      <c r="A8" s="24" t="s">
        <v>206</v>
      </c>
      <c r="B8" s="24" t="s">
        <v>193</v>
      </c>
      <c r="C8" s="32" t="s">
        <v>207</v>
      </c>
      <c r="D8" s="32" t="s">
        <v>30</v>
      </c>
      <c r="E8" s="32" t="s">
        <v>195</v>
      </c>
      <c r="F8" s="24">
        <v>2</v>
      </c>
      <c r="G8" s="24">
        <v>0</v>
      </c>
      <c r="H8" s="24" t="s">
        <v>45</v>
      </c>
      <c r="I8" s="24">
        <v>2</v>
      </c>
      <c r="J8" s="32" t="s">
        <v>196</v>
      </c>
      <c r="K8" s="32" t="s">
        <v>34</v>
      </c>
      <c r="L8" s="32" t="s">
        <v>973</v>
      </c>
      <c r="M8" s="32" t="s">
        <v>197</v>
      </c>
      <c r="N8" s="32" t="s">
        <v>198</v>
      </c>
      <c r="O8" s="24">
        <v>2.5</v>
      </c>
      <c r="P8" s="32" t="s">
        <v>199</v>
      </c>
      <c r="Q8" s="32" t="s">
        <v>200</v>
      </c>
      <c r="R8" s="32" t="s">
        <v>208</v>
      </c>
      <c r="S8" s="24">
        <v>-0.41666666666666602</v>
      </c>
      <c r="T8" s="24">
        <v>2.9166666666666599</v>
      </c>
      <c r="U8" s="24">
        <v>2.9571759259259198</v>
      </c>
      <c r="V8" s="24">
        <v>0.36964699074073998</v>
      </c>
      <c r="W8" s="24">
        <v>2.5875289351851798</v>
      </c>
      <c r="X8" s="24" t="s">
        <v>40</v>
      </c>
      <c r="Y8" s="24"/>
      <c r="Z8" s="32" t="s">
        <v>202</v>
      </c>
      <c r="AA8" s="24" t="b">
        <v>1</v>
      </c>
      <c r="AB8" s="24" t="b">
        <v>1</v>
      </c>
      <c r="AC8" s="24" t="b">
        <v>1</v>
      </c>
    </row>
    <row r="9" spans="1:32" ht="26.2">
      <c r="A9" s="23" t="s">
        <v>55</v>
      </c>
      <c r="B9" s="23" t="s">
        <v>28</v>
      </c>
      <c r="C9" s="31" t="s">
        <v>56</v>
      </c>
      <c r="D9" s="31" t="s">
        <v>30</v>
      </c>
      <c r="E9" s="31" t="s">
        <v>31</v>
      </c>
      <c r="F9" s="23">
        <v>2</v>
      </c>
      <c r="G9" s="23">
        <v>0</v>
      </c>
      <c r="H9" s="23" t="s">
        <v>45</v>
      </c>
      <c r="I9" s="23">
        <v>2</v>
      </c>
      <c r="J9" s="31" t="s">
        <v>46</v>
      </c>
      <c r="K9" s="31" t="s">
        <v>34</v>
      </c>
      <c r="L9" s="31" t="s">
        <v>35</v>
      </c>
      <c r="M9" s="31" t="s">
        <v>36</v>
      </c>
      <c r="N9" s="31" t="s">
        <v>37</v>
      </c>
      <c r="O9" s="23">
        <v>3</v>
      </c>
      <c r="P9" s="31" t="s">
        <v>38</v>
      </c>
      <c r="Q9" s="31" t="s">
        <v>39</v>
      </c>
      <c r="R9" s="31" t="s">
        <v>39</v>
      </c>
      <c r="S9" s="23">
        <v>0</v>
      </c>
      <c r="T9" s="23">
        <v>3</v>
      </c>
      <c r="U9" s="23">
        <v>3.0416666666666599</v>
      </c>
      <c r="V9" s="23">
        <v>0.38020833333333298</v>
      </c>
      <c r="W9" s="23">
        <v>2.6614583333333299</v>
      </c>
      <c r="X9" s="23" t="s">
        <v>40</v>
      </c>
      <c r="Y9" s="23"/>
      <c r="Z9" s="31" t="s">
        <v>41</v>
      </c>
      <c r="AA9" s="23" t="b">
        <v>1</v>
      </c>
      <c r="AB9" s="23" t="b">
        <v>1</v>
      </c>
      <c r="AC9" s="23" t="b">
        <v>1</v>
      </c>
    </row>
    <row r="10" spans="1:32" ht="26.2">
      <c r="A10" s="24" t="s">
        <v>209</v>
      </c>
      <c r="B10" s="24" t="s">
        <v>193</v>
      </c>
      <c r="C10" s="32" t="s">
        <v>210</v>
      </c>
      <c r="D10" s="32" t="s">
        <v>30</v>
      </c>
      <c r="E10" s="32" t="s">
        <v>195</v>
      </c>
      <c r="F10" s="24">
        <v>2</v>
      </c>
      <c r="G10" s="24">
        <v>0</v>
      </c>
      <c r="H10" s="24" t="s">
        <v>32</v>
      </c>
      <c r="I10" s="24">
        <v>2</v>
      </c>
      <c r="J10" s="32" t="s">
        <v>196</v>
      </c>
      <c r="K10" s="32" t="s">
        <v>34</v>
      </c>
      <c r="L10" s="32" t="s">
        <v>973</v>
      </c>
      <c r="M10" s="32" t="s">
        <v>197</v>
      </c>
      <c r="N10" s="32" t="s">
        <v>198</v>
      </c>
      <c r="O10" s="24">
        <v>3</v>
      </c>
      <c r="P10" s="32" t="s">
        <v>205</v>
      </c>
      <c r="Q10" s="32" t="s">
        <v>200</v>
      </c>
      <c r="R10" s="32" t="s">
        <v>208</v>
      </c>
      <c r="S10" s="24">
        <v>0.5</v>
      </c>
      <c r="T10" s="24">
        <v>2.5</v>
      </c>
      <c r="U10" s="24">
        <v>2.5347222222222201</v>
      </c>
      <c r="V10" s="24">
        <v>0.31684027777777701</v>
      </c>
      <c r="W10" s="24">
        <v>2.2178819444444402</v>
      </c>
      <c r="X10" s="24" t="s">
        <v>40</v>
      </c>
      <c r="Y10" s="24"/>
      <c r="Z10" s="32" t="s">
        <v>202</v>
      </c>
      <c r="AA10" s="24" t="b">
        <v>1</v>
      </c>
      <c r="AB10" s="24" t="b">
        <v>1</v>
      </c>
      <c r="AC10" s="24" t="b">
        <v>1</v>
      </c>
    </row>
    <row r="11" spans="1:32" ht="26.2">
      <c r="A11" s="25" t="s">
        <v>57</v>
      </c>
      <c r="B11" s="25" t="s">
        <v>28</v>
      </c>
      <c r="C11" s="33" t="s">
        <v>58</v>
      </c>
      <c r="D11" s="33" t="s">
        <v>49</v>
      </c>
      <c r="E11" s="33" t="s">
        <v>50</v>
      </c>
      <c r="F11" s="25">
        <v>2</v>
      </c>
      <c r="G11" s="25">
        <v>0</v>
      </c>
      <c r="H11" s="25" t="s">
        <v>51</v>
      </c>
      <c r="I11" s="25">
        <v>0</v>
      </c>
      <c r="J11" s="33" t="s">
        <v>51</v>
      </c>
      <c r="K11" s="33" t="s">
        <v>34</v>
      </c>
      <c r="L11" s="33" t="s">
        <v>35</v>
      </c>
      <c r="M11" s="33" t="s">
        <v>36</v>
      </c>
      <c r="N11" s="33" t="s">
        <v>52</v>
      </c>
      <c r="O11" s="25">
        <v>0.25</v>
      </c>
      <c r="P11" s="33" t="s">
        <v>38</v>
      </c>
      <c r="Q11" s="33" t="s">
        <v>39</v>
      </c>
      <c r="R11" s="33" t="s">
        <v>39</v>
      </c>
      <c r="S11" s="25">
        <v>0</v>
      </c>
      <c r="T11" s="25">
        <v>0.25</v>
      </c>
      <c r="U11" s="25">
        <v>0.25</v>
      </c>
      <c r="V11" s="25">
        <v>3.125E-2</v>
      </c>
      <c r="W11" s="25">
        <v>0.21875</v>
      </c>
      <c r="X11" s="25" t="s">
        <v>40</v>
      </c>
      <c r="Y11" s="25"/>
      <c r="Z11" s="33" t="s">
        <v>41</v>
      </c>
      <c r="AA11" s="25" t="b">
        <v>1</v>
      </c>
      <c r="AB11" s="25" t="b">
        <v>1</v>
      </c>
      <c r="AC11" s="25" t="b">
        <v>1</v>
      </c>
    </row>
    <row r="12" spans="1:32" ht="26.2">
      <c r="A12" s="23" t="s">
        <v>59</v>
      </c>
      <c r="B12" s="23" t="s">
        <v>28</v>
      </c>
      <c r="C12" s="31" t="s">
        <v>60</v>
      </c>
      <c r="D12" s="31" t="s">
        <v>30</v>
      </c>
      <c r="E12" s="31" t="s">
        <v>31</v>
      </c>
      <c r="F12" s="23">
        <v>3</v>
      </c>
      <c r="G12" s="23">
        <v>0</v>
      </c>
      <c r="H12" s="23" t="s">
        <v>32</v>
      </c>
      <c r="I12" s="23">
        <v>3</v>
      </c>
      <c r="J12" s="31" t="s">
        <v>33</v>
      </c>
      <c r="K12" s="31" t="s">
        <v>34</v>
      </c>
      <c r="L12" s="31" t="s">
        <v>35</v>
      </c>
      <c r="M12" s="31" t="s">
        <v>36</v>
      </c>
      <c r="N12" s="31" t="s">
        <v>37</v>
      </c>
      <c r="O12" s="23">
        <v>3.75</v>
      </c>
      <c r="P12" s="31" t="s">
        <v>38</v>
      </c>
      <c r="Q12" s="31" t="s">
        <v>39</v>
      </c>
      <c r="R12" s="31" t="s">
        <v>39</v>
      </c>
      <c r="S12" s="23">
        <v>0</v>
      </c>
      <c r="T12" s="23">
        <v>3.75</v>
      </c>
      <c r="U12" s="23">
        <v>3.8281249999999898</v>
      </c>
      <c r="V12" s="23">
        <v>0.478515624999999</v>
      </c>
      <c r="W12" s="23">
        <v>3.3496093749999898</v>
      </c>
      <c r="X12" s="23" t="s">
        <v>40</v>
      </c>
      <c r="Y12" s="23"/>
      <c r="Z12" s="31" t="s">
        <v>41</v>
      </c>
      <c r="AA12" s="23" t="b">
        <v>1</v>
      </c>
      <c r="AB12" s="23" t="b">
        <v>1</v>
      </c>
      <c r="AC12" s="23" t="b">
        <v>1</v>
      </c>
    </row>
    <row r="13" spans="1:32" ht="26.2">
      <c r="A13" s="24" t="s">
        <v>211</v>
      </c>
      <c r="B13" s="24" t="s">
        <v>193</v>
      </c>
      <c r="C13" s="32" t="s">
        <v>212</v>
      </c>
      <c r="D13" s="32" t="s">
        <v>30</v>
      </c>
      <c r="E13" s="32" t="s">
        <v>195</v>
      </c>
      <c r="F13" s="24">
        <v>3</v>
      </c>
      <c r="G13" s="24">
        <v>0</v>
      </c>
      <c r="H13" s="24" t="s">
        <v>45</v>
      </c>
      <c r="I13" s="24">
        <v>3</v>
      </c>
      <c r="J13" s="32" t="s">
        <v>196</v>
      </c>
      <c r="K13" s="32" t="s">
        <v>34</v>
      </c>
      <c r="L13" s="32" t="s">
        <v>973</v>
      </c>
      <c r="M13" s="32" t="s">
        <v>197</v>
      </c>
      <c r="N13" s="32" t="s">
        <v>198</v>
      </c>
      <c r="O13" s="24">
        <v>3.75</v>
      </c>
      <c r="P13" s="32" t="s">
        <v>199</v>
      </c>
      <c r="Q13" s="32" t="s">
        <v>200</v>
      </c>
      <c r="R13" s="32" t="s">
        <v>213</v>
      </c>
      <c r="S13" s="24">
        <v>-0.9375</v>
      </c>
      <c r="T13" s="24">
        <v>4.6875</v>
      </c>
      <c r="U13" s="24">
        <v>4.7851562499999902</v>
      </c>
      <c r="V13" s="24">
        <v>0.598144531249999</v>
      </c>
      <c r="W13" s="24">
        <v>4.1870117187499902</v>
      </c>
      <c r="X13" s="24" t="s">
        <v>40</v>
      </c>
      <c r="Y13" s="24"/>
      <c r="Z13" s="32" t="s">
        <v>202</v>
      </c>
      <c r="AA13" s="24" t="b">
        <v>1</v>
      </c>
      <c r="AB13" s="24" t="b">
        <v>1</v>
      </c>
      <c r="AC13" s="24" t="b">
        <v>1</v>
      </c>
    </row>
    <row r="14" spans="1:32" ht="26.2">
      <c r="A14" s="23" t="s">
        <v>61</v>
      </c>
      <c r="B14" s="23" t="s">
        <v>28</v>
      </c>
      <c r="C14" s="31" t="s">
        <v>62</v>
      </c>
      <c r="D14" s="31" t="s">
        <v>30</v>
      </c>
      <c r="E14" s="31" t="s">
        <v>31</v>
      </c>
      <c r="F14" s="23">
        <v>3</v>
      </c>
      <c r="G14" s="23">
        <v>0</v>
      </c>
      <c r="H14" s="23" t="s">
        <v>45</v>
      </c>
      <c r="I14" s="23">
        <v>3</v>
      </c>
      <c r="J14" s="31" t="s">
        <v>46</v>
      </c>
      <c r="K14" s="31" t="s">
        <v>34</v>
      </c>
      <c r="L14" s="31" t="s">
        <v>35</v>
      </c>
      <c r="M14" s="31" t="s">
        <v>36</v>
      </c>
      <c r="N14" s="31" t="s">
        <v>37</v>
      </c>
      <c r="O14" s="23">
        <v>4.5</v>
      </c>
      <c r="P14" s="31" t="s">
        <v>38</v>
      </c>
      <c r="Q14" s="31" t="s">
        <v>39</v>
      </c>
      <c r="R14" s="31" t="s">
        <v>39</v>
      </c>
      <c r="S14" s="23">
        <v>0</v>
      </c>
      <c r="T14" s="23">
        <v>4.5</v>
      </c>
      <c r="U14" s="23">
        <v>4.5937499999999902</v>
      </c>
      <c r="V14" s="23">
        <v>0.574218749999999</v>
      </c>
      <c r="W14" s="23">
        <v>4.0195312499999902</v>
      </c>
      <c r="X14" s="23" t="s">
        <v>40</v>
      </c>
      <c r="Y14" s="23"/>
      <c r="Z14" s="31" t="s">
        <v>41</v>
      </c>
      <c r="AA14" s="23" t="b">
        <v>1</v>
      </c>
      <c r="AB14" s="23" t="b">
        <v>1</v>
      </c>
      <c r="AC14" s="23" t="b">
        <v>1</v>
      </c>
    </row>
    <row r="15" spans="1:32" ht="26.2">
      <c r="A15" s="24" t="s">
        <v>214</v>
      </c>
      <c r="B15" s="24" t="s">
        <v>193</v>
      </c>
      <c r="C15" s="32" t="s">
        <v>215</v>
      </c>
      <c r="D15" s="32" t="s">
        <v>30</v>
      </c>
      <c r="E15" s="32" t="s">
        <v>195</v>
      </c>
      <c r="F15" s="24">
        <v>3</v>
      </c>
      <c r="G15" s="24">
        <v>0</v>
      </c>
      <c r="H15" s="24" t="s">
        <v>32</v>
      </c>
      <c r="I15" s="24">
        <v>3</v>
      </c>
      <c r="J15" s="32" t="s">
        <v>196</v>
      </c>
      <c r="K15" s="32" t="s">
        <v>34</v>
      </c>
      <c r="L15" s="32" t="s">
        <v>973</v>
      </c>
      <c r="M15" s="32" t="s">
        <v>197</v>
      </c>
      <c r="N15" s="32" t="s">
        <v>198</v>
      </c>
      <c r="O15" s="24">
        <v>4.5</v>
      </c>
      <c r="P15" s="32" t="s">
        <v>205</v>
      </c>
      <c r="Q15" s="32" t="s">
        <v>200</v>
      </c>
      <c r="R15" s="32" t="s">
        <v>213</v>
      </c>
      <c r="S15" s="24">
        <v>1.125</v>
      </c>
      <c r="T15" s="24">
        <v>3.375</v>
      </c>
      <c r="U15" s="24">
        <v>3.4453124999999898</v>
      </c>
      <c r="V15" s="24">
        <v>0.430664062499999</v>
      </c>
      <c r="W15" s="24">
        <v>3.0146484374999898</v>
      </c>
      <c r="X15" s="24" t="s">
        <v>40</v>
      </c>
      <c r="Y15" s="24"/>
      <c r="Z15" s="32" t="s">
        <v>202</v>
      </c>
      <c r="AA15" s="24" t="b">
        <v>1</v>
      </c>
      <c r="AB15" s="24" t="b">
        <v>1</v>
      </c>
      <c r="AC15" s="24" t="b">
        <v>1</v>
      </c>
    </row>
    <row r="16" spans="1:32" ht="26.2">
      <c r="A16" s="25" t="s">
        <v>63</v>
      </c>
      <c r="B16" s="25" t="s">
        <v>28</v>
      </c>
      <c r="C16" s="33" t="s">
        <v>64</v>
      </c>
      <c r="D16" s="33" t="s">
        <v>49</v>
      </c>
      <c r="E16" s="33" t="s">
        <v>50</v>
      </c>
      <c r="F16" s="25">
        <v>3</v>
      </c>
      <c r="G16" s="25">
        <v>0</v>
      </c>
      <c r="H16" s="25" t="s">
        <v>51</v>
      </c>
      <c r="I16" s="25">
        <v>0</v>
      </c>
      <c r="J16" s="33" t="s">
        <v>51</v>
      </c>
      <c r="K16" s="33" t="s">
        <v>34</v>
      </c>
      <c r="L16" s="33" t="s">
        <v>35</v>
      </c>
      <c r="M16" s="33" t="s">
        <v>36</v>
      </c>
      <c r="N16" s="33" t="s">
        <v>52</v>
      </c>
      <c r="O16" s="25">
        <v>0.375</v>
      </c>
      <c r="P16" s="33" t="s">
        <v>38</v>
      </c>
      <c r="Q16" s="33" t="s">
        <v>39</v>
      </c>
      <c r="R16" s="33" t="s">
        <v>39</v>
      </c>
      <c r="S16" s="25">
        <v>0</v>
      </c>
      <c r="T16" s="25">
        <v>0.375</v>
      </c>
      <c r="U16" s="25">
        <v>0.375</v>
      </c>
      <c r="V16" s="25">
        <v>4.6875E-2</v>
      </c>
      <c r="W16" s="25">
        <v>0.328125</v>
      </c>
      <c r="X16" s="25" t="s">
        <v>40</v>
      </c>
      <c r="Y16" s="25"/>
      <c r="Z16" s="33" t="s">
        <v>41</v>
      </c>
      <c r="AA16" s="25" t="b">
        <v>1</v>
      </c>
      <c r="AB16" s="25" t="b">
        <v>1</v>
      </c>
      <c r="AC16" s="25" t="b">
        <v>1</v>
      </c>
    </row>
    <row r="17" spans="1:29" ht="26.2">
      <c r="A17" s="23" t="s">
        <v>65</v>
      </c>
      <c r="B17" s="23" t="s">
        <v>28</v>
      </c>
      <c r="C17" s="31" t="s">
        <v>66</v>
      </c>
      <c r="D17" s="31" t="s">
        <v>30</v>
      </c>
      <c r="E17" s="31" t="s">
        <v>31</v>
      </c>
      <c r="F17" s="23">
        <v>4</v>
      </c>
      <c r="G17" s="23">
        <v>0</v>
      </c>
      <c r="H17" s="23" t="s">
        <v>32</v>
      </c>
      <c r="I17" s="23">
        <v>4</v>
      </c>
      <c r="J17" s="31" t="s">
        <v>33</v>
      </c>
      <c r="K17" s="31" t="s">
        <v>34</v>
      </c>
      <c r="L17" s="31" t="s">
        <v>35</v>
      </c>
      <c r="M17" s="31" t="s">
        <v>36</v>
      </c>
      <c r="N17" s="31" t="s">
        <v>37</v>
      </c>
      <c r="O17" s="23">
        <v>5</v>
      </c>
      <c r="P17" s="31" t="s">
        <v>38</v>
      </c>
      <c r="Q17" s="31" t="s">
        <v>39</v>
      </c>
      <c r="R17" s="31" t="s">
        <v>39</v>
      </c>
      <c r="S17" s="23">
        <v>0</v>
      </c>
      <c r="T17" s="23">
        <v>5</v>
      </c>
      <c r="U17" s="23">
        <v>5.1388888888888804</v>
      </c>
      <c r="V17" s="23">
        <v>0.64236111111111105</v>
      </c>
      <c r="W17" s="23">
        <v>4.4965277777777697</v>
      </c>
      <c r="X17" s="23" t="s">
        <v>40</v>
      </c>
      <c r="Y17" s="23"/>
      <c r="Z17" s="31" t="s">
        <v>41</v>
      </c>
      <c r="AA17" s="23" t="b">
        <v>1</v>
      </c>
      <c r="AB17" s="23" t="b">
        <v>1</v>
      </c>
      <c r="AC17" s="23" t="b">
        <v>1</v>
      </c>
    </row>
    <row r="18" spans="1:29" ht="26.2">
      <c r="A18" s="24" t="s">
        <v>216</v>
      </c>
      <c r="B18" s="24" t="s">
        <v>193</v>
      </c>
      <c r="C18" s="32" t="s">
        <v>217</v>
      </c>
      <c r="D18" s="32" t="s">
        <v>30</v>
      </c>
      <c r="E18" s="32" t="s">
        <v>195</v>
      </c>
      <c r="F18" s="24">
        <v>4</v>
      </c>
      <c r="G18" s="24">
        <v>0</v>
      </c>
      <c r="H18" s="24" t="s">
        <v>45</v>
      </c>
      <c r="I18" s="24">
        <v>4</v>
      </c>
      <c r="J18" s="32" t="s">
        <v>196</v>
      </c>
      <c r="K18" s="32" t="s">
        <v>34</v>
      </c>
      <c r="L18" s="32" t="s">
        <v>973</v>
      </c>
      <c r="M18" s="32" t="s">
        <v>197</v>
      </c>
      <c r="N18" s="32" t="s">
        <v>198</v>
      </c>
      <c r="O18" s="24">
        <v>5</v>
      </c>
      <c r="P18" s="32" t="s">
        <v>199</v>
      </c>
      <c r="Q18" s="32" t="s">
        <v>200</v>
      </c>
      <c r="R18" s="32" t="s">
        <v>218</v>
      </c>
      <c r="S18" s="24">
        <v>-1.6666666666666601</v>
      </c>
      <c r="T18" s="24">
        <v>6.6666666666666599</v>
      </c>
      <c r="U18" s="24">
        <v>6.8518518518518503</v>
      </c>
      <c r="V18" s="24">
        <v>0.85648148148148096</v>
      </c>
      <c r="W18" s="24">
        <v>5.9953703703703702</v>
      </c>
      <c r="X18" s="24" t="s">
        <v>40</v>
      </c>
      <c r="Y18" s="24"/>
      <c r="Z18" s="32" t="s">
        <v>202</v>
      </c>
      <c r="AA18" s="24" t="b">
        <v>1</v>
      </c>
      <c r="AB18" s="24" t="b">
        <v>1</v>
      </c>
      <c r="AC18" s="24" t="b">
        <v>1</v>
      </c>
    </row>
    <row r="19" spans="1:29" ht="26.2">
      <c r="A19" s="23" t="s">
        <v>67</v>
      </c>
      <c r="B19" s="23" t="s">
        <v>28</v>
      </c>
      <c r="C19" s="31" t="s">
        <v>68</v>
      </c>
      <c r="D19" s="31" t="s">
        <v>30</v>
      </c>
      <c r="E19" s="31" t="s">
        <v>31</v>
      </c>
      <c r="F19" s="23">
        <v>4</v>
      </c>
      <c r="G19" s="23">
        <v>0</v>
      </c>
      <c r="H19" s="23" t="s">
        <v>45</v>
      </c>
      <c r="I19" s="23">
        <v>4</v>
      </c>
      <c r="J19" s="31" t="s">
        <v>46</v>
      </c>
      <c r="K19" s="31" t="s">
        <v>34</v>
      </c>
      <c r="L19" s="31" t="s">
        <v>35</v>
      </c>
      <c r="M19" s="31" t="s">
        <v>36</v>
      </c>
      <c r="N19" s="31" t="s">
        <v>37</v>
      </c>
      <c r="O19" s="23">
        <v>6</v>
      </c>
      <c r="P19" s="31" t="s">
        <v>38</v>
      </c>
      <c r="Q19" s="31" t="s">
        <v>39</v>
      </c>
      <c r="R19" s="31" t="s">
        <v>39</v>
      </c>
      <c r="S19" s="23">
        <v>0</v>
      </c>
      <c r="T19" s="23">
        <v>6</v>
      </c>
      <c r="U19" s="23">
        <v>6.1666666666666599</v>
      </c>
      <c r="V19" s="23">
        <v>0.77083333333333304</v>
      </c>
      <c r="W19" s="23">
        <v>5.3958333333333304</v>
      </c>
      <c r="X19" s="23" t="s">
        <v>40</v>
      </c>
      <c r="Y19" s="23"/>
      <c r="Z19" s="31" t="s">
        <v>41</v>
      </c>
      <c r="AA19" s="23" t="b">
        <v>1</v>
      </c>
      <c r="AB19" s="23" t="b">
        <v>1</v>
      </c>
      <c r="AC19" s="23" t="b">
        <v>1</v>
      </c>
    </row>
    <row r="20" spans="1:29" ht="26.2">
      <c r="A20" s="24" t="s">
        <v>219</v>
      </c>
      <c r="B20" s="24" t="s">
        <v>193</v>
      </c>
      <c r="C20" s="32" t="s">
        <v>220</v>
      </c>
      <c r="D20" s="32" t="s">
        <v>30</v>
      </c>
      <c r="E20" s="32" t="s">
        <v>195</v>
      </c>
      <c r="F20" s="24">
        <v>4</v>
      </c>
      <c r="G20" s="24">
        <v>0</v>
      </c>
      <c r="H20" s="24" t="s">
        <v>32</v>
      </c>
      <c r="I20" s="24">
        <v>4</v>
      </c>
      <c r="J20" s="32" t="s">
        <v>196</v>
      </c>
      <c r="K20" s="32" t="s">
        <v>34</v>
      </c>
      <c r="L20" s="32" t="s">
        <v>973</v>
      </c>
      <c r="M20" s="32" t="s">
        <v>197</v>
      </c>
      <c r="N20" s="32" t="s">
        <v>198</v>
      </c>
      <c r="O20" s="24">
        <v>6</v>
      </c>
      <c r="P20" s="32" t="s">
        <v>205</v>
      </c>
      <c r="Q20" s="32" t="s">
        <v>200</v>
      </c>
      <c r="R20" s="32" t="s">
        <v>218</v>
      </c>
      <c r="S20" s="24">
        <v>2</v>
      </c>
      <c r="T20" s="24">
        <v>4</v>
      </c>
      <c r="U20" s="24">
        <v>4.1111111111111098</v>
      </c>
      <c r="V20" s="24">
        <v>0.51388888888888795</v>
      </c>
      <c r="W20" s="24">
        <v>3.5972222222222201</v>
      </c>
      <c r="X20" s="24" t="s">
        <v>40</v>
      </c>
      <c r="Y20" s="24"/>
      <c r="Z20" s="32" t="s">
        <v>202</v>
      </c>
      <c r="AA20" s="24" t="b">
        <v>1</v>
      </c>
      <c r="AB20" s="24" t="b">
        <v>1</v>
      </c>
      <c r="AC20" s="24" t="b">
        <v>1</v>
      </c>
    </row>
    <row r="21" spans="1:29" ht="26.2">
      <c r="A21" s="25" t="s">
        <v>69</v>
      </c>
      <c r="B21" s="25" t="s">
        <v>28</v>
      </c>
      <c r="C21" s="33" t="s">
        <v>70</v>
      </c>
      <c r="D21" s="33" t="s">
        <v>49</v>
      </c>
      <c r="E21" s="33" t="s">
        <v>50</v>
      </c>
      <c r="F21" s="25">
        <v>4</v>
      </c>
      <c r="G21" s="25">
        <v>0</v>
      </c>
      <c r="H21" s="25" t="s">
        <v>51</v>
      </c>
      <c r="I21" s="25">
        <v>0</v>
      </c>
      <c r="J21" s="33" t="s">
        <v>51</v>
      </c>
      <c r="K21" s="33" t="s">
        <v>34</v>
      </c>
      <c r="L21" s="33" t="s">
        <v>35</v>
      </c>
      <c r="M21" s="33" t="s">
        <v>36</v>
      </c>
      <c r="N21" s="33" t="s">
        <v>52</v>
      </c>
      <c r="O21" s="25">
        <v>0.5</v>
      </c>
      <c r="P21" s="33" t="s">
        <v>38</v>
      </c>
      <c r="Q21" s="33" t="s">
        <v>39</v>
      </c>
      <c r="R21" s="33" t="s">
        <v>39</v>
      </c>
      <c r="S21" s="25">
        <v>0</v>
      </c>
      <c r="T21" s="25">
        <v>0.5</v>
      </c>
      <c r="U21" s="25">
        <v>0.5</v>
      </c>
      <c r="V21" s="25">
        <v>6.25E-2</v>
      </c>
      <c r="W21" s="25">
        <v>0.4375</v>
      </c>
      <c r="X21" s="25" t="s">
        <v>40</v>
      </c>
      <c r="Y21" s="25"/>
      <c r="Z21" s="33" t="s">
        <v>41</v>
      </c>
      <c r="AA21" s="25" t="b">
        <v>1</v>
      </c>
      <c r="AB21" s="25" t="b">
        <v>1</v>
      </c>
      <c r="AC21" s="25" t="b">
        <v>1</v>
      </c>
    </row>
    <row r="22" spans="1:29" ht="26.2">
      <c r="A22" s="23" t="s">
        <v>71</v>
      </c>
      <c r="B22" s="23" t="s">
        <v>28</v>
      </c>
      <c r="C22" s="31" t="s">
        <v>72</v>
      </c>
      <c r="D22" s="31" t="s">
        <v>30</v>
      </c>
      <c r="E22" s="31" t="s">
        <v>31</v>
      </c>
      <c r="F22" s="23">
        <v>6</v>
      </c>
      <c r="G22" s="23">
        <v>0</v>
      </c>
      <c r="H22" s="23" t="s">
        <v>32</v>
      </c>
      <c r="I22" s="23">
        <v>6</v>
      </c>
      <c r="J22" s="31" t="s">
        <v>33</v>
      </c>
      <c r="K22" s="31" t="s">
        <v>34</v>
      </c>
      <c r="L22" s="31" t="s">
        <v>35</v>
      </c>
      <c r="M22" s="31" t="s">
        <v>36</v>
      </c>
      <c r="N22" s="31" t="s">
        <v>37</v>
      </c>
      <c r="O22" s="23">
        <v>7.5</v>
      </c>
      <c r="P22" s="31" t="s">
        <v>38</v>
      </c>
      <c r="Q22" s="31" t="s">
        <v>39</v>
      </c>
      <c r="R22" s="31" t="s">
        <v>39</v>
      </c>
      <c r="S22" s="23">
        <v>0</v>
      </c>
      <c r="T22" s="23">
        <v>7.5</v>
      </c>
      <c r="U22" s="23">
        <v>7.8125</v>
      </c>
      <c r="V22" s="23">
        <v>0.9765625</v>
      </c>
      <c r="W22" s="23">
        <v>6.8359375</v>
      </c>
      <c r="X22" s="23" t="s">
        <v>40</v>
      </c>
      <c r="Y22" s="23"/>
      <c r="Z22" s="31" t="s">
        <v>41</v>
      </c>
      <c r="AA22" s="23" t="b">
        <v>1</v>
      </c>
      <c r="AB22" s="23" t="b">
        <v>1</v>
      </c>
      <c r="AC22" s="23" t="b">
        <v>1</v>
      </c>
    </row>
    <row r="23" spans="1:29" ht="26.2">
      <c r="A23" s="24" t="s">
        <v>221</v>
      </c>
      <c r="B23" s="24" t="s">
        <v>193</v>
      </c>
      <c r="C23" s="32" t="s">
        <v>222</v>
      </c>
      <c r="D23" s="32" t="s">
        <v>30</v>
      </c>
      <c r="E23" s="32" t="s">
        <v>195</v>
      </c>
      <c r="F23" s="24">
        <v>6</v>
      </c>
      <c r="G23" s="24">
        <v>0</v>
      </c>
      <c r="H23" s="24" t="s">
        <v>45</v>
      </c>
      <c r="I23" s="24">
        <v>6</v>
      </c>
      <c r="J23" s="32" t="s">
        <v>196</v>
      </c>
      <c r="K23" s="32" t="s">
        <v>34</v>
      </c>
      <c r="L23" s="32" t="s">
        <v>973</v>
      </c>
      <c r="M23" s="32" t="s">
        <v>197</v>
      </c>
      <c r="N23" s="32" t="s">
        <v>198</v>
      </c>
      <c r="O23" s="24">
        <v>7.5</v>
      </c>
      <c r="P23" s="32" t="s">
        <v>199</v>
      </c>
      <c r="Q23" s="32" t="s">
        <v>200</v>
      </c>
      <c r="R23" s="32" t="s">
        <v>223</v>
      </c>
      <c r="S23" s="24">
        <v>-3.75</v>
      </c>
      <c r="T23" s="24">
        <v>11.25</v>
      </c>
      <c r="U23" s="24">
        <v>11.71875</v>
      </c>
      <c r="V23" s="24">
        <v>1.46484375</v>
      </c>
      <c r="W23" s="24">
        <v>10.25390625</v>
      </c>
      <c r="X23" s="24" t="s">
        <v>40</v>
      </c>
      <c r="Y23" s="24"/>
      <c r="Z23" s="32" t="s">
        <v>202</v>
      </c>
      <c r="AA23" s="24" t="b">
        <v>1</v>
      </c>
      <c r="AB23" s="24" t="b">
        <v>1</v>
      </c>
      <c r="AC23" s="24" t="b">
        <v>1</v>
      </c>
    </row>
    <row r="24" spans="1:29" ht="26.2">
      <c r="A24" s="23" t="s">
        <v>73</v>
      </c>
      <c r="B24" s="23" t="s">
        <v>28</v>
      </c>
      <c r="C24" s="31" t="s">
        <v>74</v>
      </c>
      <c r="D24" s="31" t="s">
        <v>30</v>
      </c>
      <c r="E24" s="31" t="s">
        <v>31</v>
      </c>
      <c r="F24" s="23">
        <v>6</v>
      </c>
      <c r="G24" s="23">
        <v>0</v>
      </c>
      <c r="H24" s="23" t="s">
        <v>45</v>
      </c>
      <c r="I24" s="23">
        <v>6</v>
      </c>
      <c r="J24" s="31" t="s">
        <v>46</v>
      </c>
      <c r="K24" s="31" t="s">
        <v>34</v>
      </c>
      <c r="L24" s="31" t="s">
        <v>35</v>
      </c>
      <c r="M24" s="31" t="s">
        <v>36</v>
      </c>
      <c r="N24" s="31" t="s">
        <v>37</v>
      </c>
      <c r="O24" s="23">
        <v>9</v>
      </c>
      <c r="P24" s="31" t="s">
        <v>38</v>
      </c>
      <c r="Q24" s="31" t="s">
        <v>39</v>
      </c>
      <c r="R24" s="31" t="s">
        <v>39</v>
      </c>
      <c r="S24" s="23">
        <v>0</v>
      </c>
      <c r="T24" s="23">
        <v>9</v>
      </c>
      <c r="U24" s="23">
        <v>9.375</v>
      </c>
      <c r="V24" s="23">
        <v>1.171875</v>
      </c>
      <c r="W24" s="23">
        <v>8.203125</v>
      </c>
      <c r="X24" s="23" t="s">
        <v>40</v>
      </c>
      <c r="Y24" s="23"/>
      <c r="Z24" s="31" t="s">
        <v>41</v>
      </c>
      <c r="AA24" s="23" t="b">
        <v>1</v>
      </c>
      <c r="AB24" s="23" t="b">
        <v>1</v>
      </c>
      <c r="AC24" s="23" t="b">
        <v>1</v>
      </c>
    </row>
    <row r="25" spans="1:29" ht="26.2">
      <c r="A25" s="24" t="s">
        <v>224</v>
      </c>
      <c r="B25" s="24" t="s">
        <v>193</v>
      </c>
      <c r="C25" s="32" t="s">
        <v>225</v>
      </c>
      <c r="D25" s="32" t="s">
        <v>30</v>
      </c>
      <c r="E25" s="32" t="s">
        <v>195</v>
      </c>
      <c r="F25" s="24">
        <v>6</v>
      </c>
      <c r="G25" s="24">
        <v>0</v>
      </c>
      <c r="H25" s="24" t="s">
        <v>32</v>
      </c>
      <c r="I25" s="24">
        <v>6</v>
      </c>
      <c r="J25" s="32" t="s">
        <v>196</v>
      </c>
      <c r="K25" s="32" t="s">
        <v>34</v>
      </c>
      <c r="L25" s="32" t="s">
        <v>973</v>
      </c>
      <c r="M25" s="32" t="s">
        <v>197</v>
      </c>
      <c r="N25" s="32" t="s">
        <v>198</v>
      </c>
      <c r="O25" s="24">
        <v>9</v>
      </c>
      <c r="P25" s="32" t="s">
        <v>205</v>
      </c>
      <c r="Q25" s="32" t="s">
        <v>200</v>
      </c>
      <c r="R25" s="32" t="s">
        <v>223</v>
      </c>
      <c r="S25" s="24">
        <v>4.5</v>
      </c>
      <c r="T25" s="24">
        <v>4.5</v>
      </c>
      <c r="U25" s="24">
        <v>4.6875</v>
      </c>
      <c r="V25" s="24">
        <v>0.5859375</v>
      </c>
      <c r="W25" s="24">
        <v>4.1015625</v>
      </c>
      <c r="X25" s="24" t="s">
        <v>40</v>
      </c>
      <c r="Y25" s="24"/>
      <c r="Z25" s="32" t="s">
        <v>202</v>
      </c>
      <c r="AA25" s="24" t="b">
        <v>1</v>
      </c>
      <c r="AB25" s="24" t="b">
        <v>1</v>
      </c>
      <c r="AC25" s="24" t="b">
        <v>1</v>
      </c>
    </row>
    <row r="26" spans="1:29" ht="26.2">
      <c r="A26" s="25" t="s">
        <v>75</v>
      </c>
      <c r="B26" s="25" t="s">
        <v>28</v>
      </c>
      <c r="C26" s="33" t="s">
        <v>76</v>
      </c>
      <c r="D26" s="33" t="s">
        <v>49</v>
      </c>
      <c r="E26" s="33" t="s">
        <v>50</v>
      </c>
      <c r="F26" s="25">
        <v>6</v>
      </c>
      <c r="G26" s="25">
        <v>0</v>
      </c>
      <c r="H26" s="25" t="s">
        <v>51</v>
      </c>
      <c r="I26" s="25">
        <v>0</v>
      </c>
      <c r="J26" s="33" t="s">
        <v>51</v>
      </c>
      <c r="K26" s="33" t="s">
        <v>34</v>
      </c>
      <c r="L26" s="33" t="s">
        <v>35</v>
      </c>
      <c r="M26" s="33" t="s">
        <v>36</v>
      </c>
      <c r="N26" s="33" t="s">
        <v>52</v>
      </c>
      <c r="O26" s="25">
        <v>0.75</v>
      </c>
      <c r="P26" s="33" t="s">
        <v>38</v>
      </c>
      <c r="Q26" s="33" t="s">
        <v>39</v>
      </c>
      <c r="R26" s="33" t="s">
        <v>39</v>
      </c>
      <c r="S26" s="25">
        <v>0</v>
      </c>
      <c r="T26" s="25">
        <v>0.75</v>
      </c>
      <c r="U26" s="25">
        <v>0.75</v>
      </c>
      <c r="V26" s="25">
        <v>9.375E-2</v>
      </c>
      <c r="W26" s="25">
        <v>0.65625</v>
      </c>
      <c r="X26" s="25" t="s">
        <v>40</v>
      </c>
      <c r="Y26" s="25"/>
      <c r="Z26" s="33" t="s">
        <v>41</v>
      </c>
      <c r="AA26" s="25" t="b">
        <v>1</v>
      </c>
      <c r="AB26" s="25" t="b">
        <v>1</v>
      </c>
      <c r="AC26" s="25" t="b">
        <v>1</v>
      </c>
    </row>
    <row r="27" spans="1:29" ht="26.2">
      <c r="A27" s="23" t="s">
        <v>77</v>
      </c>
      <c r="B27" s="23" t="s">
        <v>28</v>
      </c>
      <c r="C27" s="31" t="s">
        <v>78</v>
      </c>
      <c r="D27" s="31" t="s">
        <v>30</v>
      </c>
      <c r="E27" s="31" t="s">
        <v>31</v>
      </c>
      <c r="F27" s="23">
        <v>8</v>
      </c>
      <c r="G27" s="23">
        <v>0</v>
      </c>
      <c r="H27" s="23" t="s">
        <v>32</v>
      </c>
      <c r="I27" s="23">
        <v>8</v>
      </c>
      <c r="J27" s="31" t="s">
        <v>33</v>
      </c>
      <c r="K27" s="31" t="s">
        <v>34</v>
      </c>
      <c r="L27" s="31" t="s">
        <v>35</v>
      </c>
      <c r="M27" s="31" t="s">
        <v>36</v>
      </c>
      <c r="N27" s="31" t="s">
        <v>37</v>
      </c>
      <c r="O27" s="23">
        <v>10</v>
      </c>
      <c r="P27" s="31" t="s">
        <v>38</v>
      </c>
      <c r="Q27" s="31" t="s">
        <v>39</v>
      </c>
      <c r="R27" s="31" t="s">
        <v>39</v>
      </c>
      <c r="S27" s="23">
        <v>0</v>
      </c>
      <c r="T27" s="23">
        <v>10</v>
      </c>
      <c r="U27" s="23">
        <v>10.5555555555555</v>
      </c>
      <c r="V27" s="23">
        <v>1.31944444444444</v>
      </c>
      <c r="W27" s="23">
        <v>9.2361111111111107</v>
      </c>
      <c r="X27" s="23" t="s">
        <v>40</v>
      </c>
      <c r="Y27" s="23"/>
      <c r="Z27" s="31" t="s">
        <v>41</v>
      </c>
      <c r="AA27" s="23" t="b">
        <v>1</v>
      </c>
      <c r="AB27" s="23" t="b">
        <v>1</v>
      </c>
      <c r="AC27" s="23" t="b">
        <v>1</v>
      </c>
    </row>
    <row r="28" spans="1:29" ht="26.2">
      <c r="A28" s="24" t="s">
        <v>226</v>
      </c>
      <c r="B28" s="24" t="s">
        <v>193</v>
      </c>
      <c r="C28" s="32" t="s">
        <v>227</v>
      </c>
      <c r="D28" s="32" t="s">
        <v>30</v>
      </c>
      <c r="E28" s="32" t="s">
        <v>195</v>
      </c>
      <c r="F28" s="24">
        <v>8</v>
      </c>
      <c r="G28" s="24">
        <v>0</v>
      </c>
      <c r="H28" s="24" t="s">
        <v>45</v>
      </c>
      <c r="I28" s="24">
        <v>8</v>
      </c>
      <c r="J28" s="32" t="s">
        <v>196</v>
      </c>
      <c r="K28" s="32" t="s">
        <v>34</v>
      </c>
      <c r="L28" s="32" t="s">
        <v>973</v>
      </c>
      <c r="M28" s="32" t="s">
        <v>197</v>
      </c>
      <c r="N28" s="32" t="s">
        <v>198</v>
      </c>
      <c r="O28" s="24">
        <v>10</v>
      </c>
      <c r="P28" s="32" t="s">
        <v>199</v>
      </c>
      <c r="Q28" s="32" t="s">
        <v>200</v>
      </c>
      <c r="R28" s="32" t="s">
        <v>228</v>
      </c>
      <c r="S28" s="24">
        <v>-6.6666666666666599</v>
      </c>
      <c r="T28" s="24">
        <v>16.6666666666666</v>
      </c>
      <c r="U28" s="24">
        <v>17.592592592592499</v>
      </c>
      <c r="V28" s="24">
        <v>2.19907407407407</v>
      </c>
      <c r="W28" s="24">
        <v>15.3935185185185</v>
      </c>
      <c r="X28" s="24" t="s">
        <v>40</v>
      </c>
      <c r="Y28" s="24"/>
      <c r="Z28" s="32" t="s">
        <v>202</v>
      </c>
      <c r="AA28" s="24" t="b">
        <v>1</v>
      </c>
      <c r="AB28" s="24" t="b">
        <v>1</v>
      </c>
      <c r="AC28" s="24" t="b">
        <v>1</v>
      </c>
    </row>
    <row r="29" spans="1:29" ht="26.2">
      <c r="A29" s="23" t="s">
        <v>79</v>
      </c>
      <c r="B29" s="23" t="s">
        <v>28</v>
      </c>
      <c r="C29" s="31" t="s">
        <v>80</v>
      </c>
      <c r="D29" s="31" t="s">
        <v>30</v>
      </c>
      <c r="E29" s="31" t="s">
        <v>31</v>
      </c>
      <c r="F29" s="23">
        <v>8</v>
      </c>
      <c r="G29" s="23">
        <v>0</v>
      </c>
      <c r="H29" s="23" t="s">
        <v>45</v>
      </c>
      <c r="I29" s="23">
        <v>8</v>
      </c>
      <c r="J29" s="31" t="s">
        <v>46</v>
      </c>
      <c r="K29" s="31" t="s">
        <v>34</v>
      </c>
      <c r="L29" s="31" t="s">
        <v>35</v>
      </c>
      <c r="M29" s="31" t="s">
        <v>36</v>
      </c>
      <c r="N29" s="31" t="s">
        <v>37</v>
      </c>
      <c r="O29" s="23">
        <v>12</v>
      </c>
      <c r="P29" s="31" t="s">
        <v>38</v>
      </c>
      <c r="Q29" s="31" t="s">
        <v>39</v>
      </c>
      <c r="R29" s="31" t="s">
        <v>39</v>
      </c>
      <c r="S29" s="23">
        <v>0</v>
      </c>
      <c r="T29" s="23">
        <v>12</v>
      </c>
      <c r="U29" s="23">
        <v>12.6666666666666</v>
      </c>
      <c r="V29" s="23">
        <v>1.5833333333333299</v>
      </c>
      <c r="W29" s="23">
        <v>11.0833333333333</v>
      </c>
      <c r="X29" s="23" t="s">
        <v>40</v>
      </c>
      <c r="Y29" s="23"/>
      <c r="Z29" s="31" t="s">
        <v>41</v>
      </c>
      <c r="AA29" s="23" t="b">
        <v>1</v>
      </c>
      <c r="AB29" s="23" t="b">
        <v>1</v>
      </c>
      <c r="AC29" s="23" t="b">
        <v>1</v>
      </c>
    </row>
    <row r="30" spans="1:29" ht="26.2">
      <c r="A30" s="24" t="s">
        <v>229</v>
      </c>
      <c r="B30" s="24" t="s">
        <v>193</v>
      </c>
      <c r="C30" s="32" t="s">
        <v>230</v>
      </c>
      <c r="D30" s="32" t="s">
        <v>30</v>
      </c>
      <c r="E30" s="32" t="s">
        <v>195</v>
      </c>
      <c r="F30" s="24">
        <v>8</v>
      </c>
      <c r="G30" s="24">
        <v>0</v>
      </c>
      <c r="H30" s="24" t="s">
        <v>32</v>
      </c>
      <c r="I30" s="24">
        <v>8</v>
      </c>
      <c r="J30" s="32" t="s">
        <v>196</v>
      </c>
      <c r="K30" s="32" t="s">
        <v>34</v>
      </c>
      <c r="L30" s="32" t="s">
        <v>973</v>
      </c>
      <c r="M30" s="32" t="s">
        <v>197</v>
      </c>
      <c r="N30" s="32" t="s">
        <v>198</v>
      </c>
      <c r="O30" s="24">
        <v>12</v>
      </c>
      <c r="P30" s="32" t="s">
        <v>205</v>
      </c>
      <c r="Q30" s="32" t="s">
        <v>200</v>
      </c>
      <c r="R30" s="32" t="s">
        <v>228</v>
      </c>
      <c r="S30" s="24">
        <v>8</v>
      </c>
      <c r="T30" s="24">
        <v>4</v>
      </c>
      <c r="U30" s="24">
        <v>4.2222222222222197</v>
      </c>
      <c r="V30" s="24">
        <v>0.52777777777777701</v>
      </c>
      <c r="W30" s="24">
        <v>3.6944444444444402</v>
      </c>
      <c r="X30" s="24" t="s">
        <v>40</v>
      </c>
      <c r="Y30" s="24"/>
      <c r="Z30" s="32" t="s">
        <v>202</v>
      </c>
      <c r="AA30" s="24" t="b">
        <v>1</v>
      </c>
      <c r="AB30" s="24" t="b">
        <v>1</v>
      </c>
      <c r="AC30" s="24" t="b">
        <v>1</v>
      </c>
    </row>
    <row r="31" spans="1:29" ht="26.2">
      <c r="A31" s="25" t="s">
        <v>81</v>
      </c>
      <c r="B31" s="25" t="s">
        <v>28</v>
      </c>
      <c r="C31" s="33" t="s">
        <v>82</v>
      </c>
      <c r="D31" s="33" t="s">
        <v>49</v>
      </c>
      <c r="E31" s="33" t="s">
        <v>50</v>
      </c>
      <c r="F31" s="25">
        <v>8</v>
      </c>
      <c r="G31" s="25">
        <v>0</v>
      </c>
      <c r="H31" s="25" t="s">
        <v>51</v>
      </c>
      <c r="I31" s="25">
        <v>0</v>
      </c>
      <c r="J31" s="33" t="s">
        <v>51</v>
      </c>
      <c r="K31" s="33" t="s">
        <v>34</v>
      </c>
      <c r="L31" s="33" t="s">
        <v>35</v>
      </c>
      <c r="M31" s="33" t="s">
        <v>36</v>
      </c>
      <c r="N31" s="33" t="s">
        <v>52</v>
      </c>
      <c r="O31" s="25">
        <v>1</v>
      </c>
      <c r="P31" s="33" t="s">
        <v>38</v>
      </c>
      <c r="Q31" s="33" t="s">
        <v>39</v>
      </c>
      <c r="R31" s="33" t="s">
        <v>39</v>
      </c>
      <c r="S31" s="25">
        <v>0</v>
      </c>
      <c r="T31" s="25">
        <v>1</v>
      </c>
      <c r="U31" s="25">
        <v>1</v>
      </c>
      <c r="V31" s="25">
        <v>0.125</v>
      </c>
      <c r="W31" s="25">
        <v>0.875</v>
      </c>
      <c r="X31" s="25" t="s">
        <v>40</v>
      </c>
      <c r="Y31" s="25"/>
      <c r="Z31" s="33" t="s">
        <v>41</v>
      </c>
      <c r="AA31" s="25" t="b">
        <v>1</v>
      </c>
      <c r="AB31" s="25" t="b">
        <v>1</v>
      </c>
      <c r="AC31" s="25" t="b">
        <v>1</v>
      </c>
    </row>
    <row r="32" spans="1:29" ht="26.2">
      <c r="A32" s="23" t="s">
        <v>83</v>
      </c>
      <c r="B32" s="23" t="s">
        <v>28</v>
      </c>
      <c r="C32" s="31" t="s">
        <v>84</v>
      </c>
      <c r="D32" s="31" t="s">
        <v>30</v>
      </c>
      <c r="E32" s="31" t="s">
        <v>31</v>
      </c>
      <c r="F32" s="23">
        <v>9</v>
      </c>
      <c r="G32" s="23">
        <v>0</v>
      </c>
      <c r="H32" s="23" t="s">
        <v>32</v>
      </c>
      <c r="I32" s="23">
        <v>9</v>
      </c>
      <c r="J32" s="31" t="s">
        <v>33</v>
      </c>
      <c r="K32" s="31" t="s">
        <v>34</v>
      </c>
      <c r="L32" s="31" t="s">
        <v>35</v>
      </c>
      <c r="M32" s="31" t="s">
        <v>36</v>
      </c>
      <c r="N32" s="31" t="s">
        <v>37</v>
      </c>
      <c r="O32" s="23">
        <v>11.25</v>
      </c>
      <c r="P32" s="31" t="s">
        <v>38</v>
      </c>
      <c r="Q32" s="31" t="s">
        <v>39</v>
      </c>
      <c r="R32" s="31" t="s">
        <v>39</v>
      </c>
      <c r="S32" s="23">
        <v>0</v>
      </c>
      <c r="T32" s="23">
        <v>11.25</v>
      </c>
      <c r="U32" s="23">
        <v>11.953125</v>
      </c>
      <c r="V32" s="23">
        <v>1.494140625</v>
      </c>
      <c r="W32" s="23">
        <v>10.458984375</v>
      </c>
      <c r="X32" s="23" t="s">
        <v>40</v>
      </c>
      <c r="Y32" s="23"/>
      <c r="Z32" s="31" t="s">
        <v>41</v>
      </c>
      <c r="AA32" s="23" t="b">
        <v>1</v>
      </c>
      <c r="AB32" s="23" t="b">
        <v>1</v>
      </c>
      <c r="AC32" s="23" t="b">
        <v>1</v>
      </c>
    </row>
    <row r="33" spans="1:29" ht="26.2">
      <c r="A33" s="24" t="s">
        <v>231</v>
      </c>
      <c r="B33" s="24" t="s">
        <v>193</v>
      </c>
      <c r="C33" s="32" t="s">
        <v>232</v>
      </c>
      <c r="D33" s="32" t="s">
        <v>30</v>
      </c>
      <c r="E33" s="32" t="s">
        <v>195</v>
      </c>
      <c r="F33" s="24">
        <v>9</v>
      </c>
      <c r="G33" s="24">
        <v>0</v>
      </c>
      <c r="H33" s="24" t="s">
        <v>45</v>
      </c>
      <c r="I33" s="24">
        <v>9</v>
      </c>
      <c r="J33" s="32" t="s">
        <v>196</v>
      </c>
      <c r="K33" s="32" t="s">
        <v>34</v>
      </c>
      <c r="L33" s="32" t="s">
        <v>973</v>
      </c>
      <c r="M33" s="32" t="s">
        <v>197</v>
      </c>
      <c r="N33" s="32" t="s">
        <v>198</v>
      </c>
      <c r="O33" s="24">
        <v>11.25</v>
      </c>
      <c r="P33" s="32" t="s">
        <v>199</v>
      </c>
      <c r="Q33" s="32" t="s">
        <v>200</v>
      </c>
      <c r="R33" s="32" t="s">
        <v>233</v>
      </c>
      <c r="S33" s="24">
        <v>-8.4375</v>
      </c>
      <c r="T33" s="24">
        <v>19.6875</v>
      </c>
      <c r="U33" s="24">
        <v>20.91796875</v>
      </c>
      <c r="V33" s="24">
        <v>2.61474609375</v>
      </c>
      <c r="W33" s="24">
        <v>18.30322265625</v>
      </c>
      <c r="X33" s="24" t="s">
        <v>40</v>
      </c>
      <c r="Y33" s="24"/>
      <c r="Z33" s="32" t="s">
        <v>202</v>
      </c>
      <c r="AA33" s="24" t="b">
        <v>1</v>
      </c>
      <c r="AB33" s="24" t="b">
        <v>1</v>
      </c>
      <c r="AC33" s="24" t="b">
        <v>1</v>
      </c>
    </row>
    <row r="34" spans="1:29" ht="26.2">
      <c r="A34" s="23" t="s">
        <v>85</v>
      </c>
      <c r="B34" s="23" t="s">
        <v>28</v>
      </c>
      <c r="C34" s="31" t="s">
        <v>86</v>
      </c>
      <c r="D34" s="31" t="s">
        <v>30</v>
      </c>
      <c r="E34" s="31" t="s">
        <v>31</v>
      </c>
      <c r="F34" s="23">
        <v>9</v>
      </c>
      <c r="G34" s="23">
        <v>0</v>
      </c>
      <c r="H34" s="23" t="s">
        <v>45</v>
      </c>
      <c r="I34" s="23">
        <v>9</v>
      </c>
      <c r="J34" s="31" t="s">
        <v>46</v>
      </c>
      <c r="K34" s="31" t="s">
        <v>34</v>
      </c>
      <c r="L34" s="31" t="s">
        <v>35</v>
      </c>
      <c r="M34" s="31" t="s">
        <v>36</v>
      </c>
      <c r="N34" s="31" t="s">
        <v>37</v>
      </c>
      <c r="O34" s="23">
        <v>13.5</v>
      </c>
      <c r="P34" s="31" t="s">
        <v>38</v>
      </c>
      <c r="Q34" s="31" t="s">
        <v>39</v>
      </c>
      <c r="R34" s="31" t="s">
        <v>39</v>
      </c>
      <c r="S34" s="23">
        <v>0</v>
      </c>
      <c r="T34" s="23">
        <v>13.5</v>
      </c>
      <c r="U34" s="23">
        <v>14.34375</v>
      </c>
      <c r="V34" s="23">
        <v>1.79296875</v>
      </c>
      <c r="W34" s="23">
        <v>12.55078125</v>
      </c>
      <c r="X34" s="23" t="s">
        <v>40</v>
      </c>
      <c r="Y34" s="23"/>
      <c r="Z34" s="31" t="s">
        <v>41</v>
      </c>
      <c r="AA34" s="23" t="b">
        <v>1</v>
      </c>
      <c r="AB34" s="23" t="b">
        <v>1</v>
      </c>
      <c r="AC34" s="23" t="b">
        <v>1</v>
      </c>
    </row>
    <row r="35" spans="1:29" ht="26.2">
      <c r="A35" s="24" t="s">
        <v>234</v>
      </c>
      <c r="B35" s="24" t="s">
        <v>193</v>
      </c>
      <c r="C35" s="32" t="s">
        <v>235</v>
      </c>
      <c r="D35" s="32" t="s">
        <v>30</v>
      </c>
      <c r="E35" s="32" t="s">
        <v>195</v>
      </c>
      <c r="F35" s="24">
        <v>9</v>
      </c>
      <c r="G35" s="24">
        <v>0</v>
      </c>
      <c r="H35" s="24" t="s">
        <v>32</v>
      </c>
      <c r="I35" s="24">
        <v>9</v>
      </c>
      <c r="J35" s="32" t="s">
        <v>196</v>
      </c>
      <c r="K35" s="32" t="s">
        <v>34</v>
      </c>
      <c r="L35" s="32" t="s">
        <v>973</v>
      </c>
      <c r="M35" s="32" t="s">
        <v>197</v>
      </c>
      <c r="N35" s="32" t="s">
        <v>198</v>
      </c>
      <c r="O35" s="24">
        <v>13.5</v>
      </c>
      <c r="P35" s="32" t="s">
        <v>205</v>
      </c>
      <c r="Q35" s="32" t="s">
        <v>200</v>
      </c>
      <c r="R35" s="32" t="s">
        <v>233</v>
      </c>
      <c r="S35" s="24">
        <v>10.125</v>
      </c>
      <c r="T35" s="24">
        <v>3.375</v>
      </c>
      <c r="U35" s="24">
        <v>3.5859375</v>
      </c>
      <c r="V35" s="24">
        <v>0.4482421875</v>
      </c>
      <c r="W35" s="24">
        <v>3.1376953125</v>
      </c>
      <c r="X35" s="24" t="s">
        <v>40</v>
      </c>
      <c r="Y35" s="24"/>
      <c r="Z35" s="32" t="s">
        <v>202</v>
      </c>
      <c r="AA35" s="24" t="b">
        <v>1</v>
      </c>
      <c r="AB35" s="24" t="b">
        <v>1</v>
      </c>
      <c r="AC35" s="24" t="b">
        <v>1</v>
      </c>
    </row>
    <row r="36" spans="1:29" ht="26.2">
      <c r="A36" s="23" t="s">
        <v>89</v>
      </c>
      <c r="B36" s="23" t="s">
        <v>28</v>
      </c>
      <c r="C36" s="31" t="s">
        <v>90</v>
      </c>
      <c r="D36" s="31" t="s">
        <v>30</v>
      </c>
      <c r="E36" s="31" t="s">
        <v>31</v>
      </c>
      <c r="F36" s="23">
        <v>12</v>
      </c>
      <c r="G36" s="23">
        <v>0</v>
      </c>
      <c r="H36" s="23" t="s">
        <v>32</v>
      </c>
      <c r="I36" s="23">
        <v>12</v>
      </c>
      <c r="J36" s="31" t="s">
        <v>33</v>
      </c>
      <c r="K36" s="31" t="s">
        <v>34</v>
      </c>
      <c r="L36" s="31" t="s">
        <v>35</v>
      </c>
      <c r="M36" s="31" t="s">
        <v>36</v>
      </c>
      <c r="N36" s="31" t="s">
        <v>37</v>
      </c>
      <c r="O36" s="23">
        <v>15</v>
      </c>
      <c r="P36" s="31" t="s">
        <v>38</v>
      </c>
      <c r="Q36" s="31" t="s">
        <v>39</v>
      </c>
      <c r="R36" s="31" t="s">
        <v>39</v>
      </c>
      <c r="S36" s="23">
        <v>0</v>
      </c>
      <c r="T36" s="23">
        <v>15</v>
      </c>
      <c r="U36" s="23">
        <v>16.25</v>
      </c>
      <c r="V36" s="23">
        <v>2.03125</v>
      </c>
      <c r="W36" s="23">
        <v>14.21875</v>
      </c>
      <c r="X36" s="23" t="s">
        <v>40</v>
      </c>
      <c r="Y36" s="23"/>
      <c r="Z36" s="31" t="s">
        <v>41</v>
      </c>
      <c r="AA36" s="23" t="b">
        <v>1</v>
      </c>
      <c r="AB36" s="23" t="b">
        <v>1</v>
      </c>
      <c r="AC36" s="23" t="b">
        <v>1</v>
      </c>
    </row>
    <row r="37" spans="1:29" ht="26.2">
      <c r="A37" s="24" t="s">
        <v>236</v>
      </c>
      <c r="B37" s="24" t="s">
        <v>193</v>
      </c>
      <c r="C37" s="32" t="s">
        <v>237</v>
      </c>
      <c r="D37" s="32" t="s">
        <v>30</v>
      </c>
      <c r="E37" s="32" t="s">
        <v>195</v>
      </c>
      <c r="F37" s="24">
        <v>12</v>
      </c>
      <c r="G37" s="24">
        <v>0</v>
      </c>
      <c r="H37" s="24" t="s">
        <v>45</v>
      </c>
      <c r="I37" s="24">
        <v>12</v>
      </c>
      <c r="J37" s="32" t="s">
        <v>196</v>
      </c>
      <c r="K37" s="32" t="s">
        <v>34</v>
      </c>
      <c r="L37" s="32" t="s">
        <v>973</v>
      </c>
      <c r="M37" s="32" t="s">
        <v>197</v>
      </c>
      <c r="N37" s="32" t="s">
        <v>198</v>
      </c>
      <c r="O37" s="24">
        <v>15</v>
      </c>
      <c r="P37" s="32" t="s">
        <v>199</v>
      </c>
      <c r="Q37" s="32" t="s">
        <v>200</v>
      </c>
      <c r="R37" s="32" t="s">
        <v>238</v>
      </c>
      <c r="S37" s="24">
        <v>-15</v>
      </c>
      <c r="T37" s="24">
        <v>30</v>
      </c>
      <c r="U37" s="24">
        <v>32.499999999999901</v>
      </c>
      <c r="V37" s="24">
        <v>4.0624999999999902</v>
      </c>
      <c r="W37" s="24">
        <v>28.437499999999901</v>
      </c>
      <c r="X37" s="24" t="s">
        <v>40</v>
      </c>
      <c r="Y37" s="24"/>
      <c r="Z37" s="32" t="s">
        <v>202</v>
      </c>
      <c r="AA37" s="24" t="b">
        <v>1</v>
      </c>
      <c r="AB37" s="24" t="b">
        <v>1</v>
      </c>
      <c r="AC37" s="24" t="b">
        <v>1</v>
      </c>
    </row>
    <row r="38" spans="1:29" ht="26.2">
      <c r="A38" s="23" t="s">
        <v>91</v>
      </c>
      <c r="B38" s="23" t="s">
        <v>28</v>
      </c>
      <c r="C38" s="31" t="s">
        <v>92</v>
      </c>
      <c r="D38" s="31" t="s">
        <v>30</v>
      </c>
      <c r="E38" s="31" t="s">
        <v>31</v>
      </c>
      <c r="F38" s="23">
        <v>12</v>
      </c>
      <c r="G38" s="23">
        <v>0</v>
      </c>
      <c r="H38" s="23" t="s">
        <v>45</v>
      </c>
      <c r="I38" s="23">
        <v>12</v>
      </c>
      <c r="J38" s="31" t="s">
        <v>46</v>
      </c>
      <c r="K38" s="31" t="s">
        <v>34</v>
      </c>
      <c r="L38" s="31" t="s">
        <v>35</v>
      </c>
      <c r="M38" s="31" t="s">
        <v>36</v>
      </c>
      <c r="N38" s="31" t="s">
        <v>37</v>
      </c>
      <c r="O38" s="23">
        <v>18</v>
      </c>
      <c r="P38" s="31" t="s">
        <v>38</v>
      </c>
      <c r="Q38" s="31" t="s">
        <v>39</v>
      </c>
      <c r="R38" s="31" t="s">
        <v>39</v>
      </c>
      <c r="S38" s="23">
        <v>0</v>
      </c>
      <c r="T38" s="23">
        <v>18</v>
      </c>
      <c r="U38" s="23">
        <v>19.499999999999901</v>
      </c>
      <c r="V38" s="23">
        <v>2.4374999999999898</v>
      </c>
      <c r="W38" s="23">
        <v>17.062499999999901</v>
      </c>
      <c r="X38" s="23" t="s">
        <v>40</v>
      </c>
      <c r="Y38" s="23"/>
      <c r="Z38" s="31" t="s">
        <v>41</v>
      </c>
      <c r="AA38" s="23" t="b">
        <v>1</v>
      </c>
      <c r="AB38" s="23" t="b">
        <v>1</v>
      </c>
      <c r="AC38" s="23" t="b">
        <v>1</v>
      </c>
    </row>
    <row r="39" spans="1:29" ht="26.2">
      <c r="A39" s="24" t="s">
        <v>239</v>
      </c>
      <c r="B39" s="24" t="s">
        <v>193</v>
      </c>
      <c r="C39" s="32" t="s">
        <v>240</v>
      </c>
      <c r="D39" s="32" t="s">
        <v>30</v>
      </c>
      <c r="E39" s="32" t="s">
        <v>195</v>
      </c>
      <c r="F39" s="24">
        <v>12</v>
      </c>
      <c r="G39" s="24">
        <v>0</v>
      </c>
      <c r="H39" s="24" t="s">
        <v>32</v>
      </c>
      <c r="I39" s="24">
        <v>12</v>
      </c>
      <c r="J39" s="32" t="s">
        <v>196</v>
      </c>
      <c r="K39" s="32" t="s">
        <v>34</v>
      </c>
      <c r="L39" s="32" t="s">
        <v>973</v>
      </c>
      <c r="M39" s="32" t="s">
        <v>197</v>
      </c>
      <c r="N39" s="32" t="s">
        <v>198</v>
      </c>
      <c r="O39" s="24">
        <v>18</v>
      </c>
      <c r="P39" s="32" t="s">
        <v>205</v>
      </c>
      <c r="Q39" s="32" t="s">
        <v>200</v>
      </c>
      <c r="R39" s="32" t="s">
        <v>238</v>
      </c>
      <c r="S39" s="24">
        <v>18</v>
      </c>
      <c r="T39" s="24">
        <v>0</v>
      </c>
      <c r="U39" s="24">
        <v>0</v>
      </c>
      <c r="V39" s="24">
        <v>0</v>
      </c>
      <c r="W39" s="24">
        <v>0</v>
      </c>
      <c r="X39" s="24" t="s">
        <v>40</v>
      </c>
      <c r="Y39" s="24"/>
      <c r="Z39" s="32" t="s">
        <v>202</v>
      </c>
      <c r="AA39" s="24" t="b">
        <v>1</v>
      </c>
      <c r="AB39" s="24" t="b">
        <v>1</v>
      </c>
      <c r="AC39" s="24" t="b">
        <v>1</v>
      </c>
    </row>
    <row r="40" spans="1:29" ht="26.2">
      <c r="A40" s="25" t="s">
        <v>93</v>
      </c>
      <c r="B40" s="25" t="s">
        <v>28</v>
      </c>
      <c r="C40" s="33" t="s">
        <v>94</v>
      </c>
      <c r="D40" s="33" t="s">
        <v>49</v>
      </c>
      <c r="E40" s="33" t="s">
        <v>50</v>
      </c>
      <c r="F40" s="25">
        <v>12</v>
      </c>
      <c r="G40" s="25">
        <v>0</v>
      </c>
      <c r="H40" s="25" t="s">
        <v>51</v>
      </c>
      <c r="I40" s="25">
        <v>0</v>
      </c>
      <c r="J40" s="33" t="s">
        <v>51</v>
      </c>
      <c r="K40" s="33" t="s">
        <v>34</v>
      </c>
      <c r="L40" s="33" t="s">
        <v>35</v>
      </c>
      <c r="M40" s="33" t="s">
        <v>36</v>
      </c>
      <c r="N40" s="33" t="s">
        <v>52</v>
      </c>
      <c r="O40" s="25">
        <v>1.5</v>
      </c>
      <c r="P40" s="33" t="s">
        <v>38</v>
      </c>
      <c r="Q40" s="33" t="s">
        <v>39</v>
      </c>
      <c r="R40" s="33" t="s">
        <v>39</v>
      </c>
      <c r="S40" s="25">
        <v>0</v>
      </c>
      <c r="T40" s="25">
        <v>1.5</v>
      </c>
      <c r="U40" s="25">
        <v>1.5</v>
      </c>
      <c r="V40" s="25">
        <v>0.1875</v>
      </c>
      <c r="W40" s="25">
        <v>1.3125</v>
      </c>
      <c r="X40" s="25" t="s">
        <v>40</v>
      </c>
      <c r="Y40" s="25"/>
      <c r="Z40" s="33" t="s">
        <v>41</v>
      </c>
      <c r="AA40" s="25" t="b">
        <v>1</v>
      </c>
      <c r="AB40" s="25" t="b">
        <v>1</v>
      </c>
      <c r="AC40" s="25" t="b">
        <v>1</v>
      </c>
    </row>
    <row r="41" spans="1:29" ht="26.2">
      <c r="A41" s="23" t="s">
        <v>95</v>
      </c>
      <c r="B41" s="23" t="s">
        <v>28</v>
      </c>
      <c r="C41" s="31" t="s">
        <v>96</v>
      </c>
      <c r="D41" s="31" t="s">
        <v>30</v>
      </c>
      <c r="E41" s="31" t="s">
        <v>31</v>
      </c>
      <c r="F41" s="23">
        <v>1</v>
      </c>
      <c r="G41" s="23">
        <v>1</v>
      </c>
      <c r="H41" s="23" t="s">
        <v>32</v>
      </c>
      <c r="I41" s="23">
        <v>1</v>
      </c>
      <c r="J41" s="31" t="s">
        <v>33</v>
      </c>
      <c r="K41" s="31" t="s">
        <v>34</v>
      </c>
      <c r="L41" s="31" t="s">
        <v>35</v>
      </c>
      <c r="M41" s="31" t="s">
        <v>36</v>
      </c>
      <c r="N41" s="31" t="s">
        <v>37</v>
      </c>
      <c r="O41" s="23">
        <v>15</v>
      </c>
      <c r="P41" s="31" t="s">
        <v>38</v>
      </c>
      <c r="Q41" s="31" t="s">
        <v>39</v>
      </c>
      <c r="R41" s="31" t="s">
        <v>39</v>
      </c>
      <c r="S41" s="23">
        <v>0</v>
      </c>
      <c r="T41" s="23">
        <v>15</v>
      </c>
      <c r="U41" s="23">
        <v>15.1041666666666</v>
      </c>
      <c r="V41" s="23">
        <v>1.8880208333333299</v>
      </c>
      <c r="W41" s="23">
        <v>13.2161458333333</v>
      </c>
      <c r="X41" s="23" t="s">
        <v>40</v>
      </c>
      <c r="Y41" s="23"/>
      <c r="Z41" s="31" t="s">
        <v>41</v>
      </c>
      <c r="AA41" s="23" t="b">
        <v>1</v>
      </c>
      <c r="AB41" s="23" t="b">
        <v>1</v>
      </c>
      <c r="AC41" s="23" t="b">
        <v>1</v>
      </c>
    </row>
    <row r="42" spans="1:29" ht="26.2">
      <c r="A42" s="24" t="s">
        <v>241</v>
      </c>
      <c r="B42" s="24" t="s">
        <v>193</v>
      </c>
      <c r="C42" s="32" t="s">
        <v>242</v>
      </c>
      <c r="D42" s="32" t="s">
        <v>30</v>
      </c>
      <c r="E42" s="32" t="s">
        <v>195</v>
      </c>
      <c r="F42" s="24">
        <v>1</v>
      </c>
      <c r="G42" s="24">
        <v>1</v>
      </c>
      <c r="H42" s="24" t="s">
        <v>45</v>
      </c>
      <c r="I42" s="24">
        <v>1</v>
      </c>
      <c r="J42" s="32" t="s">
        <v>196</v>
      </c>
      <c r="K42" s="32" t="s">
        <v>34</v>
      </c>
      <c r="L42" s="32" t="s">
        <v>973</v>
      </c>
      <c r="M42" s="32" t="s">
        <v>197</v>
      </c>
      <c r="N42" s="32" t="s">
        <v>198</v>
      </c>
      <c r="O42" s="24">
        <v>15</v>
      </c>
      <c r="P42" s="32" t="s">
        <v>199</v>
      </c>
      <c r="Q42" s="32" t="s">
        <v>243</v>
      </c>
      <c r="R42" s="32" t="s">
        <v>244</v>
      </c>
      <c r="S42" s="24">
        <v>-0.10416666666666601</v>
      </c>
      <c r="T42" s="24">
        <v>15.1041666666666</v>
      </c>
      <c r="U42" s="24">
        <v>15.2090567129629</v>
      </c>
      <c r="V42" s="24">
        <v>1.90113208912037</v>
      </c>
      <c r="W42" s="24">
        <v>13.307924623842499</v>
      </c>
      <c r="X42" s="24" t="s">
        <v>40</v>
      </c>
      <c r="Y42" s="24"/>
      <c r="Z42" s="32" t="s">
        <v>202</v>
      </c>
      <c r="AA42" s="24" t="b">
        <v>1</v>
      </c>
      <c r="AB42" s="24" t="b">
        <v>1</v>
      </c>
      <c r="AC42" s="24" t="b">
        <v>1</v>
      </c>
    </row>
    <row r="43" spans="1:29" ht="26.2">
      <c r="A43" s="23" t="s">
        <v>97</v>
      </c>
      <c r="B43" s="23" t="s">
        <v>28</v>
      </c>
      <c r="C43" s="31" t="s">
        <v>98</v>
      </c>
      <c r="D43" s="31" t="s">
        <v>30</v>
      </c>
      <c r="E43" s="31" t="s">
        <v>31</v>
      </c>
      <c r="F43" s="23">
        <v>1</v>
      </c>
      <c r="G43" s="23">
        <v>1</v>
      </c>
      <c r="H43" s="23" t="s">
        <v>45</v>
      </c>
      <c r="I43" s="23">
        <v>1</v>
      </c>
      <c r="J43" s="31" t="s">
        <v>46</v>
      </c>
      <c r="K43" s="31" t="s">
        <v>34</v>
      </c>
      <c r="L43" s="31" t="s">
        <v>35</v>
      </c>
      <c r="M43" s="31" t="s">
        <v>36</v>
      </c>
      <c r="N43" s="31" t="s">
        <v>37</v>
      </c>
      <c r="O43" s="23">
        <v>18</v>
      </c>
      <c r="P43" s="31" t="s">
        <v>38</v>
      </c>
      <c r="Q43" s="31" t="s">
        <v>39</v>
      </c>
      <c r="R43" s="31" t="s">
        <v>39</v>
      </c>
      <c r="S43" s="23">
        <v>0</v>
      </c>
      <c r="T43" s="23">
        <v>18</v>
      </c>
      <c r="U43" s="23">
        <v>18.124999999999901</v>
      </c>
      <c r="V43" s="23">
        <v>2.2656249999999898</v>
      </c>
      <c r="W43" s="23">
        <v>15.859374999999901</v>
      </c>
      <c r="X43" s="23" t="s">
        <v>40</v>
      </c>
      <c r="Y43" s="23"/>
      <c r="Z43" s="31" t="s">
        <v>41</v>
      </c>
      <c r="AA43" s="23" t="b">
        <v>1</v>
      </c>
      <c r="AB43" s="23" t="b">
        <v>1</v>
      </c>
      <c r="AC43" s="23" t="b">
        <v>1</v>
      </c>
    </row>
    <row r="44" spans="1:29" ht="26.2">
      <c r="A44" s="24" t="s">
        <v>245</v>
      </c>
      <c r="B44" s="24" t="s">
        <v>193</v>
      </c>
      <c r="C44" s="32" t="s">
        <v>246</v>
      </c>
      <c r="D44" s="32" t="s">
        <v>30</v>
      </c>
      <c r="E44" s="32" t="s">
        <v>195</v>
      </c>
      <c r="F44" s="24">
        <v>1</v>
      </c>
      <c r="G44" s="24">
        <v>1</v>
      </c>
      <c r="H44" s="24" t="s">
        <v>32</v>
      </c>
      <c r="I44" s="24">
        <v>1</v>
      </c>
      <c r="J44" s="32" t="s">
        <v>196</v>
      </c>
      <c r="K44" s="32" t="s">
        <v>34</v>
      </c>
      <c r="L44" s="32" t="s">
        <v>973</v>
      </c>
      <c r="M44" s="32" t="s">
        <v>197</v>
      </c>
      <c r="N44" s="32" t="s">
        <v>198</v>
      </c>
      <c r="O44" s="24">
        <v>18</v>
      </c>
      <c r="P44" s="32" t="s">
        <v>205</v>
      </c>
      <c r="Q44" s="32" t="s">
        <v>243</v>
      </c>
      <c r="R44" s="32" t="s">
        <v>244</v>
      </c>
      <c r="S44" s="24">
        <v>0.125</v>
      </c>
      <c r="T44" s="24">
        <v>17.875</v>
      </c>
      <c r="U44" s="24">
        <v>17.9991319444444</v>
      </c>
      <c r="V44" s="24">
        <v>2.24989149305555</v>
      </c>
      <c r="W44" s="24">
        <v>15.7492404513888</v>
      </c>
      <c r="X44" s="24" t="s">
        <v>40</v>
      </c>
      <c r="Y44" s="24"/>
      <c r="Z44" s="32" t="s">
        <v>202</v>
      </c>
      <c r="AA44" s="24" t="b">
        <v>1</v>
      </c>
      <c r="AB44" s="24" t="b">
        <v>1</v>
      </c>
      <c r="AC44" s="24" t="b">
        <v>1</v>
      </c>
    </row>
    <row r="45" spans="1:29" ht="26.2">
      <c r="A45" s="25" t="s">
        <v>99</v>
      </c>
      <c r="B45" s="25" t="s">
        <v>28</v>
      </c>
      <c r="C45" s="33" t="s">
        <v>100</v>
      </c>
      <c r="D45" s="33" t="s">
        <v>49</v>
      </c>
      <c r="E45" s="33" t="s">
        <v>50</v>
      </c>
      <c r="F45" s="25">
        <v>1</v>
      </c>
      <c r="G45" s="25">
        <v>1</v>
      </c>
      <c r="H45" s="25" t="s">
        <v>51</v>
      </c>
      <c r="I45" s="25">
        <v>0</v>
      </c>
      <c r="J45" s="33" t="s">
        <v>51</v>
      </c>
      <c r="K45" s="33" t="s">
        <v>34</v>
      </c>
      <c r="L45" s="33" t="s">
        <v>35</v>
      </c>
      <c r="M45" s="33" t="s">
        <v>36</v>
      </c>
      <c r="N45" s="33" t="s">
        <v>52</v>
      </c>
      <c r="O45" s="25">
        <v>1.5</v>
      </c>
      <c r="P45" s="33" t="s">
        <v>38</v>
      </c>
      <c r="Q45" s="33" t="s">
        <v>39</v>
      </c>
      <c r="R45" s="33" t="s">
        <v>39</v>
      </c>
      <c r="S45" s="25">
        <v>0</v>
      </c>
      <c r="T45" s="25">
        <v>1.5</v>
      </c>
      <c r="U45" s="25">
        <v>1.5</v>
      </c>
      <c r="V45" s="25">
        <v>0.1875</v>
      </c>
      <c r="W45" s="25">
        <v>1.3125</v>
      </c>
      <c r="X45" s="25" t="s">
        <v>40</v>
      </c>
      <c r="Y45" s="25"/>
      <c r="Z45" s="33" t="s">
        <v>41</v>
      </c>
      <c r="AA45" s="25" t="b">
        <v>1</v>
      </c>
      <c r="AB45" s="25" t="b">
        <v>1</v>
      </c>
      <c r="AC45" s="25" t="b">
        <v>1</v>
      </c>
    </row>
    <row r="46" spans="1:29" ht="26.2">
      <c r="A46" s="23" t="s">
        <v>101</v>
      </c>
      <c r="B46" s="23" t="s">
        <v>28</v>
      </c>
      <c r="C46" s="31" t="s">
        <v>102</v>
      </c>
      <c r="D46" s="31" t="s">
        <v>30</v>
      </c>
      <c r="E46" s="31" t="s">
        <v>31</v>
      </c>
      <c r="F46" s="23">
        <v>2</v>
      </c>
      <c r="G46" s="23">
        <v>1</v>
      </c>
      <c r="H46" s="23" t="s">
        <v>32</v>
      </c>
      <c r="I46" s="23">
        <v>2</v>
      </c>
      <c r="J46" s="31" t="s">
        <v>33</v>
      </c>
      <c r="K46" s="31" t="s">
        <v>34</v>
      </c>
      <c r="L46" s="31" t="s">
        <v>35</v>
      </c>
      <c r="M46" s="31" t="s">
        <v>36</v>
      </c>
      <c r="N46" s="31" t="s">
        <v>37</v>
      </c>
      <c r="O46" s="23">
        <v>30</v>
      </c>
      <c r="P46" s="31" t="s">
        <v>38</v>
      </c>
      <c r="Q46" s="31" t="s">
        <v>39</v>
      </c>
      <c r="R46" s="31" t="s">
        <v>39</v>
      </c>
      <c r="S46" s="23">
        <v>0</v>
      </c>
      <c r="T46" s="23">
        <v>30</v>
      </c>
      <c r="U46" s="23">
        <v>30.4166666666666</v>
      </c>
      <c r="V46" s="23">
        <v>3.8020833333333299</v>
      </c>
      <c r="W46" s="23">
        <v>26.6145833333333</v>
      </c>
      <c r="X46" s="23" t="s">
        <v>40</v>
      </c>
      <c r="Y46" s="23"/>
      <c r="Z46" s="31" t="s">
        <v>41</v>
      </c>
      <c r="AA46" s="23" t="b">
        <v>1</v>
      </c>
      <c r="AB46" s="23" t="b">
        <v>1</v>
      </c>
      <c r="AC46" s="23" t="b">
        <v>1</v>
      </c>
    </row>
    <row r="47" spans="1:29" ht="26.2">
      <c r="A47" s="24" t="s">
        <v>247</v>
      </c>
      <c r="B47" s="24" t="s">
        <v>193</v>
      </c>
      <c r="C47" s="32" t="s">
        <v>248</v>
      </c>
      <c r="D47" s="32" t="s">
        <v>30</v>
      </c>
      <c r="E47" s="32" t="s">
        <v>195</v>
      </c>
      <c r="F47" s="24">
        <v>2</v>
      </c>
      <c r="G47" s="24">
        <v>1</v>
      </c>
      <c r="H47" s="24" t="s">
        <v>45</v>
      </c>
      <c r="I47" s="24">
        <v>2</v>
      </c>
      <c r="J47" s="32" t="s">
        <v>196</v>
      </c>
      <c r="K47" s="32" t="s">
        <v>34</v>
      </c>
      <c r="L47" s="32" t="s">
        <v>973</v>
      </c>
      <c r="M47" s="32" t="s">
        <v>197</v>
      </c>
      <c r="N47" s="32" t="s">
        <v>198</v>
      </c>
      <c r="O47" s="24">
        <v>30</v>
      </c>
      <c r="P47" s="32" t="s">
        <v>199</v>
      </c>
      <c r="Q47" s="32" t="s">
        <v>243</v>
      </c>
      <c r="R47" s="32" t="s">
        <v>249</v>
      </c>
      <c r="S47" s="24">
        <v>-0.41666666666666602</v>
      </c>
      <c r="T47" s="24">
        <v>30.4166666666666</v>
      </c>
      <c r="U47" s="24">
        <v>30.839120370370299</v>
      </c>
      <c r="V47" s="24">
        <v>3.8548900462962901</v>
      </c>
      <c r="W47" s="24">
        <v>26.984230324074002</v>
      </c>
      <c r="X47" s="24" t="s">
        <v>40</v>
      </c>
      <c r="Y47" s="24"/>
      <c r="Z47" s="32" t="s">
        <v>202</v>
      </c>
      <c r="AA47" s="24" t="b">
        <v>1</v>
      </c>
      <c r="AB47" s="24" t="b">
        <v>1</v>
      </c>
      <c r="AC47" s="24" t="b">
        <v>1</v>
      </c>
    </row>
    <row r="48" spans="1:29" ht="26.2">
      <c r="A48" s="23" t="s">
        <v>103</v>
      </c>
      <c r="B48" s="23" t="s">
        <v>28</v>
      </c>
      <c r="C48" s="31" t="s">
        <v>104</v>
      </c>
      <c r="D48" s="31" t="s">
        <v>30</v>
      </c>
      <c r="E48" s="31" t="s">
        <v>31</v>
      </c>
      <c r="F48" s="23">
        <v>2</v>
      </c>
      <c r="G48" s="23">
        <v>1</v>
      </c>
      <c r="H48" s="23" t="s">
        <v>45</v>
      </c>
      <c r="I48" s="23">
        <v>2</v>
      </c>
      <c r="J48" s="31" t="s">
        <v>46</v>
      </c>
      <c r="K48" s="31" t="s">
        <v>34</v>
      </c>
      <c r="L48" s="31" t="s">
        <v>35</v>
      </c>
      <c r="M48" s="31" t="s">
        <v>36</v>
      </c>
      <c r="N48" s="31" t="s">
        <v>37</v>
      </c>
      <c r="O48" s="23">
        <v>36</v>
      </c>
      <c r="P48" s="31" t="s">
        <v>38</v>
      </c>
      <c r="Q48" s="31" t="s">
        <v>39</v>
      </c>
      <c r="R48" s="31" t="s">
        <v>39</v>
      </c>
      <c r="S48" s="23">
        <v>0</v>
      </c>
      <c r="T48" s="23">
        <v>36</v>
      </c>
      <c r="U48" s="23">
        <v>36.5</v>
      </c>
      <c r="V48" s="23">
        <v>4.5625</v>
      </c>
      <c r="W48" s="23">
        <v>31.9375</v>
      </c>
      <c r="X48" s="23" t="s">
        <v>40</v>
      </c>
      <c r="Y48" s="23"/>
      <c r="Z48" s="31" t="s">
        <v>41</v>
      </c>
      <c r="AA48" s="23" t="b">
        <v>1</v>
      </c>
      <c r="AB48" s="23" t="b">
        <v>1</v>
      </c>
      <c r="AC48" s="23" t="b">
        <v>1</v>
      </c>
    </row>
    <row r="49" spans="1:29" ht="26.2">
      <c r="A49" s="24" t="s">
        <v>250</v>
      </c>
      <c r="B49" s="24" t="s">
        <v>193</v>
      </c>
      <c r="C49" s="32" t="s">
        <v>251</v>
      </c>
      <c r="D49" s="32" t="s">
        <v>30</v>
      </c>
      <c r="E49" s="32" t="s">
        <v>195</v>
      </c>
      <c r="F49" s="24">
        <v>2</v>
      </c>
      <c r="G49" s="24">
        <v>1</v>
      </c>
      <c r="H49" s="24" t="s">
        <v>32</v>
      </c>
      <c r="I49" s="24">
        <v>2</v>
      </c>
      <c r="J49" s="32" t="s">
        <v>196</v>
      </c>
      <c r="K49" s="32" t="s">
        <v>34</v>
      </c>
      <c r="L49" s="32" t="s">
        <v>973</v>
      </c>
      <c r="M49" s="32" t="s">
        <v>197</v>
      </c>
      <c r="N49" s="32" t="s">
        <v>198</v>
      </c>
      <c r="O49" s="24">
        <v>36</v>
      </c>
      <c r="P49" s="32" t="s">
        <v>205</v>
      </c>
      <c r="Q49" s="32" t="s">
        <v>243</v>
      </c>
      <c r="R49" s="32" t="s">
        <v>249</v>
      </c>
      <c r="S49" s="24">
        <v>0.5</v>
      </c>
      <c r="T49" s="24">
        <v>35.5</v>
      </c>
      <c r="U49" s="24">
        <v>35.9930555555555</v>
      </c>
      <c r="V49" s="24">
        <v>4.4991319444444402</v>
      </c>
      <c r="W49" s="24">
        <v>31.4939236111111</v>
      </c>
      <c r="X49" s="24" t="s">
        <v>40</v>
      </c>
      <c r="Y49" s="24"/>
      <c r="Z49" s="32" t="s">
        <v>202</v>
      </c>
      <c r="AA49" s="24" t="b">
        <v>1</v>
      </c>
      <c r="AB49" s="24" t="b">
        <v>1</v>
      </c>
      <c r="AC49" s="24" t="b">
        <v>1</v>
      </c>
    </row>
    <row r="50" spans="1:29" ht="26.2">
      <c r="A50" s="25" t="s">
        <v>105</v>
      </c>
      <c r="B50" s="25" t="s">
        <v>28</v>
      </c>
      <c r="C50" s="33" t="s">
        <v>106</v>
      </c>
      <c r="D50" s="33" t="s">
        <v>49</v>
      </c>
      <c r="E50" s="33" t="s">
        <v>50</v>
      </c>
      <c r="F50" s="25">
        <v>2</v>
      </c>
      <c r="G50" s="25">
        <v>1</v>
      </c>
      <c r="H50" s="25" t="s">
        <v>51</v>
      </c>
      <c r="I50" s="25">
        <v>0</v>
      </c>
      <c r="J50" s="33" t="s">
        <v>51</v>
      </c>
      <c r="K50" s="33" t="s">
        <v>34</v>
      </c>
      <c r="L50" s="33" t="s">
        <v>35</v>
      </c>
      <c r="M50" s="33" t="s">
        <v>36</v>
      </c>
      <c r="N50" s="33" t="s">
        <v>52</v>
      </c>
      <c r="O50" s="25">
        <v>3</v>
      </c>
      <c r="P50" s="33" t="s">
        <v>38</v>
      </c>
      <c r="Q50" s="33" t="s">
        <v>39</v>
      </c>
      <c r="R50" s="33" t="s">
        <v>39</v>
      </c>
      <c r="S50" s="25">
        <v>0</v>
      </c>
      <c r="T50" s="25">
        <v>3</v>
      </c>
      <c r="U50" s="25">
        <v>3</v>
      </c>
      <c r="V50" s="25">
        <v>0.375</v>
      </c>
      <c r="W50" s="25">
        <v>2.625</v>
      </c>
      <c r="X50" s="25" t="s">
        <v>40</v>
      </c>
      <c r="Y50" s="25"/>
      <c r="Z50" s="33" t="s">
        <v>41</v>
      </c>
      <c r="AA50" s="25" t="b">
        <v>1</v>
      </c>
      <c r="AB50" s="25" t="b">
        <v>1</v>
      </c>
      <c r="AC50" s="25" t="b">
        <v>1</v>
      </c>
    </row>
    <row r="51" spans="1:29" ht="26.2">
      <c r="A51" s="23" t="s">
        <v>107</v>
      </c>
      <c r="B51" s="23" t="s">
        <v>28</v>
      </c>
      <c r="C51" s="31" t="s">
        <v>108</v>
      </c>
      <c r="D51" s="31" t="s">
        <v>30</v>
      </c>
      <c r="E51" s="31" t="s">
        <v>31</v>
      </c>
      <c r="F51" s="23">
        <v>3</v>
      </c>
      <c r="G51" s="23">
        <v>1</v>
      </c>
      <c r="H51" s="23" t="s">
        <v>32</v>
      </c>
      <c r="I51" s="23">
        <v>3</v>
      </c>
      <c r="J51" s="31" t="s">
        <v>33</v>
      </c>
      <c r="K51" s="31" t="s">
        <v>34</v>
      </c>
      <c r="L51" s="31" t="s">
        <v>35</v>
      </c>
      <c r="M51" s="31" t="s">
        <v>36</v>
      </c>
      <c r="N51" s="31" t="s">
        <v>37</v>
      </c>
      <c r="O51" s="23">
        <v>45</v>
      </c>
      <c r="P51" s="31" t="s">
        <v>38</v>
      </c>
      <c r="Q51" s="31" t="s">
        <v>39</v>
      </c>
      <c r="R51" s="31" t="s">
        <v>39</v>
      </c>
      <c r="S51" s="23">
        <v>0</v>
      </c>
      <c r="T51" s="23">
        <v>45</v>
      </c>
      <c r="U51" s="23">
        <v>45.937499999999901</v>
      </c>
      <c r="V51" s="23">
        <v>5.7421874999999902</v>
      </c>
      <c r="W51" s="23">
        <v>40.195312499999901</v>
      </c>
      <c r="X51" s="23" t="s">
        <v>40</v>
      </c>
      <c r="Y51" s="23"/>
      <c r="Z51" s="31" t="s">
        <v>41</v>
      </c>
      <c r="AA51" s="23" t="b">
        <v>1</v>
      </c>
      <c r="AB51" s="23" t="b">
        <v>1</v>
      </c>
      <c r="AC51" s="23" t="b">
        <v>1</v>
      </c>
    </row>
    <row r="52" spans="1:29" ht="26.2">
      <c r="A52" s="24" t="s">
        <v>252</v>
      </c>
      <c r="B52" s="24" t="s">
        <v>193</v>
      </c>
      <c r="C52" s="32" t="s">
        <v>253</v>
      </c>
      <c r="D52" s="32" t="s">
        <v>30</v>
      </c>
      <c r="E52" s="32" t="s">
        <v>195</v>
      </c>
      <c r="F52" s="24">
        <v>3</v>
      </c>
      <c r="G52" s="24">
        <v>1</v>
      </c>
      <c r="H52" s="24" t="s">
        <v>45</v>
      </c>
      <c r="I52" s="24">
        <v>3</v>
      </c>
      <c r="J52" s="32" t="s">
        <v>196</v>
      </c>
      <c r="K52" s="32" t="s">
        <v>34</v>
      </c>
      <c r="L52" s="32" t="s">
        <v>973</v>
      </c>
      <c r="M52" s="32" t="s">
        <v>197</v>
      </c>
      <c r="N52" s="32" t="s">
        <v>198</v>
      </c>
      <c r="O52" s="24">
        <v>45</v>
      </c>
      <c r="P52" s="32" t="s">
        <v>199</v>
      </c>
      <c r="Q52" s="32" t="s">
        <v>243</v>
      </c>
      <c r="R52" s="32" t="s">
        <v>254</v>
      </c>
      <c r="S52" s="24">
        <v>-0.9375</v>
      </c>
      <c r="T52" s="24">
        <v>45.9375</v>
      </c>
      <c r="U52" s="24">
        <v>46.894531249999901</v>
      </c>
      <c r="V52" s="24">
        <v>5.8618164062499902</v>
      </c>
      <c r="W52" s="24">
        <v>41.032714843749901</v>
      </c>
      <c r="X52" s="24" t="s">
        <v>40</v>
      </c>
      <c r="Y52" s="24"/>
      <c r="Z52" s="32" t="s">
        <v>202</v>
      </c>
      <c r="AA52" s="24" t="b">
        <v>1</v>
      </c>
      <c r="AB52" s="24" t="b">
        <v>1</v>
      </c>
      <c r="AC52" s="24" t="b">
        <v>1</v>
      </c>
    </row>
    <row r="53" spans="1:29" ht="26.2">
      <c r="A53" s="23" t="s">
        <v>109</v>
      </c>
      <c r="B53" s="23" t="s">
        <v>28</v>
      </c>
      <c r="C53" s="31" t="s">
        <v>110</v>
      </c>
      <c r="D53" s="31" t="s">
        <v>30</v>
      </c>
      <c r="E53" s="31" t="s">
        <v>31</v>
      </c>
      <c r="F53" s="23">
        <v>3</v>
      </c>
      <c r="G53" s="23">
        <v>1</v>
      </c>
      <c r="H53" s="23" t="s">
        <v>45</v>
      </c>
      <c r="I53" s="23">
        <v>3</v>
      </c>
      <c r="J53" s="31" t="s">
        <v>46</v>
      </c>
      <c r="K53" s="31" t="s">
        <v>34</v>
      </c>
      <c r="L53" s="31" t="s">
        <v>35</v>
      </c>
      <c r="M53" s="31" t="s">
        <v>36</v>
      </c>
      <c r="N53" s="31" t="s">
        <v>37</v>
      </c>
      <c r="O53" s="23">
        <v>54</v>
      </c>
      <c r="P53" s="31" t="s">
        <v>38</v>
      </c>
      <c r="Q53" s="31" t="s">
        <v>39</v>
      </c>
      <c r="R53" s="31" t="s">
        <v>39</v>
      </c>
      <c r="S53" s="23">
        <v>0</v>
      </c>
      <c r="T53" s="23">
        <v>54</v>
      </c>
      <c r="U53" s="23">
        <v>55.124999999999901</v>
      </c>
      <c r="V53" s="23">
        <v>6.8906249999999902</v>
      </c>
      <c r="W53" s="23">
        <v>48.234374999999901</v>
      </c>
      <c r="X53" s="23" t="s">
        <v>40</v>
      </c>
      <c r="Y53" s="23"/>
      <c r="Z53" s="31" t="s">
        <v>41</v>
      </c>
      <c r="AA53" s="23" t="b">
        <v>1</v>
      </c>
      <c r="AB53" s="23" t="b">
        <v>1</v>
      </c>
      <c r="AC53" s="23" t="b">
        <v>1</v>
      </c>
    </row>
    <row r="54" spans="1:29" ht="26.2">
      <c r="A54" s="24" t="s">
        <v>255</v>
      </c>
      <c r="B54" s="24" t="s">
        <v>193</v>
      </c>
      <c r="C54" s="32" t="s">
        <v>256</v>
      </c>
      <c r="D54" s="32" t="s">
        <v>30</v>
      </c>
      <c r="E54" s="32" t="s">
        <v>195</v>
      </c>
      <c r="F54" s="24">
        <v>3</v>
      </c>
      <c r="G54" s="24">
        <v>1</v>
      </c>
      <c r="H54" s="24" t="s">
        <v>32</v>
      </c>
      <c r="I54" s="24">
        <v>3</v>
      </c>
      <c r="J54" s="32" t="s">
        <v>196</v>
      </c>
      <c r="K54" s="32" t="s">
        <v>34</v>
      </c>
      <c r="L54" s="32" t="s">
        <v>973</v>
      </c>
      <c r="M54" s="32" t="s">
        <v>197</v>
      </c>
      <c r="N54" s="32" t="s">
        <v>198</v>
      </c>
      <c r="O54" s="24">
        <v>54</v>
      </c>
      <c r="P54" s="32" t="s">
        <v>205</v>
      </c>
      <c r="Q54" s="32" t="s">
        <v>243</v>
      </c>
      <c r="R54" s="32" t="s">
        <v>254</v>
      </c>
      <c r="S54" s="24">
        <v>1.125</v>
      </c>
      <c r="T54" s="24">
        <v>52.875</v>
      </c>
      <c r="U54" s="24">
        <v>53.976562499999901</v>
      </c>
      <c r="V54" s="24">
        <v>6.7470703124999902</v>
      </c>
      <c r="W54" s="24">
        <v>47.229492187499901</v>
      </c>
      <c r="X54" s="24" t="s">
        <v>40</v>
      </c>
      <c r="Y54" s="24"/>
      <c r="Z54" s="32" t="s">
        <v>202</v>
      </c>
      <c r="AA54" s="24" t="b">
        <v>1</v>
      </c>
      <c r="AB54" s="24" t="b">
        <v>1</v>
      </c>
      <c r="AC54" s="24" t="b">
        <v>1</v>
      </c>
    </row>
    <row r="55" spans="1:29" ht="26.2">
      <c r="A55" s="25" t="s">
        <v>111</v>
      </c>
      <c r="B55" s="25" t="s">
        <v>28</v>
      </c>
      <c r="C55" s="33" t="s">
        <v>112</v>
      </c>
      <c r="D55" s="33" t="s">
        <v>49</v>
      </c>
      <c r="E55" s="33" t="s">
        <v>50</v>
      </c>
      <c r="F55" s="25">
        <v>3</v>
      </c>
      <c r="G55" s="25">
        <v>1</v>
      </c>
      <c r="H55" s="25" t="s">
        <v>51</v>
      </c>
      <c r="I55" s="25">
        <v>0</v>
      </c>
      <c r="J55" s="33" t="s">
        <v>51</v>
      </c>
      <c r="K55" s="33" t="s">
        <v>34</v>
      </c>
      <c r="L55" s="33" t="s">
        <v>35</v>
      </c>
      <c r="M55" s="33" t="s">
        <v>36</v>
      </c>
      <c r="N55" s="33" t="s">
        <v>52</v>
      </c>
      <c r="O55" s="25">
        <v>4.5</v>
      </c>
      <c r="P55" s="33" t="s">
        <v>38</v>
      </c>
      <c r="Q55" s="33" t="s">
        <v>39</v>
      </c>
      <c r="R55" s="33" t="s">
        <v>39</v>
      </c>
      <c r="S55" s="25">
        <v>0</v>
      </c>
      <c r="T55" s="25">
        <v>4.5</v>
      </c>
      <c r="U55" s="25">
        <v>4.5</v>
      </c>
      <c r="V55" s="25">
        <v>0.5625</v>
      </c>
      <c r="W55" s="25">
        <v>3.9375</v>
      </c>
      <c r="X55" s="25" t="s">
        <v>40</v>
      </c>
      <c r="Y55" s="25"/>
      <c r="Z55" s="33" t="s">
        <v>41</v>
      </c>
      <c r="AA55" s="25" t="b">
        <v>1</v>
      </c>
      <c r="AB55" s="25" t="b">
        <v>1</v>
      </c>
      <c r="AC55" s="25" t="b">
        <v>1</v>
      </c>
    </row>
    <row r="56" spans="1:29" ht="26.2">
      <c r="A56" s="23" t="s">
        <v>113</v>
      </c>
      <c r="B56" s="23" t="s">
        <v>28</v>
      </c>
      <c r="C56" s="31" t="s">
        <v>114</v>
      </c>
      <c r="D56" s="31" t="s">
        <v>30</v>
      </c>
      <c r="E56" s="31" t="s">
        <v>31</v>
      </c>
      <c r="F56" s="23">
        <v>4</v>
      </c>
      <c r="G56" s="23">
        <v>1</v>
      </c>
      <c r="H56" s="23" t="s">
        <v>32</v>
      </c>
      <c r="I56" s="23">
        <v>4</v>
      </c>
      <c r="J56" s="31" t="s">
        <v>33</v>
      </c>
      <c r="K56" s="31" t="s">
        <v>34</v>
      </c>
      <c r="L56" s="31" t="s">
        <v>35</v>
      </c>
      <c r="M56" s="31" t="s">
        <v>36</v>
      </c>
      <c r="N56" s="31" t="s">
        <v>37</v>
      </c>
      <c r="O56" s="23">
        <v>60</v>
      </c>
      <c r="P56" s="31" t="s">
        <v>38</v>
      </c>
      <c r="Q56" s="31" t="s">
        <v>39</v>
      </c>
      <c r="R56" s="31" t="s">
        <v>39</v>
      </c>
      <c r="S56" s="23">
        <v>0</v>
      </c>
      <c r="T56" s="23">
        <v>60</v>
      </c>
      <c r="U56" s="23">
        <v>61.6666666666666</v>
      </c>
      <c r="V56" s="23">
        <v>7.7083333333333304</v>
      </c>
      <c r="W56" s="23">
        <v>53.9583333333333</v>
      </c>
      <c r="X56" s="23" t="s">
        <v>40</v>
      </c>
      <c r="Y56" s="23"/>
      <c r="Z56" s="31" t="s">
        <v>41</v>
      </c>
      <c r="AA56" s="23" t="b">
        <v>1</v>
      </c>
      <c r="AB56" s="23" t="b">
        <v>1</v>
      </c>
      <c r="AC56" s="23" t="b">
        <v>1</v>
      </c>
    </row>
    <row r="57" spans="1:29" ht="26.2">
      <c r="A57" s="24" t="s">
        <v>257</v>
      </c>
      <c r="B57" s="24" t="s">
        <v>193</v>
      </c>
      <c r="C57" s="32" t="s">
        <v>258</v>
      </c>
      <c r="D57" s="32" t="s">
        <v>30</v>
      </c>
      <c r="E57" s="32" t="s">
        <v>195</v>
      </c>
      <c r="F57" s="24">
        <v>4</v>
      </c>
      <c r="G57" s="24">
        <v>1</v>
      </c>
      <c r="H57" s="24" t="s">
        <v>45</v>
      </c>
      <c r="I57" s="24">
        <v>4</v>
      </c>
      <c r="J57" s="32" t="s">
        <v>196</v>
      </c>
      <c r="K57" s="32" t="s">
        <v>34</v>
      </c>
      <c r="L57" s="32" t="s">
        <v>973</v>
      </c>
      <c r="M57" s="32" t="s">
        <v>197</v>
      </c>
      <c r="N57" s="32" t="s">
        <v>198</v>
      </c>
      <c r="O57" s="24">
        <v>60</v>
      </c>
      <c r="P57" s="32" t="s">
        <v>199</v>
      </c>
      <c r="Q57" s="32" t="s">
        <v>243</v>
      </c>
      <c r="R57" s="32" t="s">
        <v>259</v>
      </c>
      <c r="S57" s="24">
        <v>-1.6666666666666601</v>
      </c>
      <c r="T57" s="24">
        <v>61.6666666666666</v>
      </c>
      <c r="U57" s="24">
        <v>63.379629629629598</v>
      </c>
      <c r="V57" s="24">
        <v>7.9224537037036997</v>
      </c>
      <c r="W57" s="24">
        <v>55.457175925925903</v>
      </c>
      <c r="X57" s="24" t="s">
        <v>40</v>
      </c>
      <c r="Y57" s="24"/>
      <c r="Z57" s="32" t="s">
        <v>202</v>
      </c>
      <c r="AA57" s="24" t="b">
        <v>1</v>
      </c>
      <c r="AB57" s="24" t="b">
        <v>1</v>
      </c>
      <c r="AC57" s="24" t="b">
        <v>1</v>
      </c>
    </row>
    <row r="58" spans="1:29" ht="26.2">
      <c r="A58" s="23" t="s">
        <v>115</v>
      </c>
      <c r="B58" s="23" t="s">
        <v>28</v>
      </c>
      <c r="C58" s="31" t="s">
        <v>116</v>
      </c>
      <c r="D58" s="31" t="s">
        <v>30</v>
      </c>
      <c r="E58" s="31" t="s">
        <v>31</v>
      </c>
      <c r="F58" s="23">
        <v>4</v>
      </c>
      <c r="G58" s="23">
        <v>1</v>
      </c>
      <c r="H58" s="23" t="s">
        <v>45</v>
      </c>
      <c r="I58" s="23">
        <v>4</v>
      </c>
      <c r="J58" s="31" t="s">
        <v>46</v>
      </c>
      <c r="K58" s="31" t="s">
        <v>34</v>
      </c>
      <c r="L58" s="31" t="s">
        <v>35</v>
      </c>
      <c r="M58" s="31" t="s">
        <v>36</v>
      </c>
      <c r="N58" s="31" t="s">
        <v>37</v>
      </c>
      <c r="O58" s="23">
        <v>72</v>
      </c>
      <c r="P58" s="31" t="s">
        <v>38</v>
      </c>
      <c r="Q58" s="31" t="s">
        <v>39</v>
      </c>
      <c r="R58" s="31" t="s">
        <v>39</v>
      </c>
      <c r="S58" s="23">
        <v>0</v>
      </c>
      <c r="T58" s="23">
        <v>72</v>
      </c>
      <c r="U58" s="23">
        <v>74</v>
      </c>
      <c r="V58" s="23">
        <v>9.25</v>
      </c>
      <c r="W58" s="23">
        <v>64.75</v>
      </c>
      <c r="X58" s="23" t="s">
        <v>40</v>
      </c>
      <c r="Y58" s="23"/>
      <c r="Z58" s="31" t="s">
        <v>41</v>
      </c>
      <c r="AA58" s="23" t="b">
        <v>1</v>
      </c>
      <c r="AB58" s="23" t="b">
        <v>1</v>
      </c>
      <c r="AC58" s="23" t="b">
        <v>1</v>
      </c>
    </row>
    <row r="59" spans="1:29" ht="26.2">
      <c r="A59" s="24" t="s">
        <v>260</v>
      </c>
      <c r="B59" s="24" t="s">
        <v>193</v>
      </c>
      <c r="C59" s="32" t="s">
        <v>261</v>
      </c>
      <c r="D59" s="32" t="s">
        <v>30</v>
      </c>
      <c r="E59" s="32" t="s">
        <v>195</v>
      </c>
      <c r="F59" s="24">
        <v>4</v>
      </c>
      <c r="G59" s="24">
        <v>1</v>
      </c>
      <c r="H59" s="24" t="s">
        <v>32</v>
      </c>
      <c r="I59" s="24">
        <v>4</v>
      </c>
      <c r="J59" s="32" t="s">
        <v>196</v>
      </c>
      <c r="K59" s="32" t="s">
        <v>34</v>
      </c>
      <c r="L59" s="32" t="s">
        <v>973</v>
      </c>
      <c r="M59" s="32" t="s">
        <v>197</v>
      </c>
      <c r="N59" s="32" t="s">
        <v>198</v>
      </c>
      <c r="O59" s="24">
        <v>72</v>
      </c>
      <c r="P59" s="32" t="s">
        <v>205</v>
      </c>
      <c r="Q59" s="32" t="s">
        <v>243</v>
      </c>
      <c r="R59" s="32" t="s">
        <v>259</v>
      </c>
      <c r="S59" s="24">
        <v>2</v>
      </c>
      <c r="T59" s="24">
        <v>70</v>
      </c>
      <c r="U59" s="24">
        <v>71.9444444444444</v>
      </c>
      <c r="V59" s="24">
        <v>8.99305555555555</v>
      </c>
      <c r="W59" s="24">
        <v>62.9513888888888</v>
      </c>
      <c r="X59" s="24" t="s">
        <v>40</v>
      </c>
      <c r="Y59" s="24"/>
      <c r="Z59" s="32" t="s">
        <v>202</v>
      </c>
      <c r="AA59" s="24" t="b">
        <v>1</v>
      </c>
      <c r="AB59" s="24" t="b">
        <v>1</v>
      </c>
      <c r="AC59" s="24" t="b">
        <v>1</v>
      </c>
    </row>
    <row r="60" spans="1:29" ht="26.2">
      <c r="A60" s="25" t="s">
        <v>117</v>
      </c>
      <c r="B60" s="25" t="s">
        <v>28</v>
      </c>
      <c r="C60" s="33" t="s">
        <v>118</v>
      </c>
      <c r="D60" s="33" t="s">
        <v>49</v>
      </c>
      <c r="E60" s="33" t="s">
        <v>50</v>
      </c>
      <c r="F60" s="25">
        <v>4</v>
      </c>
      <c r="G60" s="25">
        <v>1</v>
      </c>
      <c r="H60" s="25" t="s">
        <v>51</v>
      </c>
      <c r="I60" s="25">
        <v>0</v>
      </c>
      <c r="J60" s="33" t="s">
        <v>51</v>
      </c>
      <c r="K60" s="33" t="s">
        <v>34</v>
      </c>
      <c r="L60" s="33" t="s">
        <v>35</v>
      </c>
      <c r="M60" s="33" t="s">
        <v>36</v>
      </c>
      <c r="N60" s="33" t="s">
        <v>52</v>
      </c>
      <c r="O60" s="25">
        <v>6</v>
      </c>
      <c r="P60" s="33" t="s">
        <v>38</v>
      </c>
      <c r="Q60" s="33" t="s">
        <v>39</v>
      </c>
      <c r="R60" s="33" t="s">
        <v>39</v>
      </c>
      <c r="S60" s="25">
        <v>0</v>
      </c>
      <c r="T60" s="25">
        <v>6</v>
      </c>
      <c r="U60" s="25">
        <v>6</v>
      </c>
      <c r="V60" s="25">
        <v>0.75</v>
      </c>
      <c r="W60" s="25">
        <v>5.25</v>
      </c>
      <c r="X60" s="25" t="s">
        <v>40</v>
      </c>
      <c r="Y60" s="25"/>
      <c r="Z60" s="33" t="s">
        <v>41</v>
      </c>
      <c r="AA60" s="25" t="b">
        <v>1</v>
      </c>
      <c r="AB60" s="25" t="b">
        <v>1</v>
      </c>
      <c r="AC60" s="25" t="b">
        <v>1</v>
      </c>
    </row>
    <row r="61" spans="1:29" ht="26.2">
      <c r="A61" s="23" t="s">
        <v>119</v>
      </c>
      <c r="B61" s="23" t="s">
        <v>28</v>
      </c>
      <c r="C61" s="31" t="s">
        <v>120</v>
      </c>
      <c r="D61" s="31" t="s">
        <v>30</v>
      </c>
      <c r="E61" s="31" t="s">
        <v>31</v>
      </c>
      <c r="F61" s="23">
        <v>6</v>
      </c>
      <c r="G61" s="23">
        <v>1</v>
      </c>
      <c r="H61" s="23" t="s">
        <v>32</v>
      </c>
      <c r="I61" s="23">
        <v>6</v>
      </c>
      <c r="J61" s="31" t="s">
        <v>33</v>
      </c>
      <c r="K61" s="31" t="s">
        <v>34</v>
      </c>
      <c r="L61" s="31" t="s">
        <v>35</v>
      </c>
      <c r="M61" s="31" t="s">
        <v>36</v>
      </c>
      <c r="N61" s="31" t="s">
        <v>37</v>
      </c>
      <c r="O61" s="23">
        <v>90</v>
      </c>
      <c r="P61" s="31" t="s">
        <v>38</v>
      </c>
      <c r="Q61" s="31" t="s">
        <v>39</v>
      </c>
      <c r="R61" s="31" t="s">
        <v>39</v>
      </c>
      <c r="S61" s="23">
        <v>0</v>
      </c>
      <c r="T61" s="23">
        <v>90</v>
      </c>
      <c r="U61" s="23">
        <v>93.75</v>
      </c>
      <c r="V61" s="23">
        <v>11.71875</v>
      </c>
      <c r="W61" s="23">
        <v>82.03125</v>
      </c>
      <c r="X61" s="23" t="s">
        <v>40</v>
      </c>
      <c r="Y61" s="23"/>
      <c r="Z61" s="31" t="s">
        <v>41</v>
      </c>
      <c r="AA61" s="23" t="b">
        <v>1</v>
      </c>
      <c r="AB61" s="23" t="b">
        <v>1</v>
      </c>
      <c r="AC61" s="23" t="b">
        <v>1</v>
      </c>
    </row>
    <row r="62" spans="1:29" ht="26.2">
      <c r="A62" s="24" t="s">
        <v>262</v>
      </c>
      <c r="B62" s="24" t="s">
        <v>193</v>
      </c>
      <c r="C62" s="32" t="s">
        <v>263</v>
      </c>
      <c r="D62" s="32" t="s">
        <v>30</v>
      </c>
      <c r="E62" s="32" t="s">
        <v>195</v>
      </c>
      <c r="F62" s="24">
        <v>6</v>
      </c>
      <c r="G62" s="24">
        <v>1</v>
      </c>
      <c r="H62" s="24" t="s">
        <v>45</v>
      </c>
      <c r="I62" s="24">
        <v>6</v>
      </c>
      <c r="J62" s="32" t="s">
        <v>196</v>
      </c>
      <c r="K62" s="32" t="s">
        <v>34</v>
      </c>
      <c r="L62" s="32" t="s">
        <v>973</v>
      </c>
      <c r="M62" s="32" t="s">
        <v>197</v>
      </c>
      <c r="N62" s="32" t="s">
        <v>198</v>
      </c>
      <c r="O62" s="24">
        <v>90</v>
      </c>
      <c r="P62" s="32" t="s">
        <v>199</v>
      </c>
      <c r="Q62" s="32" t="s">
        <v>243</v>
      </c>
      <c r="R62" s="32" t="s">
        <v>264</v>
      </c>
      <c r="S62" s="24">
        <v>-3.75</v>
      </c>
      <c r="T62" s="24">
        <v>93.75</v>
      </c>
      <c r="U62" s="24">
        <v>97.65625</v>
      </c>
      <c r="V62" s="24">
        <v>12.20703125</v>
      </c>
      <c r="W62" s="24">
        <v>85.44921875</v>
      </c>
      <c r="X62" s="24" t="s">
        <v>40</v>
      </c>
      <c r="Y62" s="24"/>
      <c r="Z62" s="32" t="s">
        <v>202</v>
      </c>
      <c r="AA62" s="24" t="b">
        <v>1</v>
      </c>
      <c r="AB62" s="24" t="b">
        <v>1</v>
      </c>
      <c r="AC62" s="24" t="b">
        <v>1</v>
      </c>
    </row>
    <row r="63" spans="1:29" ht="26.2">
      <c r="A63" s="23" t="s">
        <v>121</v>
      </c>
      <c r="B63" s="23" t="s">
        <v>28</v>
      </c>
      <c r="C63" s="31" t="s">
        <v>122</v>
      </c>
      <c r="D63" s="31" t="s">
        <v>30</v>
      </c>
      <c r="E63" s="31" t="s">
        <v>31</v>
      </c>
      <c r="F63" s="23">
        <v>6</v>
      </c>
      <c r="G63" s="23">
        <v>1</v>
      </c>
      <c r="H63" s="23" t="s">
        <v>45</v>
      </c>
      <c r="I63" s="23">
        <v>6</v>
      </c>
      <c r="J63" s="31" t="s">
        <v>46</v>
      </c>
      <c r="K63" s="31" t="s">
        <v>34</v>
      </c>
      <c r="L63" s="31" t="s">
        <v>35</v>
      </c>
      <c r="M63" s="31" t="s">
        <v>36</v>
      </c>
      <c r="N63" s="31" t="s">
        <v>37</v>
      </c>
      <c r="O63" s="23">
        <v>108</v>
      </c>
      <c r="P63" s="31" t="s">
        <v>38</v>
      </c>
      <c r="Q63" s="31" t="s">
        <v>39</v>
      </c>
      <c r="R63" s="31" t="s">
        <v>39</v>
      </c>
      <c r="S63" s="23">
        <v>0</v>
      </c>
      <c r="T63" s="23">
        <v>108</v>
      </c>
      <c r="U63" s="23">
        <v>112.5</v>
      </c>
      <c r="V63" s="23">
        <v>14.0625</v>
      </c>
      <c r="W63" s="23">
        <v>98.4375</v>
      </c>
      <c r="X63" s="23" t="s">
        <v>40</v>
      </c>
      <c r="Y63" s="23"/>
      <c r="Z63" s="31" t="s">
        <v>41</v>
      </c>
      <c r="AA63" s="23" t="b">
        <v>1</v>
      </c>
      <c r="AB63" s="23" t="b">
        <v>1</v>
      </c>
      <c r="AC63" s="23" t="b">
        <v>1</v>
      </c>
    </row>
    <row r="64" spans="1:29" ht="26.2">
      <c r="A64" s="24" t="s">
        <v>265</v>
      </c>
      <c r="B64" s="24" t="s">
        <v>193</v>
      </c>
      <c r="C64" s="32" t="s">
        <v>266</v>
      </c>
      <c r="D64" s="32" t="s">
        <v>30</v>
      </c>
      <c r="E64" s="32" t="s">
        <v>195</v>
      </c>
      <c r="F64" s="24">
        <v>6</v>
      </c>
      <c r="G64" s="24">
        <v>1</v>
      </c>
      <c r="H64" s="24" t="s">
        <v>32</v>
      </c>
      <c r="I64" s="24">
        <v>6</v>
      </c>
      <c r="J64" s="32" t="s">
        <v>196</v>
      </c>
      <c r="K64" s="32" t="s">
        <v>34</v>
      </c>
      <c r="L64" s="32" t="s">
        <v>973</v>
      </c>
      <c r="M64" s="32" t="s">
        <v>197</v>
      </c>
      <c r="N64" s="32" t="s">
        <v>198</v>
      </c>
      <c r="O64" s="24">
        <v>108</v>
      </c>
      <c r="P64" s="32" t="s">
        <v>205</v>
      </c>
      <c r="Q64" s="32" t="s">
        <v>243</v>
      </c>
      <c r="R64" s="32" t="s">
        <v>264</v>
      </c>
      <c r="S64" s="24">
        <v>4.5</v>
      </c>
      <c r="T64" s="24">
        <v>103.5</v>
      </c>
      <c r="U64" s="24">
        <v>107.8125</v>
      </c>
      <c r="V64" s="24">
        <v>13.4765625</v>
      </c>
      <c r="W64" s="24">
        <v>94.3359375</v>
      </c>
      <c r="X64" s="24" t="s">
        <v>40</v>
      </c>
      <c r="Y64" s="24"/>
      <c r="Z64" s="32" t="s">
        <v>202</v>
      </c>
      <c r="AA64" s="24" t="b">
        <v>1</v>
      </c>
      <c r="AB64" s="24" t="b">
        <v>1</v>
      </c>
      <c r="AC64" s="24" t="b">
        <v>1</v>
      </c>
    </row>
    <row r="65" spans="1:29" ht="26.2">
      <c r="A65" s="25" t="s">
        <v>123</v>
      </c>
      <c r="B65" s="25" t="s">
        <v>28</v>
      </c>
      <c r="C65" s="33" t="s">
        <v>124</v>
      </c>
      <c r="D65" s="33" t="s">
        <v>49</v>
      </c>
      <c r="E65" s="33" t="s">
        <v>50</v>
      </c>
      <c r="F65" s="25">
        <v>6</v>
      </c>
      <c r="G65" s="25">
        <v>1</v>
      </c>
      <c r="H65" s="25" t="s">
        <v>51</v>
      </c>
      <c r="I65" s="25">
        <v>0</v>
      </c>
      <c r="J65" s="33" t="s">
        <v>51</v>
      </c>
      <c r="K65" s="33" t="s">
        <v>34</v>
      </c>
      <c r="L65" s="33" t="s">
        <v>35</v>
      </c>
      <c r="M65" s="33" t="s">
        <v>36</v>
      </c>
      <c r="N65" s="33" t="s">
        <v>52</v>
      </c>
      <c r="O65" s="25">
        <v>9</v>
      </c>
      <c r="P65" s="33" t="s">
        <v>38</v>
      </c>
      <c r="Q65" s="33" t="s">
        <v>39</v>
      </c>
      <c r="R65" s="33" t="s">
        <v>39</v>
      </c>
      <c r="S65" s="25">
        <v>0</v>
      </c>
      <c r="T65" s="25">
        <v>9</v>
      </c>
      <c r="U65" s="25">
        <v>9</v>
      </c>
      <c r="V65" s="25">
        <v>1.125</v>
      </c>
      <c r="W65" s="25">
        <v>7.875</v>
      </c>
      <c r="X65" s="25" t="s">
        <v>40</v>
      </c>
      <c r="Y65" s="25"/>
      <c r="Z65" s="33" t="s">
        <v>41</v>
      </c>
      <c r="AA65" s="25" t="b">
        <v>1</v>
      </c>
      <c r="AB65" s="25" t="b">
        <v>1</v>
      </c>
      <c r="AC65" s="25" t="b">
        <v>1</v>
      </c>
    </row>
    <row r="66" spans="1:29" ht="26.2">
      <c r="A66" s="23" t="s">
        <v>125</v>
      </c>
      <c r="B66" s="23" t="s">
        <v>28</v>
      </c>
      <c r="C66" s="31" t="s">
        <v>126</v>
      </c>
      <c r="D66" s="31" t="s">
        <v>30</v>
      </c>
      <c r="E66" s="31" t="s">
        <v>31</v>
      </c>
      <c r="F66" s="23">
        <v>8</v>
      </c>
      <c r="G66" s="23">
        <v>1</v>
      </c>
      <c r="H66" s="23" t="s">
        <v>32</v>
      </c>
      <c r="I66" s="23">
        <v>8</v>
      </c>
      <c r="J66" s="31" t="s">
        <v>33</v>
      </c>
      <c r="K66" s="31" t="s">
        <v>34</v>
      </c>
      <c r="L66" s="31" t="s">
        <v>35</v>
      </c>
      <c r="M66" s="31" t="s">
        <v>36</v>
      </c>
      <c r="N66" s="31" t="s">
        <v>37</v>
      </c>
      <c r="O66" s="23">
        <v>120</v>
      </c>
      <c r="P66" s="31" t="s">
        <v>38</v>
      </c>
      <c r="Q66" s="31" t="s">
        <v>39</v>
      </c>
      <c r="R66" s="31" t="s">
        <v>39</v>
      </c>
      <c r="S66" s="23">
        <v>0</v>
      </c>
      <c r="T66" s="23">
        <v>120</v>
      </c>
      <c r="U66" s="23">
        <v>126.666666666666</v>
      </c>
      <c r="V66" s="23">
        <v>15.8333333333333</v>
      </c>
      <c r="W66" s="23">
        <v>110.833333333333</v>
      </c>
      <c r="X66" s="23" t="s">
        <v>40</v>
      </c>
      <c r="Y66" s="23"/>
      <c r="Z66" s="31" t="s">
        <v>41</v>
      </c>
      <c r="AA66" s="23" t="b">
        <v>1</v>
      </c>
      <c r="AB66" s="23" t="b">
        <v>1</v>
      </c>
      <c r="AC66" s="23" t="b">
        <v>1</v>
      </c>
    </row>
    <row r="67" spans="1:29" ht="26.2">
      <c r="A67" s="24" t="s">
        <v>267</v>
      </c>
      <c r="B67" s="24" t="s">
        <v>193</v>
      </c>
      <c r="C67" s="32" t="s">
        <v>268</v>
      </c>
      <c r="D67" s="32" t="s">
        <v>30</v>
      </c>
      <c r="E67" s="32" t="s">
        <v>195</v>
      </c>
      <c r="F67" s="24">
        <v>8</v>
      </c>
      <c r="G67" s="24">
        <v>1</v>
      </c>
      <c r="H67" s="24" t="s">
        <v>45</v>
      </c>
      <c r="I67" s="24">
        <v>8</v>
      </c>
      <c r="J67" s="32" t="s">
        <v>196</v>
      </c>
      <c r="K67" s="32" t="s">
        <v>34</v>
      </c>
      <c r="L67" s="32" t="s">
        <v>973</v>
      </c>
      <c r="M67" s="32" t="s">
        <v>197</v>
      </c>
      <c r="N67" s="32" t="s">
        <v>198</v>
      </c>
      <c r="O67" s="24">
        <v>120</v>
      </c>
      <c r="P67" s="32" t="s">
        <v>199</v>
      </c>
      <c r="Q67" s="32" t="s">
        <v>243</v>
      </c>
      <c r="R67" s="32" t="s">
        <v>269</v>
      </c>
      <c r="S67" s="24">
        <v>-6.6666666666666599</v>
      </c>
      <c r="T67" s="24">
        <v>126.666666666666</v>
      </c>
      <c r="U67" s="24">
        <v>133.70370370370301</v>
      </c>
      <c r="V67" s="24">
        <v>16.712962962962902</v>
      </c>
      <c r="W67" s="24">
        <v>116.99074074073999</v>
      </c>
      <c r="X67" s="24" t="s">
        <v>40</v>
      </c>
      <c r="Y67" s="24"/>
      <c r="Z67" s="32" t="s">
        <v>202</v>
      </c>
      <c r="AA67" s="24" t="b">
        <v>1</v>
      </c>
      <c r="AB67" s="24" t="b">
        <v>1</v>
      </c>
      <c r="AC67" s="24" t="b">
        <v>1</v>
      </c>
    </row>
    <row r="68" spans="1:29" ht="26.2">
      <c r="A68" s="23" t="s">
        <v>127</v>
      </c>
      <c r="B68" s="23" t="s">
        <v>28</v>
      </c>
      <c r="C68" s="31" t="s">
        <v>128</v>
      </c>
      <c r="D68" s="31" t="s">
        <v>30</v>
      </c>
      <c r="E68" s="31" t="s">
        <v>31</v>
      </c>
      <c r="F68" s="23">
        <v>8</v>
      </c>
      <c r="G68" s="23">
        <v>1</v>
      </c>
      <c r="H68" s="23" t="s">
        <v>45</v>
      </c>
      <c r="I68" s="23">
        <v>8</v>
      </c>
      <c r="J68" s="31" t="s">
        <v>46</v>
      </c>
      <c r="K68" s="31" t="s">
        <v>34</v>
      </c>
      <c r="L68" s="31" t="s">
        <v>35</v>
      </c>
      <c r="M68" s="31" t="s">
        <v>36</v>
      </c>
      <c r="N68" s="31" t="s">
        <v>37</v>
      </c>
      <c r="O68" s="23">
        <v>144</v>
      </c>
      <c r="P68" s="31" t="s">
        <v>38</v>
      </c>
      <c r="Q68" s="31" t="s">
        <v>39</v>
      </c>
      <c r="R68" s="31" t="s">
        <v>39</v>
      </c>
      <c r="S68" s="23">
        <v>0</v>
      </c>
      <c r="T68" s="23">
        <v>144</v>
      </c>
      <c r="U68" s="23">
        <v>152</v>
      </c>
      <c r="V68" s="23">
        <v>19</v>
      </c>
      <c r="W68" s="23">
        <v>133</v>
      </c>
      <c r="X68" s="23" t="s">
        <v>40</v>
      </c>
      <c r="Y68" s="23"/>
      <c r="Z68" s="31" t="s">
        <v>41</v>
      </c>
      <c r="AA68" s="23" t="b">
        <v>1</v>
      </c>
      <c r="AB68" s="23" t="b">
        <v>1</v>
      </c>
      <c r="AC68" s="23" t="b">
        <v>1</v>
      </c>
    </row>
    <row r="69" spans="1:29" ht="26.2">
      <c r="A69" s="24" t="s">
        <v>270</v>
      </c>
      <c r="B69" s="24" t="s">
        <v>193</v>
      </c>
      <c r="C69" s="32" t="s">
        <v>271</v>
      </c>
      <c r="D69" s="32" t="s">
        <v>30</v>
      </c>
      <c r="E69" s="32" t="s">
        <v>195</v>
      </c>
      <c r="F69" s="24">
        <v>8</v>
      </c>
      <c r="G69" s="24">
        <v>1</v>
      </c>
      <c r="H69" s="24" t="s">
        <v>32</v>
      </c>
      <c r="I69" s="24">
        <v>8</v>
      </c>
      <c r="J69" s="32" t="s">
        <v>196</v>
      </c>
      <c r="K69" s="32" t="s">
        <v>34</v>
      </c>
      <c r="L69" s="32" t="s">
        <v>973</v>
      </c>
      <c r="M69" s="32" t="s">
        <v>197</v>
      </c>
      <c r="N69" s="32" t="s">
        <v>198</v>
      </c>
      <c r="O69" s="24">
        <v>144</v>
      </c>
      <c r="P69" s="32" t="s">
        <v>205</v>
      </c>
      <c r="Q69" s="32" t="s">
        <v>243</v>
      </c>
      <c r="R69" s="32" t="s">
        <v>269</v>
      </c>
      <c r="S69" s="24">
        <v>8</v>
      </c>
      <c r="T69" s="24">
        <v>136</v>
      </c>
      <c r="U69" s="24">
        <v>143.555555555555</v>
      </c>
      <c r="V69" s="24">
        <v>17.9444444444444</v>
      </c>
      <c r="W69" s="24">
        <v>125.611111111111</v>
      </c>
      <c r="X69" s="24" t="s">
        <v>40</v>
      </c>
      <c r="Y69" s="24"/>
      <c r="Z69" s="32" t="s">
        <v>202</v>
      </c>
      <c r="AA69" s="24" t="b">
        <v>1</v>
      </c>
      <c r="AB69" s="24" t="b">
        <v>1</v>
      </c>
      <c r="AC69" s="24" t="b">
        <v>1</v>
      </c>
    </row>
    <row r="70" spans="1:29" ht="26.2">
      <c r="A70" s="25" t="s">
        <v>129</v>
      </c>
      <c r="B70" s="25" t="s">
        <v>28</v>
      </c>
      <c r="C70" s="33" t="s">
        <v>130</v>
      </c>
      <c r="D70" s="33" t="s">
        <v>49</v>
      </c>
      <c r="E70" s="33" t="s">
        <v>50</v>
      </c>
      <c r="F70" s="25">
        <v>8</v>
      </c>
      <c r="G70" s="25">
        <v>1</v>
      </c>
      <c r="H70" s="25" t="s">
        <v>51</v>
      </c>
      <c r="I70" s="25">
        <v>0</v>
      </c>
      <c r="J70" s="33" t="s">
        <v>51</v>
      </c>
      <c r="K70" s="33" t="s">
        <v>34</v>
      </c>
      <c r="L70" s="33" t="s">
        <v>35</v>
      </c>
      <c r="M70" s="33" t="s">
        <v>36</v>
      </c>
      <c r="N70" s="33" t="s">
        <v>52</v>
      </c>
      <c r="O70" s="25">
        <v>12</v>
      </c>
      <c r="P70" s="33" t="s">
        <v>38</v>
      </c>
      <c r="Q70" s="33" t="s">
        <v>39</v>
      </c>
      <c r="R70" s="33" t="s">
        <v>39</v>
      </c>
      <c r="S70" s="25">
        <v>0</v>
      </c>
      <c r="T70" s="25">
        <v>12</v>
      </c>
      <c r="U70" s="25">
        <v>12</v>
      </c>
      <c r="V70" s="25">
        <v>1.5</v>
      </c>
      <c r="W70" s="25">
        <v>10.5</v>
      </c>
      <c r="X70" s="25" t="s">
        <v>40</v>
      </c>
      <c r="Y70" s="25"/>
      <c r="Z70" s="33" t="s">
        <v>41</v>
      </c>
      <c r="AA70" s="25" t="b">
        <v>1</v>
      </c>
      <c r="AB70" s="25" t="b">
        <v>1</v>
      </c>
      <c r="AC70" s="25" t="b">
        <v>1</v>
      </c>
    </row>
    <row r="71" spans="1:29" ht="26.2">
      <c r="A71" s="23" t="s">
        <v>131</v>
      </c>
      <c r="B71" s="23" t="s">
        <v>28</v>
      </c>
      <c r="C71" s="31" t="s">
        <v>132</v>
      </c>
      <c r="D71" s="31" t="s">
        <v>30</v>
      </c>
      <c r="E71" s="31" t="s">
        <v>31</v>
      </c>
      <c r="F71" s="23">
        <v>9</v>
      </c>
      <c r="G71" s="23">
        <v>1</v>
      </c>
      <c r="H71" s="23" t="s">
        <v>32</v>
      </c>
      <c r="I71" s="23">
        <v>9</v>
      </c>
      <c r="J71" s="31" t="s">
        <v>33</v>
      </c>
      <c r="K71" s="31" t="s">
        <v>34</v>
      </c>
      <c r="L71" s="31" t="s">
        <v>35</v>
      </c>
      <c r="M71" s="31" t="s">
        <v>36</v>
      </c>
      <c r="N71" s="31" t="s">
        <v>37</v>
      </c>
      <c r="O71" s="23">
        <v>135</v>
      </c>
      <c r="P71" s="31" t="s">
        <v>38</v>
      </c>
      <c r="Q71" s="31" t="s">
        <v>39</v>
      </c>
      <c r="R71" s="31" t="s">
        <v>39</v>
      </c>
      <c r="S71" s="23">
        <v>0</v>
      </c>
      <c r="T71" s="23">
        <v>135</v>
      </c>
      <c r="U71" s="23">
        <v>143.4375</v>
      </c>
      <c r="V71" s="23">
        <v>17.9296875</v>
      </c>
      <c r="W71" s="23">
        <v>125.5078125</v>
      </c>
      <c r="X71" s="23" t="s">
        <v>40</v>
      </c>
      <c r="Y71" s="23"/>
      <c r="Z71" s="31" t="s">
        <v>41</v>
      </c>
      <c r="AA71" s="23" t="b">
        <v>1</v>
      </c>
      <c r="AB71" s="23" t="b">
        <v>1</v>
      </c>
      <c r="AC71" s="23" t="b">
        <v>1</v>
      </c>
    </row>
    <row r="72" spans="1:29" ht="26.2">
      <c r="A72" s="24" t="s">
        <v>272</v>
      </c>
      <c r="B72" s="24" t="s">
        <v>193</v>
      </c>
      <c r="C72" s="32" t="s">
        <v>273</v>
      </c>
      <c r="D72" s="32" t="s">
        <v>30</v>
      </c>
      <c r="E72" s="32" t="s">
        <v>195</v>
      </c>
      <c r="F72" s="24">
        <v>9</v>
      </c>
      <c r="G72" s="24">
        <v>1</v>
      </c>
      <c r="H72" s="24" t="s">
        <v>45</v>
      </c>
      <c r="I72" s="24">
        <v>9</v>
      </c>
      <c r="J72" s="32" t="s">
        <v>196</v>
      </c>
      <c r="K72" s="32" t="s">
        <v>34</v>
      </c>
      <c r="L72" s="32" t="s">
        <v>973</v>
      </c>
      <c r="M72" s="32" t="s">
        <v>197</v>
      </c>
      <c r="N72" s="32" t="s">
        <v>198</v>
      </c>
      <c r="O72" s="24">
        <v>135</v>
      </c>
      <c r="P72" s="32" t="s">
        <v>199</v>
      </c>
      <c r="Q72" s="32" t="s">
        <v>243</v>
      </c>
      <c r="R72" s="32" t="s">
        <v>274</v>
      </c>
      <c r="S72" s="24">
        <v>-8.4375</v>
      </c>
      <c r="T72" s="24">
        <v>143.4375</v>
      </c>
      <c r="U72" s="24">
        <v>152.40234375</v>
      </c>
      <c r="V72" s="24">
        <v>19.05029296875</v>
      </c>
      <c r="W72" s="24">
        <v>133.35205078125</v>
      </c>
      <c r="X72" s="24" t="s">
        <v>40</v>
      </c>
      <c r="Y72" s="24"/>
      <c r="Z72" s="32" t="s">
        <v>202</v>
      </c>
      <c r="AA72" s="24" t="b">
        <v>1</v>
      </c>
      <c r="AB72" s="24" t="b">
        <v>1</v>
      </c>
      <c r="AC72" s="24" t="b">
        <v>1</v>
      </c>
    </row>
    <row r="73" spans="1:29" ht="26.2">
      <c r="A73" s="23" t="s">
        <v>133</v>
      </c>
      <c r="B73" s="23" t="s">
        <v>28</v>
      </c>
      <c r="C73" s="31" t="s">
        <v>134</v>
      </c>
      <c r="D73" s="31" t="s">
        <v>30</v>
      </c>
      <c r="E73" s="31" t="s">
        <v>31</v>
      </c>
      <c r="F73" s="23">
        <v>9</v>
      </c>
      <c r="G73" s="23">
        <v>1</v>
      </c>
      <c r="H73" s="23" t="s">
        <v>45</v>
      </c>
      <c r="I73" s="23">
        <v>9</v>
      </c>
      <c r="J73" s="31" t="s">
        <v>46</v>
      </c>
      <c r="K73" s="31" t="s">
        <v>34</v>
      </c>
      <c r="L73" s="31" t="s">
        <v>35</v>
      </c>
      <c r="M73" s="31" t="s">
        <v>36</v>
      </c>
      <c r="N73" s="31" t="s">
        <v>37</v>
      </c>
      <c r="O73" s="23">
        <v>162</v>
      </c>
      <c r="P73" s="31" t="s">
        <v>38</v>
      </c>
      <c r="Q73" s="31" t="s">
        <v>39</v>
      </c>
      <c r="R73" s="31" t="s">
        <v>39</v>
      </c>
      <c r="S73" s="23">
        <v>0</v>
      </c>
      <c r="T73" s="23">
        <v>162</v>
      </c>
      <c r="U73" s="23">
        <v>172.125</v>
      </c>
      <c r="V73" s="23">
        <v>21.515625</v>
      </c>
      <c r="W73" s="23">
        <v>150.609375</v>
      </c>
      <c r="X73" s="23" t="s">
        <v>40</v>
      </c>
      <c r="Y73" s="23"/>
      <c r="Z73" s="31" t="s">
        <v>41</v>
      </c>
      <c r="AA73" s="23" t="b">
        <v>1</v>
      </c>
      <c r="AB73" s="23" t="b">
        <v>1</v>
      </c>
      <c r="AC73" s="23" t="b">
        <v>1</v>
      </c>
    </row>
    <row r="74" spans="1:29" ht="26.2">
      <c r="A74" s="24" t="s">
        <v>275</v>
      </c>
      <c r="B74" s="24" t="s">
        <v>193</v>
      </c>
      <c r="C74" s="32" t="s">
        <v>276</v>
      </c>
      <c r="D74" s="32" t="s">
        <v>30</v>
      </c>
      <c r="E74" s="32" t="s">
        <v>195</v>
      </c>
      <c r="F74" s="24">
        <v>9</v>
      </c>
      <c r="G74" s="24">
        <v>1</v>
      </c>
      <c r="H74" s="24" t="s">
        <v>32</v>
      </c>
      <c r="I74" s="24">
        <v>9</v>
      </c>
      <c r="J74" s="32" t="s">
        <v>196</v>
      </c>
      <c r="K74" s="32" t="s">
        <v>34</v>
      </c>
      <c r="L74" s="32" t="s">
        <v>973</v>
      </c>
      <c r="M74" s="32" t="s">
        <v>197</v>
      </c>
      <c r="N74" s="32" t="s">
        <v>198</v>
      </c>
      <c r="O74" s="24">
        <v>162</v>
      </c>
      <c r="P74" s="32" t="s">
        <v>205</v>
      </c>
      <c r="Q74" s="32" t="s">
        <v>243</v>
      </c>
      <c r="R74" s="32" t="s">
        <v>274</v>
      </c>
      <c r="S74" s="24">
        <v>10.125</v>
      </c>
      <c r="T74" s="24">
        <v>151.875</v>
      </c>
      <c r="U74" s="24">
        <v>161.3671875</v>
      </c>
      <c r="V74" s="24">
        <v>20.1708984375</v>
      </c>
      <c r="W74" s="24">
        <v>141.1962890625</v>
      </c>
      <c r="X74" s="24" t="s">
        <v>40</v>
      </c>
      <c r="Y74" s="24"/>
      <c r="Z74" s="32" t="s">
        <v>202</v>
      </c>
      <c r="AA74" s="24" t="b">
        <v>1</v>
      </c>
      <c r="AB74" s="24" t="b">
        <v>1</v>
      </c>
      <c r="AC74" s="24" t="b">
        <v>1</v>
      </c>
    </row>
    <row r="75" spans="1:29" ht="26.2">
      <c r="A75" s="25" t="s">
        <v>141</v>
      </c>
      <c r="B75" s="25" t="s">
        <v>28</v>
      </c>
      <c r="C75" s="33" t="s">
        <v>142</v>
      </c>
      <c r="D75" s="33" t="s">
        <v>49</v>
      </c>
      <c r="E75" s="33" t="s">
        <v>50</v>
      </c>
      <c r="F75" s="25">
        <v>12</v>
      </c>
      <c r="G75" s="25">
        <v>1</v>
      </c>
      <c r="H75" s="25" t="s">
        <v>51</v>
      </c>
      <c r="I75" s="25">
        <v>0</v>
      </c>
      <c r="J75" s="33" t="s">
        <v>51</v>
      </c>
      <c r="K75" s="33" t="s">
        <v>34</v>
      </c>
      <c r="L75" s="33" t="s">
        <v>35</v>
      </c>
      <c r="M75" s="33" t="s">
        <v>36</v>
      </c>
      <c r="N75" s="33" t="s">
        <v>52</v>
      </c>
      <c r="O75" s="25">
        <v>18</v>
      </c>
      <c r="P75" s="33" t="s">
        <v>38</v>
      </c>
      <c r="Q75" s="33" t="s">
        <v>39</v>
      </c>
      <c r="R75" s="33" t="s">
        <v>39</v>
      </c>
      <c r="S75" s="25">
        <v>0</v>
      </c>
      <c r="T75" s="25">
        <v>18</v>
      </c>
      <c r="U75" s="25">
        <v>18</v>
      </c>
      <c r="V75" s="25">
        <v>2.25</v>
      </c>
      <c r="W75" s="25">
        <v>15.75</v>
      </c>
      <c r="X75" s="25" t="s">
        <v>40</v>
      </c>
      <c r="Y75" s="25"/>
      <c r="Z75" s="33" t="s">
        <v>41</v>
      </c>
      <c r="AA75" s="25" t="b">
        <v>1</v>
      </c>
      <c r="AB75" s="25" t="b">
        <v>1</v>
      </c>
      <c r="AC75" s="25" t="b">
        <v>1</v>
      </c>
    </row>
    <row r="76" spans="1:29" ht="26.2">
      <c r="A76" s="25" t="s">
        <v>147</v>
      </c>
      <c r="B76" s="25" t="s">
        <v>28</v>
      </c>
      <c r="C76" s="33" t="s">
        <v>148</v>
      </c>
      <c r="D76" s="33" t="s">
        <v>49</v>
      </c>
      <c r="E76" s="33" t="s">
        <v>50</v>
      </c>
      <c r="F76" s="25">
        <v>1</v>
      </c>
      <c r="G76" s="25">
        <v>2</v>
      </c>
      <c r="H76" s="25" t="s">
        <v>51</v>
      </c>
      <c r="I76" s="25">
        <v>0</v>
      </c>
      <c r="J76" s="33" t="s">
        <v>51</v>
      </c>
      <c r="K76" s="33" t="s">
        <v>34</v>
      </c>
      <c r="L76" s="33" t="s">
        <v>35</v>
      </c>
      <c r="M76" s="33" t="s">
        <v>36</v>
      </c>
      <c r="N76" s="33" t="s">
        <v>52</v>
      </c>
      <c r="O76" s="25">
        <v>18</v>
      </c>
      <c r="P76" s="33" t="s">
        <v>38</v>
      </c>
      <c r="Q76" s="33" t="s">
        <v>39</v>
      </c>
      <c r="R76" s="33" t="s">
        <v>39</v>
      </c>
      <c r="S76" s="25">
        <v>0</v>
      </c>
      <c r="T76" s="25">
        <v>18</v>
      </c>
      <c r="U76" s="25">
        <v>18</v>
      </c>
      <c r="V76" s="25">
        <v>2.25</v>
      </c>
      <c r="W76" s="25">
        <v>15.75</v>
      </c>
      <c r="X76" s="25" t="s">
        <v>40</v>
      </c>
      <c r="Y76" s="25"/>
      <c r="Z76" s="33" t="s">
        <v>41</v>
      </c>
      <c r="AA76" s="25" t="b">
        <v>1</v>
      </c>
      <c r="AB76" s="25" t="b">
        <v>1</v>
      </c>
      <c r="AC76" s="25" t="b">
        <v>1</v>
      </c>
    </row>
    <row r="77" spans="1:29" ht="26.2">
      <c r="A77" s="25" t="s">
        <v>159</v>
      </c>
      <c r="B77" s="25" t="s">
        <v>28</v>
      </c>
      <c r="C77" s="33" t="s">
        <v>160</v>
      </c>
      <c r="D77" s="33" t="s">
        <v>49</v>
      </c>
      <c r="E77" s="33" t="s">
        <v>50</v>
      </c>
      <c r="F77" s="25">
        <v>3</v>
      </c>
      <c r="G77" s="25">
        <v>2</v>
      </c>
      <c r="H77" s="25" t="s">
        <v>51</v>
      </c>
      <c r="I77" s="25">
        <v>0</v>
      </c>
      <c r="J77" s="33" t="s">
        <v>51</v>
      </c>
      <c r="K77" s="33" t="s">
        <v>34</v>
      </c>
      <c r="L77" s="33" t="s">
        <v>35</v>
      </c>
      <c r="M77" s="33" t="s">
        <v>36</v>
      </c>
      <c r="N77" s="33" t="s">
        <v>52</v>
      </c>
      <c r="O77" s="25">
        <v>54</v>
      </c>
      <c r="P77" s="33" t="s">
        <v>38</v>
      </c>
      <c r="Q77" s="33" t="s">
        <v>39</v>
      </c>
      <c r="R77" s="33" t="s">
        <v>39</v>
      </c>
      <c r="S77" s="25">
        <v>0</v>
      </c>
      <c r="T77" s="25">
        <v>54</v>
      </c>
      <c r="U77" s="25">
        <v>54</v>
      </c>
      <c r="V77" s="25">
        <v>6.75</v>
      </c>
      <c r="W77" s="25">
        <v>47.25</v>
      </c>
      <c r="X77" s="25" t="s">
        <v>40</v>
      </c>
      <c r="Y77" s="25"/>
      <c r="Z77" s="33" t="s">
        <v>41</v>
      </c>
      <c r="AA77" s="25" t="b">
        <v>1</v>
      </c>
      <c r="AB77" s="25" t="b">
        <v>1</v>
      </c>
      <c r="AC77" s="25" t="b">
        <v>1</v>
      </c>
    </row>
    <row r="78" spans="1:29" ht="26.2">
      <c r="A78" s="26" t="s">
        <v>176</v>
      </c>
      <c r="B78" s="26" t="s">
        <v>28</v>
      </c>
      <c r="C78" s="34" t="s">
        <v>177</v>
      </c>
      <c r="D78" s="34" t="s">
        <v>30</v>
      </c>
      <c r="E78" s="34" t="s">
        <v>31</v>
      </c>
      <c r="F78" s="26">
        <v>8</v>
      </c>
      <c r="G78" s="26">
        <v>2</v>
      </c>
      <c r="H78" s="26" t="s">
        <v>45</v>
      </c>
      <c r="I78" s="26">
        <v>8</v>
      </c>
      <c r="J78" s="34" t="s">
        <v>46</v>
      </c>
      <c r="K78" s="34" t="s">
        <v>34</v>
      </c>
      <c r="L78" s="34" t="s">
        <v>35</v>
      </c>
      <c r="M78" s="34" t="s">
        <v>36</v>
      </c>
      <c r="N78" s="34" t="s">
        <v>1004</v>
      </c>
      <c r="O78" s="26">
        <v>1728</v>
      </c>
      <c r="P78" s="34" t="s">
        <v>38</v>
      </c>
      <c r="Q78" s="34" t="s">
        <v>39</v>
      </c>
      <c r="R78" s="34" t="s">
        <v>39</v>
      </c>
      <c r="S78" s="26">
        <v>0</v>
      </c>
      <c r="T78" s="26">
        <v>1728</v>
      </c>
      <c r="U78" s="26">
        <v>1824</v>
      </c>
      <c r="V78" s="26">
        <v>228</v>
      </c>
      <c r="W78" s="26">
        <v>1596</v>
      </c>
      <c r="X78" s="26" t="s">
        <v>40</v>
      </c>
      <c r="Y78" s="26"/>
      <c r="Z78" s="34" t="s">
        <v>1005</v>
      </c>
      <c r="AA78" s="26" t="b">
        <v>1</v>
      </c>
      <c r="AB78" s="26" t="b">
        <v>1</v>
      </c>
      <c r="AC78" s="26" t="b">
        <v>1</v>
      </c>
    </row>
    <row r="79" spans="1:29" ht="26.2">
      <c r="A79" s="23" t="s">
        <v>180</v>
      </c>
      <c r="B79" s="23" t="s">
        <v>28</v>
      </c>
      <c r="C79" s="31" t="s">
        <v>181</v>
      </c>
      <c r="D79" s="31" t="s">
        <v>30</v>
      </c>
      <c r="E79" s="31" t="s">
        <v>31</v>
      </c>
      <c r="F79" s="23">
        <v>9</v>
      </c>
      <c r="G79" s="23">
        <v>2</v>
      </c>
      <c r="H79" s="23" t="s">
        <v>32</v>
      </c>
      <c r="I79" s="23">
        <v>9</v>
      </c>
      <c r="J79" s="31" t="s">
        <v>33</v>
      </c>
      <c r="K79" s="31" t="s">
        <v>34</v>
      </c>
      <c r="L79" s="31" t="s">
        <v>35</v>
      </c>
      <c r="M79" s="31" t="s">
        <v>36</v>
      </c>
      <c r="N79" s="31" t="s">
        <v>1004</v>
      </c>
      <c r="O79" s="23">
        <v>1620</v>
      </c>
      <c r="P79" s="31" t="s">
        <v>38</v>
      </c>
      <c r="Q79" s="31" t="s">
        <v>39</v>
      </c>
      <c r="R79" s="31" t="s">
        <v>39</v>
      </c>
      <c r="S79" s="23">
        <v>0</v>
      </c>
      <c r="T79" s="23">
        <v>1620</v>
      </c>
      <c r="U79" s="23">
        <v>1721.25</v>
      </c>
      <c r="V79" s="23">
        <v>215.15625</v>
      </c>
      <c r="W79" s="23">
        <v>1506.09375</v>
      </c>
      <c r="X79" s="23" t="s">
        <v>40</v>
      </c>
      <c r="Y79" s="23"/>
      <c r="Z79" s="31" t="s">
        <v>1005</v>
      </c>
      <c r="AA79" s="23" t="b">
        <v>1</v>
      </c>
      <c r="AB79" s="23" t="b">
        <v>1</v>
      </c>
      <c r="AC79" s="27" t="b">
        <v>1</v>
      </c>
    </row>
    <row r="80" spans="1:29" ht="26.2">
      <c r="A80" s="23" t="s">
        <v>182</v>
      </c>
      <c r="B80" s="23" t="s">
        <v>28</v>
      </c>
      <c r="C80" s="31" t="s">
        <v>183</v>
      </c>
      <c r="D80" s="31" t="s">
        <v>30</v>
      </c>
      <c r="E80" s="31" t="s">
        <v>31</v>
      </c>
      <c r="F80" s="23">
        <v>9</v>
      </c>
      <c r="G80" s="23">
        <v>2</v>
      </c>
      <c r="H80" s="23" t="s">
        <v>45</v>
      </c>
      <c r="I80" s="23">
        <v>9</v>
      </c>
      <c r="J80" s="31" t="s">
        <v>46</v>
      </c>
      <c r="K80" s="31" t="s">
        <v>34</v>
      </c>
      <c r="L80" s="31" t="s">
        <v>35</v>
      </c>
      <c r="M80" s="31" t="s">
        <v>36</v>
      </c>
      <c r="N80" s="31" t="s">
        <v>1004</v>
      </c>
      <c r="O80" s="23">
        <v>1944</v>
      </c>
      <c r="P80" s="31" t="s">
        <v>38</v>
      </c>
      <c r="Q80" s="31" t="s">
        <v>39</v>
      </c>
      <c r="R80" s="31" t="s">
        <v>39</v>
      </c>
      <c r="S80" s="23">
        <v>0</v>
      </c>
      <c r="T80" s="23">
        <v>1944</v>
      </c>
      <c r="U80" s="23">
        <v>2065.5</v>
      </c>
      <c r="V80" s="23">
        <v>258.1875</v>
      </c>
      <c r="W80" s="23">
        <v>1807.3125</v>
      </c>
      <c r="X80" s="23" t="s">
        <v>40</v>
      </c>
      <c r="Y80" s="23"/>
      <c r="Z80" s="31" t="s">
        <v>1005</v>
      </c>
      <c r="AA80" s="23" t="b">
        <v>1</v>
      </c>
      <c r="AB80" s="23" t="b">
        <v>1</v>
      </c>
      <c r="AC80" s="27" t="b">
        <v>1</v>
      </c>
    </row>
    <row r="81" spans="1:29" ht="26.2">
      <c r="A81" s="23" t="s">
        <v>186</v>
      </c>
      <c r="B81" s="23" t="s">
        <v>28</v>
      </c>
      <c r="C81" s="31" t="s">
        <v>187</v>
      </c>
      <c r="D81" s="31" t="s">
        <v>30</v>
      </c>
      <c r="E81" s="31" t="s">
        <v>31</v>
      </c>
      <c r="F81" s="23">
        <v>12</v>
      </c>
      <c r="G81" s="23">
        <v>2</v>
      </c>
      <c r="H81" s="23" t="s">
        <v>32</v>
      </c>
      <c r="I81" s="23">
        <v>12</v>
      </c>
      <c r="J81" s="31" t="s">
        <v>33</v>
      </c>
      <c r="K81" s="31" t="s">
        <v>34</v>
      </c>
      <c r="L81" s="31" t="s">
        <v>35</v>
      </c>
      <c r="M81" s="31" t="s">
        <v>36</v>
      </c>
      <c r="N81" s="31" t="s">
        <v>1004</v>
      </c>
      <c r="O81" s="23">
        <v>2160</v>
      </c>
      <c r="P81" s="31" t="s">
        <v>38</v>
      </c>
      <c r="Q81" s="31" t="s">
        <v>39</v>
      </c>
      <c r="R81" s="31" t="s">
        <v>39</v>
      </c>
      <c r="S81" s="23">
        <v>0</v>
      </c>
      <c r="T81" s="23">
        <v>2160</v>
      </c>
      <c r="U81" s="23">
        <v>2339.99999999999</v>
      </c>
      <c r="V81" s="23">
        <v>292.49999999999898</v>
      </c>
      <c r="W81" s="23">
        <v>2047.49999999999</v>
      </c>
      <c r="X81" s="23" t="s">
        <v>40</v>
      </c>
      <c r="Y81" s="23"/>
      <c r="Z81" s="31" t="s">
        <v>1005</v>
      </c>
      <c r="AA81" s="23" t="b">
        <v>1</v>
      </c>
      <c r="AB81" s="23" t="b">
        <v>1</v>
      </c>
      <c r="AC81" s="27" t="b">
        <v>1</v>
      </c>
    </row>
    <row r="82" spans="1:29" ht="26.2">
      <c r="A82" s="11" t="s">
        <v>188</v>
      </c>
      <c r="B82" s="11" t="s">
        <v>28</v>
      </c>
      <c r="C82" s="35" t="s">
        <v>189</v>
      </c>
      <c r="D82" s="35" t="s">
        <v>30</v>
      </c>
      <c r="E82" s="35" t="s">
        <v>31</v>
      </c>
      <c r="F82" s="11">
        <v>12</v>
      </c>
      <c r="G82" s="11">
        <v>2</v>
      </c>
      <c r="H82" s="11" t="s">
        <v>45</v>
      </c>
      <c r="I82" s="11">
        <v>12</v>
      </c>
      <c r="J82" s="35" t="s">
        <v>46</v>
      </c>
      <c r="K82" s="35" t="s">
        <v>34</v>
      </c>
      <c r="L82" s="35" t="s">
        <v>35</v>
      </c>
      <c r="M82" s="35" t="s">
        <v>36</v>
      </c>
      <c r="N82" s="35" t="s">
        <v>1004</v>
      </c>
      <c r="O82" s="11">
        <v>2592</v>
      </c>
      <c r="P82" s="35" t="s">
        <v>38</v>
      </c>
      <c r="Q82" s="35" t="s">
        <v>39</v>
      </c>
      <c r="R82" s="35" t="s">
        <v>39</v>
      </c>
      <c r="S82" s="11">
        <v>0</v>
      </c>
      <c r="T82" s="11">
        <v>2592</v>
      </c>
      <c r="U82" s="11">
        <v>2807.99999999999</v>
      </c>
      <c r="V82" s="11">
        <v>350.99999999999898</v>
      </c>
      <c r="W82" s="11">
        <v>2456.99999999999</v>
      </c>
      <c r="X82" s="11" t="s">
        <v>40</v>
      </c>
      <c r="Y82" s="11"/>
      <c r="Z82" s="35" t="s">
        <v>1005</v>
      </c>
      <c r="AA82" s="11" t="b">
        <v>1</v>
      </c>
      <c r="AB82" s="11" t="b">
        <v>1</v>
      </c>
      <c r="AC82" s="12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Particle Stability Blocks</vt:lpstr>
      <vt:lpstr>M_native 12600 - 81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Brady</dc:creator>
  <cp:lastModifiedBy>Sean Brady</cp:lastModifiedBy>
  <cp:lastPrinted>2026-07-11T21:03:10Z</cp:lastPrinted>
  <dcterms:created xsi:type="dcterms:W3CDTF">2026-07-12T00:45:26Z</dcterms:created>
  <dcterms:modified xsi:type="dcterms:W3CDTF">2026-07-14T08:00:47Z</dcterms:modified>
</cp:coreProperties>
</file>