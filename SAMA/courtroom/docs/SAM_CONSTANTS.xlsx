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S\The_Courtroom\docs\"/>
    </mc:Choice>
  </mc:AlternateContent>
  <xr:revisionPtr revIDLastSave="0" documentId="8_{C41CB5AB-D19B-48B5-B853-E9F6A7FEFEAC}" xr6:coauthVersionLast="47" xr6:coauthVersionMax="47" xr10:uidLastSave="{00000000-0000-0000-0000-000000000000}"/>
  <bookViews>
    <workbookView xWindow="-93" yWindow="-93" windowWidth="21131" windowHeight="11248" activeTab="8" xr2:uid="{00000000-000D-0000-FFFF-FFFF00000000}"/>
  </bookViews>
  <sheets>
    <sheet name="Constants" sheetId="1" r:id="rId1"/>
    <sheet name="A_Kernel" sheetId="2" r:id="rId2"/>
    <sheet name="GPS_Clocks" sheetId="3" r:id="rId3"/>
    <sheet name="Distances_Parameter_Free" sheetId="4" r:id="rId4"/>
    <sheet name="BAO_Distances" sheetId="5" r:id="rId5"/>
    <sheet name="CMB" sheetId="6" r:id="rId6"/>
    <sheet name="CMB_Shape_Closure" sheetId="7" r:id="rId7"/>
    <sheet name="Baryon_Inventory" sheetId="8" r:id="rId8"/>
    <sheet name="Galaxy_Halos" sheetId="9" r:id="rId9"/>
    <sheet name="Galaxy_Mass" sheetId="10" r:id="rId10"/>
    <sheet name="Particle_Closure" sheetId="11" r:id="rId11"/>
    <sheet name="Element_Data" sheetId="12" r:id="rId12"/>
    <sheet name="Big_Bang_Thermal_Ladder" sheetId="13" r:id="rId13"/>
    <sheet name="Fate" sheetId="14" r:id="rId14"/>
    <sheet name="Homes" sheetId="15" r:id="rId15"/>
    <sheet name="Pantheon_SN_Compare" sheetId="16" r:id="rId16"/>
  </sheets>
  <definedNames>
    <definedName name="A_0">Constants!$C$39</definedName>
    <definedName name="A_neg">Constants!$C$34</definedName>
    <definedName name="A_pos">Constants!$C$35</definedName>
    <definedName name="A_s_SAM">Constants!$C$72</definedName>
    <definedName name="A_share">Constants!$C$40</definedName>
    <definedName name="A_side">Constants!$C$41</definedName>
    <definedName name="bigrade_sum">Constants!$C$30</definedName>
    <definedName name="c_light">Constants!$C$50</definedName>
    <definedName name="c_minus">Constants!$C$33</definedName>
    <definedName name="c_plus">Constants!$C$32</definedName>
    <definedName name="chi">Constants!$C$42</definedName>
    <definedName name="d_hat">Constants!$C$7</definedName>
    <definedName name="d_sq">Constants!$C$19</definedName>
    <definedName name="dm31_sq">Constants!$C$85</definedName>
    <definedName name="dQ_coef">Constants!$C$79</definedName>
    <definedName name="eta_SAM">Constants!$C$61</definedName>
    <definedName name="F_face">Constants!$C$13</definedName>
    <definedName name="four_kappa">Constants!$C$78</definedName>
    <definedName name="g_const">Constants!$C$77</definedName>
    <definedName name="G_newton">Constants!$C$54</definedName>
    <definedName name="H_0_SAM">Constants!$C$70</definedName>
    <definedName name="H_100_si">Constants!$C$63</definedName>
    <definedName name="h_hat">Constants!$C$6</definedName>
    <definedName name="h_planck">Constants!$C$51</definedName>
    <definedName name="h_SAM">Constants!$C$69</definedName>
    <definedName name="h_SAM_sq">Constants!$C$68</definedName>
    <definedName name="hbar">Constants!$C$52</definedName>
    <definedName name="k_B">Constants!$C$53</definedName>
    <definedName name="K_eta_omegab">Constants!$C$66</definedName>
    <definedName name="k_pivot">Constants!$C$59</definedName>
    <definedName name="kappa_floor">Constants!$C$76</definedName>
    <definedName name="L_12">Constants!$C$37</definedName>
    <definedName name="L_6">Constants!$C$36</definedName>
    <definedName name="L_ledger">Constants!$C$17</definedName>
    <definedName name="M_mass">Constants!$C$18</definedName>
    <definedName name="m_nu_1">Constants!$C$86</definedName>
    <definedName name="m_nu_2">Constants!$C$87</definedName>
    <definedName name="m_nu_3">Constants!$C$88</definedName>
    <definedName name="m_nu_baseline">Constants!$C$81</definedName>
    <definedName name="m_nu_sum_SAM">Constants!$C$89</definedName>
    <definedName name="m_p">Constants!$C$56</definedName>
    <definedName name="Mpc_m">Constants!$C$55</definedName>
    <definedName name="N_eff">Constants!$C$58</definedName>
    <definedName name="n_gamma">Constants!$C$65</definedName>
    <definedName name="n_s_SAM">Constants!$C$73</definedName>
    <definedName name="nu_ratio">Constants!$C$84</definedName>
    <definedName name="Omega_b">Constants!$C$44</definedName>
    <definedName name="omega_b_SAM">Constants!$C$67</definedName>
    <definedName name="Omega_c">Constants!$C$45</definedName>
    <definedName name="omega_c_SAM">Constants!$C$71</definedName>
    <definedName name="Omega_L">Constants!$C$46</definedName>
    <definedName name="Omega_m">Constants!$C$43</definedName>
    <definedName name="pi_val">Constants!$C$8</definedName>
    <definedName name="R_radix">Constants!$C$14</definedName>
    <definedName name="R_sq">Constants!$C$15</definedName>
    <definedName name="retained_share">Constants!$C$28</definedName>
    <definedName name="rho_crit_h1">Constants!$C$64</definedName>
    <definedName name="S_split">Constants!$C$11</definedName>
    <definedName name="six_id">Constants!$C$21</definedName>
    <definedName name="T_CMB">Constants!$C$49</definedName>
    <definedName name="tau_SAM">Constants!$C$74</definedName>
    <definedName name="tensor_share">Constants!$C$29</definedName>
    <definedName name="Theta_bridge">Constants!$C$16</definedName>
    <definedName name="V_cell">Constants!$C$12</definedName>
    <definedName name="X_inf">Constants!$C$47</definedName>
    <definedName name="z_eq_factor">Constants!$C$82</definedName>
    <definedName name="zeta_3">Constants!$C$57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6" l="1" a="1"/>
  <c r="G6" i="16"/>
  <c r="F7" i="16" a="1"/>
  <c r="F8" i="16" a="1"/>
  <c r="F9" i="16" a="1"/>
  <c r="F10" i="16" a="1"/>
  <c r="F11" i="16" a="1"/>
  <c r="G11" i="16"/>
  <c r="F12" i="16" a="1"/>
  <c r="G12" i="16"/>
  <c r="F13" i="16" a="1"/>
  <c r="F14" i="16" a="1"/>
  <c r="F15" i="16" a="1"/>
  <c r="F16" i="16" a="1"/>
  <c r="F17" i="16" a="1"/>
  <c r="F18" i="16" a="1"/>
  <c r="F19" i="16" a="1"/>
  <c r="F20" i="16" a="1"/>
  <c r="F21" i="16" a="1"/>
  <c r="F22" i="16" a="1"/>
  <c r="F23" i="16" a="1"/>
  <c r="F24" i="16" a="1"/>
  <c r="F25" i="16" a="1"/>
  <c r="F26" i="16" a="1"/>
  <c r="F27" i="16" a="1"/>
  <c r="F28" i="16" a="1"/>
  <c r="F29" i="16" a="1"/>
  <c r="F30" i="16" a="1"/>
  <c r="F31" i="16" a="1"/>
  <c r="F32" i="16" a="1"/>
  <c r="F33" i="16" a="1"/>
  <c r="F34" i="16" a="1"/>
  <c r="F35" i="16" a="1"/>
  <c r="F36" i="16" a="1"/>
  <c r="F37" i="16" a="1"/>
  <c r="F38" i="16" a="1"/>
  <c r="F39" i="16" a="1"/>
  <c r="F40" i="16" a="1"/>
  <c r="F41" i="16" a="1"/>
  <c r="F42" i="16" a="1"/>
  <c r="F43" i="16" a="1"/>
  <c r="F44" i="16" a="1"/>
  <c r="F45" i="16" a="1"/>
  <c r="F46" i="16" a="1"/>
  <c r="F47" i="16" a="1"/>
  <c r="F48" i="16" a="1"/>
  <c r="F49" i="16" a="1"/>
  <c r="F50" i="16" a="1"/>
  <c r="F51" i="16" a="1"/>
  <c r="F52" i="16" a="1"/>
  <c r="F53" i="16" a="1"/>
  <c r="F54" i="16" a="1"/>
  <c r="F55" i="16" a="1"/>
  <c r="F56" i="16" a="1"/>
  <c r="F57" i="16" a="1"/>
  <c r="F58" i="16" a="1"/>
  <c r="F59" i="16" a="1"/>
  <c r="F60" i="16" a="1"/>
  <c r="F61" i="16" a="1"/>
  <c r="F62" i="16" a="1"/>
  <c r="F63" i="16" a="1"/>
  <c r="F64" i="16" a="1"/>
  <c r="F65" i="16" a="1"/>
  <c r="F66" i="16" a="1"/>
  <c r="F67" i="16" a="1"/>
  <c r="F68" i="16" a="1"/>
  <c r="F69" i="16" a="1"/>
  <c r="F70" i="16" a="1"/>
  <c r="F71" i="16" a="1"/>
  <c r="F72" i="16" a="1"/>
  <c r="F73" i="16" a="1"/>
  <c r="F74" i="16" a="1"/>
  <c r="F75" i="16" a="1"/>
  <c r="F76" i="16" a="1"/>
  <c r="F77" i="16" a="1"/>
  <c r="F78" i="16" a="1"/>
  <c r="F79" i="16" a="1"/>
  <c r="F80" i="16" a="1"/>
  <c r="F81" i="16" a="1"/>
  <c r="F82" i="16" a="1"/>
  <c r="F83" i="16" a="1"/>
  <c r="F84" i="16" a="1"/>
  <c r="F85" i="16" a="1"/>
  <c r="F86" i="16" a="1"/>
  <c r="F87" i="16" a="1"/>
  <c r="F88" i="16" a="1"/>
  <c r="F89" i="16" a="1"/>
  <c r="F90" i="16" a="1"/>
  <c r="F91" i="16" a="1"/>
  <c r="F92" i="16" a="1"/>
  <c r="F93" i="16" a="1"/>
  <c r="F94" i="16" a="1"/>
  <c r="F95" i="16" a="1"/>
  <c r="F96" i="16" a="1"/>
  <c r="F97" i="16" a="1"/>
  <c r="F98" i="16" a="1"/>
  <c r="F99" i="16" a="1"/>
  <c r="F100" i="16" a="1"/>
  <c r="F101" i="16" a="1"/>
  <c r="F102" i="16" a="1"/>
  <c r="F103" i="16" a="1"/>
  <c r="F104" i="16" a="1"/>
  <c r="F105" i="16" a="1"/>
  <c r="F106" i="16" a="1"/>
  <c r="F107" i="16" a="1"/>
  <c r="F108" i="16" a="1"/>
  <c r="F109" i="16" a="1"/>
  <c r="F110" i="16" a="1"/>
  <c r="F111" i="16" a="1"/>
  <c r="F112" i="16" a="1"/>
  <c r="F113" i="16" a="1"/>
  <c r="F114" i="16" a="1"/>
  <c r="F115" i="16" a="1"/>
  <c r="F116" i="16" a="1"/>
  <c r="F117" i="16" a="1"/>
  <c r="F118" i="16" a="1"/>
  <c r="F119" i="16" a="1"/>
  <c r="F120" i="16" a="1"/>
  <c r="F121" i="16" a="1"/>
  <c r="F122" i="16" a="1"/>
  <c r="F123" i="16" a="1"/>
  <c r="F124" i="16" a="1"/>
  <c r="F125" i="16" a="1"/>
  <c r="F126" i="16" a="1"/>
  <c r="F127" i="16" a="1"/>
  <c r="F128" i="16" a="1"/>
  <c r="F129" i="16" a="1"/>
  <c r="F130" i="16" a="1"/>
  <c r="F131" i="16" a="1"/>
  <c r="F132" i="16" a="1"/>
  <c r="F133" i="16" a="1"/>
  <c r="F134" i="16" a="1"/>
  <c r="F135" i="16" a="1"/>
  <c r="F136" i="16" a="1"/>
  <c r="F137" i="16" a="1"/>
  <c r="F138" i="16" a="1"/>
  <c r="F139" i="16" a="1"/>
  <c r="F140" i="16" a="1"/>
  <c r="F141" i="16" a="1"/>
  <c r="F142" i="16" a="1"/>
  <c r="F143" i="16" a="1"/>
  <c r="F144" i="16" a="1"/>
  <c r="F145" i="16" a="1"/>
  <c r="F146" i="16" a="1"/>
  <c r="F147" i="16" a="1"/>
  <c r="F148" i="16" a="1"/>
  <c r="F149" i="16" a="1"/>
  <c r="F150" i="16" a="1"/>
  <c r="G150" i="16"/>
  <c r="F151" i="16" a="1"/>
  <c r="G151" i="16"/>
  <c r="F152" i="16" a="1"/>
  <c r="G152" i="16"/>
  <c r="F153" i="16" a="1"/>
  <c r="G153" i="16"/>
  <c r="F154" i="16" a="1"/>
  <c r="G154" i="16"/>
  <c r="F155" i="16" a="1"/>
  <c r="G155" i="16"/>
  <c r="F156" i="16" a="1"/>
  <c r="G156" i="16"/>
  <c r="F157" i="16" a="1"/>
  <c r="G157" i="16"/>
  <c r="F158" i="16" a="1"/>
  <c r="G158" i="16"/>
  <c r="F159" i="16" a="1"/>
  <c r="G159" i="16"/>
  <c r="F160" i="16" a="1"/>
  <c r="G160" i="16"/>
  <c r="F161" i="16" a="1"/>
  <c r="G161" i="16"/>
  <c r="F162" i="16" a="1"/>
  <c r="G162" i="16"/>
  <c r="F163" i="16" a="1"/>
  <c r="G163" i="16"/>
  <c r="F164" i="16" a="1"/>
  <c r="G164" i="16"/>
  <c r="F165" i="16" a="1"/>
  <c r="G165" i="16"/>
  <c r="F166" i="16" a="1"/>
  <c r="G166" i="16"/>
  <c r="F167" i="16" a="1"/>
  <c r="G167" i="16"/>
  <c r="F168" i="16" a="1"/>
  <c r="G168" i="16"/>
  <c r="F169" i="16" a="1"/>
  <c r="G169" i="16"/>
  <c r="F170" i="16" a="1"/>
  <c r="G170" i="16"/>
  <c r="F171" i="16" a="1"/>
  <c r="G171" i="16"/>
  <c r="F172" i="16" a="1"/>
  <c r="G172" i="16"/>
  <c r="F173" i="16" a="1"/>
  <c r="G173" i="16"/>
  <c r="F174" i="16" a="1"/>
  <c r="G174" i="16"/>
  <c r="F175" i="16" a="1"/>
  <c r="G175" i="16"/>
  <c r="F176" i="16" a="1"/>
  <c r="G176" i="16"/>
  <c r="F177" i="16" a="1"/>
  <c r="G177" i="16"/>
  <c r="F178" i="16" a="1"/>
  <c r="G178" i="16"/>
  <c r="F179" i="16" a="1"/>
  <c r="G179" i="16"/>
  <c r="F180" i="16" a="1"/>
  <c r="F181" i="16" a="1"/>
  <c r="F182" i="16" a="1"/>
  <c r="F183" i="16" a="1"/>
  <c r="F184" i="16" a="1"/>
  <c r="F185" i="16" a="1"/>
  <c r="F186" i="16" a="1"/>
  <c r="F187" i="16" a="1"/>
  <c r="F188" i="16" a="1"/>
  <c r="F189" i="16" a="1"/>
  <c r="F190" i="16" a="1"/>
  <c r="F191" i="16" a="1"/>
  <c r="F192" i="16" a="1"/>
  <c r="F193" i="16" a="1"/>
  <c r="F194" i="16" a="1"/>
  <c r="F195" i="16" a="1"/>
  <c r="F196" i="16" a="1"/>
  <c r="F197" i="16" a="1"/>
  <c r="F198" i="16" a="1"/>
  <c r="F199" i="16" a="1"/>
  <c r="F200" i="16" a="1"/>
  <c r="F201" i="16" a="1"/>
  <c r="F202" i="16" a="1"/>
  <c r="F203" i="16" a="1"/>
  <c r="F204" i="16" a="1"/>
  <c r="F205" i="16" a="1"/>
  <c r="F206" i="16" a="1"/>
  <c r="F207" i="16" a="1"/>
  <c r="F208" i="16" a="1"/>
  <c r="F209" i="16" a="1"/>
  <c r="F210" i="16" a="1"/>
  <c r="F211" i="16" a="1"/>
  <c r="F212" i="16" a="1"/>
  <c r="F213" i="16" a="1"/>
  <c r="F214" i="16" a="1"/>
  <c r="F215" i="16" a="1"/>
  <c r="F216" i="16" a="1"/>
  <c r="F217" i="16" a="1"/>
  <c r="F218" i="16" a="1"/>
  <c r="F219" i="16" a="1"/>
  <c r="F220" i="16" a="1"/>
  <c r="F221" i="16" a="1"/>
  <c r="F222" i="16" a="1"/>
  <c r="F223" i="16" a="1"/>
  <c r="F224" i="16" a="1"/>
  <c r="F225" i="16" a="1"/>
  <c r="F226" i="16" a="1"/>
  <c r="F227" i="16" a="1"/>
  <c r="F228" i="16" a="1"/>
  <c r="F229" i="16" a="1"/>
  <c r="F230" i="16" a="1"/>
  <c r="F231" i="16" a="1"/>
  <c r="F232" i="16" a="1"/>
  <c r="F233" i="16" a="1"/>
  <c r="F234" i="16" a="1"/>
  <c r="F235" i="16" a="1"/>
  <c r="F236" i="16" a="1"/>
  <c r="F237" i="16" a="1"/>
  <c r="F238" i="16" a="1"/>
  <c r="F239" i="16" a="1"/>
  <c r="F240" i="16" a="1"/>
  <c r="F241" i="16" a="1"/>
  <c r="F242" i="16" a="1"/>
  <c r="F243" i="16" a="1"/>
  <c r="F244" i="16" a="1"/>
  <c r="F245" i="16" a="1"/>
  <c r="F246" i="16" a="1"/>
  <c r="F247" i="16" a="1"/>
  <c r="F248" i="16" a="1"/>
  <c r="F249" i="16" a="1"/>
  <c r="F250" i="16" a="1"/>
  <c r="F251" i="16" a="1"/>
  <c r="F252" i="16" a="1"/>
  <c r="F253" i="16" a="1"/>
  <c r="F254" i="16" a="1"/>
  <c r="F255" i="16" a="1"/>
  <c r="F256" i="16" a="1"/>
  <c r="F257" i="16" a="1"/>
  <c r="F258" i="16" a="1"/>
  <c r="F259" i="16" a="1"/>
  <c r="F260" i="16" a="1"/>
  <c r="F261" i="16" a="1"/>
  <c r="F262" i="16" a="1"/>
  <c r="F263" i="16" a="1"/>
  <c r="F264" i="16" a="1"/>
  <c r="F265" i="16" a="1"/>
  <c r="F266" i="16" a="1"/>
  <c r="F267" i="16" a="1"/>
  <c r="F268" i="16" a="1"/>
  <c r="F269" i="16" a="1"/>
  <c r="F270" i="16" a="1"/>
  <c r="F271" i="16" a="1"/>
  <c r="F272" i="16" a="1"/>
  <c r="F273" i="16" a="1"/>
  <c r="F274" i="16" a="1"/>
  <c r="F275" i="16" a="1"/>
  <c r="F276" i="16" a="1"/>
  <c r="F277" i="16" a="1"/>
  <c r="F278" i="16" a="1"/>
  <c r="F279" i="16" a="1"/>
  <c r="F280" i="16" a="1"/>
  <c r="F281" i="16" a="1"/>
  <c r="F282" i="16" a="1"/>
  <c r="F283" i="16" a="1"/>
  <c r="F284" i="16" a="1"/>
  <c r="F285" i="16" a="1"/>
  <c r="F286" i="16" a="1"/>
  <c r="F287" i="16" a="1"/>
  <c r="F288" i="16" a="1"/>
  <c r="F289" i="16" a="1"/>
  <c r="F290" i="16" a="1"/>
  <c r="F291" i="16" a="1"/>
  <c r="F292" i="16" a="1"/>
  <c r="F293" i="16" a="1"/>
  <c r="F294" i="16" a="1"/>
  <c r="G294" i="16"/>
  <c r="F295" i="16" a="1"/>
  <c r="G295" i="16"/>
  <c r="F296" i="16" a="1"/>
  <c r="G296" i="16"/>
  <c r="F297" i="16" a="1"/>
  <c r="G297" i="16"/>
  <c r="F298" i="16" a="1"/>
  <c r="G298" i="16"/>
  <c r="F299" i="16" a="1"/>
  <c r="G299" i="16"/>
  <c r="F300" i="16" a="1"/>
  <c r="G300" i="16"/>
  <c r="F301" i="16" a="1"/>
  <c r="G301" i="16"/>
  <c r="F302" i="16" a="1"/>
  <c r="G302" i="16"/>
  <c r="F303" i="16" a="1"/>
  <c r="G303" i="16"/>
  <c r="F304" i="16" a="1"/>
  <c r="G304" i="16"/>
  <c r="F305" i="16" a="1"/>
  <c r="G305" i="16"/>
  <c r="F306" i="16" a="1"/>
  <c r="G306" i="16"/>
  <c r="F307" i="16" a="1"/>
  <c r="G307" i="16"/>
  <c r="F308" i="16" a="1"/>
  <c r="G308" i="16"/>
  <c r="F309" i="16" a="1"/>
  <c r="G309" i="16"/>
  <c r="F310" i="16" a="1"/>
  <c r="G310" i="16"/>
  <c r="F311" i="16" a="1"/>
  <c r="G311" i="16"/>
  <c r="F312" i="16" a="1"/>
  <c r="G312" i="16"/>
  <c r="F313" i="16" a="1"/>
  <c r="G313" i="16"/>
  <c r="F314" i="16" a="1"/>
  <c r="G314" i="16"/>
  <c r="F315" i="16" a="1"/>
  <c r="G315" i="16"/>
  <c r="F316" i="16" a="1"/>
  <c r="G316" i="16"/>
  <c r="F317" i="16" a="1"/>
  <c r="G317" i="16"/>
  <c r="F318" i="16" a="1"/>
  <c r="G318" i="16"/>
  <c r="F319" i="16" a="1"/>
  <c r="G319" i="16"/>
  <c r="F320" i="16" a="1"/>
  <c r="G320" i="16"/>
  <c r="F321" i="16" a="1"/>
  <c r="G321" i="16"/>
  <c r="F322" i="16" a="1"/>
  <c r="G322" i="16"/>
  <c r="F323" i="16" a="1"/>
  <c r="G323" i="16"/>
  <c r="F324" i="16" a="1"/>
  <c r="G324" i="16"/>
  <c r="F325" i="16" a="1"/>
  <c r="G325" i="16"/>
  <c r="F326" i="16" a="1"/>
  <c r="G326" i="16"/>
  <c r="F327" i="16" a="1"/>
  <c r="G327" i="16"/>
  <c r="F328" i="16" a="1"/>
  <c r="G328" i="16"/>
  <c r="F329" i="16" a="1"/>
  <c r="G329" i="16"/>
  <c r="F330" i="16" a="1"/>
  <c r="G330" i="16"/>
  <c r="F331" i="16" a="1"/>
  <c r="G331" i="16"/>
  <c r="F332" i="16" a="1"/>
  <c r="G332" i="16"/>
  <c r="F333" i="16" a="1"/>
  <c r="G333" i="16"/>
  <c r="F334" i="16" a="1"/>
  <c r="G334" i="16"/>
  <c r="F335" i="16" a="1"/>
  <c r="G335" i="16"/>
  <c r="F336" i="16" a="1"/>
  <c r="G336" i="16"/>
  <c r="F337" i="16" a="1"/>
  <c r="G337" i="16"/>
  <c r="F338" i="16" a="1"/>
  <c r="G338" i="16"/>
  <c r="F339" i="16" a="1"/>
  <c r="G339" i="16"/>
  <c r="F340" i="16" a="1"/>
  <c r="G340" i="16"/>
  <c r="F341" i="16" a="1"/>
  <c r="G341" i="16"/>
  <c r="F342" i="16" a="1"/>
  <c r="G342" i="16"/>
  <c r="F343" i="16" a="1"/>
  <c r="G343" i="16"/>
  <c r="F344" i="16" a="1"/>
  <c r="F345" i="16" a="1"/>
  <c r="F346" i="16" a="1"/>
  <c r="F347" i="16" a="1"/>
  <c r="F348" i="16" a="1"/>
  <c r="F349" i="16" a="1"/>
  <c r="F350" i="16" a="1"/>
  <c r="F351" i="16" a="1"/>
  <c r="F352" i="16" a="1"/>
  <c r="F353" i="16" a="1"/>
  <c r="F354" i="16" a="1"/>
  <c r="F355" i="16" a="1"/>
  <c r="F356" i="16" a="1"/>
  <c r="F357" i="16" a="1"/>
  <c r="F358" i="16" a="1"/>
  <c r="F359" i="16" a="1"/>
  <c r="F360" i="16" a="1"/>
  <c r="F361" i="16" a="1"/>
  <c r="F362" i="16" a="1"/>
  <c r="F363" i="16" a="1"/>
  <c r="F364" i="16" a="1"/>
  <c r="F365" i="16" a="1"/>
  <c r="F366" i="16" a="1"/>
  <c r="F367" i="16" a="1"/>
  <c r="F368" i="16" a="1"/>
  <c r="F369" i="16" a="1"/>
  <c r="F370" i="16" a="1"/>
  <c r="F371" i="16" a="1"/>
  <c r="F372" i="16" a="1"/>
  <c r="F373" i="16" a="1"/>
  <c r="F374" i="16" a="1"/>
  <c r="F375" i="16" a="1"/>
  <c r="F376" i="16" a="1"/>
  <c r="F377" i="16" a="1"/>
  <c r="F378" i="16" a="1"/>
  <c r="F379" i="16" a="1"/>
  <c r="F380" i="16" a="1"/>
  <c r="F381" i="16" a="1"/>
  <c r="F382" i="16" a="1"/>
  <c r="F383" i="16" a="1"/>
  <c r="F384" i="16" a="1"/>
  <c r="F385" i="16" a="1"/>
  <c r="F386" i="16" a="1"/>
  <c r="F387" i="16" a="1"/>
  <c r="F388" i="16" a="1"/>
  <c r="F389" i="16" a="1"/>
  <c r="F390" i="16" a="1"/>
  <c r="F391" i="16" a="1"/>
  <c r="F392" i="16" a="1"/>
  <c r="F393" i="16" a="1"/>
  <c r="F394" i="16" a="1"/>
  <c r="F395" i="16" a="1"/>
  <c r="F396" i="16" a="1"/>
  <c r="F397" i="16" a="1"/>
  <c r="F398" i="16" a="1"/>
  <c r="F399" i="16" a="1"/>
  <c r="F400" i="16" a="1"/>
  <c r="F401" i="16" a="1"/>
  <c r="F402" i="16" a="1"/>
  <c r="F403" i="16" a="1"/>
  <c r="F404" i="16" a="1"/>
  <c r="F405" i="16" a="1"/>
  <c r="F406" i="16" a="1"/>
  <c r="F407" i="16" a="1"/>
  <c r="F408" i="16" a="1"/>
  <c r="F409" i="16" a="1"/>
  <c r="F410" i="16" a="1"/>
  <c r="F411" i="16" a="1"/>
  <c r="F412" i="16" a="1"/>
  <c r="F413" i="16" a="1"/>
  <c r="F414" i="16" a="1"/>
  <c r="F415" i="16" a="1"/>
  <c r="F416" i="16" a="1"/>
  <c r="F417" i="16" a="1"/>
  <c r="F418" i="16" a="1"/>
  <c r="F419" i="16" a="1"/>
  <c r="F420" i="16" a="1"/>
  <c r="F421" i="16" a="1"/>
  <c r="F422" i="16" a="1"/>
  <c r="F423" i="16" a="1"/>
  <c r="F424" i="16" a="1"/>
  <c r="F425" i="16" a="1"/>
  <c r="F426" i="16" a="1"/>
  <c r="F427" i="16" a="1"/>
  <c r="F428" i="16" a="1"/>
  <c r="F429" i="16" a="1"/>
  <c r="F430" i="16" a="1"/>
  <c r="F431" i="16" a="1"/>
  <c r="F432" i="16" a="1"/>
  <c r="F433" i="16" a="1"/>
  <c r="F434" i="16" a="1"/>
  <c r="F435" i="16" a="1"/>
  <c r="F436" i="16" a="1"/>
  <c r="F437" i="16" a="1"/>
  <c r="G437" i="16"/>
  <c r="F438" i="16" a="1"/>
  <c r="G438" i="16"/>
  <c r="F439" i="16" a="1"/>
  <c r="G439" i="16"/>
  <c r="F440" i="16" a="1"/>
  <c r="G440" i="16"/>
  <c r="F441" i="16" a="1"/>
  <c r="G441" i="16"/>
  <c r="F442" i="16" a="1"/>
  <c r="G442" i="16"/>
  <c r="F443" i="16" a="1"/>
  <c r="G443" i="16"/>
  <c r="F444" i="16" a="1"/>
  <c r="G444" i="16"/>
  <c r="F445" i="16" a="1"/>
  <c r="G445" i="16"/>
  <c r="F446" i="16" a="1"/>
  <c r="G446" i="16"/>
  <c r="F447" i="16" a="1"/>
  <c r="G447" i="16"/>
  <c r="F448" i="16" a="1"/>
  <c r="G448" i="16"/>
  <c r="F449" i="16" a="1"/>
  <c r="G449" i="16"/>
  <c r="F450" i="16" a="1"/>
  <c r="G450" i="16"/>
  <c r="F451" i="16" a="1"/>
  <c r="G451" i="16"/>
  <c r="F452" i="16" a="1"/>
  <c r="G452" i="16"/>
  <c r="F453" i="16" a="1"/>
  <c r="G453" i="16"/>
  <c r="F454" i="16" a="1"/>
  <c r="G454" i="16"/>
  <c r="F455" i="16" a="1"/>
  <c r="G455" i="16"/>
  <c r="F456" i="16" a="1"/>
  <c r="G456" i="16"/>
  <c r="F457" i="16" a="1"/>
  <c r="G457" i="16"/>
  <c r="F458" i="16" a="1"/>
  <c r="G458" i="16"/>
  <c r="F459" i="16" a="1"/>
  <c r="G459" i="16"/>
  <c r="F460" i="16" a="1"/>
  <c r="G460" i="16"/>
  <c r="F461" i="16" a="1"/>
  <c r="G461" i="16"/>
  <c r="F462" i="16" a="1"/>
  <c r="G462" i="16"/>
  <c r="F463" i="16" a="1"/>
  <c r="G463" i="16"/>
  <c r="F464" i="16" a="1"/>
  <c r="G464" i="16"/>
  <c r="F465" i="16" a="1"/>
  <c r="G465" i="16"/>
  <c r="F466" i="16" a="1"/>
  <c r="G466" i="16"/>
  <c r="F467" i="16" a="1"/>
  <c r="G467" i="16"/>
  <c r="F468" i="16" a="1"/>
  <c r="G468" i="16"/>
  <c r="F469" i="16" a="1"/>
  <c r="G469" i="16"/>
  <c r="F470" i="16" a="1"/>
  <c r="G470" i="16"/>
  <c r="F471" i="16" a="1"/>
  <c r="G471" i="16"/>
  <c r="F472" i="16" a="1"/>
  <c r="G472" i="16"/>
  <c r="F473" i="16" a="1"/>
  <c r="G473" i="16"/>
  <c r="F474" i="16" a="1"/>
  <c r="G474" i="16"/>
  <c r="F475" i="16" a="1"/>
  <c r="G475" i="16"/>
  <c r="F476" i="16" a="1"/>
  <c r="G476" i="16"/>
  <c r="F477" i="16" a="1"/>
  <c r="G477" i="16"/>
  <c r="F478" i="16" a="1"/>
  <c r="G478" i="16"/>
  <c r="F479" i="16" a="1"/>
  <c r="G479" i="16"/>
  <c r="F480" i="16" a="1"/>
  <c r="G480" i="16"/>
  <c r="F481" i="16" a="1"/>
  <c r="G481" i="16"/>
  <c r="F482" i="16" a="1"/>
  <c r="G482" i="16"/>
  <c r="F483" i="16" a="1"/>
  <c r="G483" i="16"/>
  <c r="F484" i="16" a="1"/>
  <c r="G484" i="16"/>
  <c r="F485" i="16" a="1"/>
  <c r="G485" i="16"/>
  <c r="F486" i="16" a="1"/>
  <c r="G486" i="16"/>
  <c r="F487" i="16" a="1"/>
  <c r="G487" i="16"/>
  <c r="F488" i="16" a="1"/>
  <c r="G488" i="16"/>
  <c r="F489" i="16" a="1"/>
  <c r="G489" i="16"/>
  <c r="F490" i="16" a="1"/>
  <c r="G490" i="16"/>
  <c r="F491" i="16" a="1"/>
  <c r="G491" i="16"/>
  <c r="F492" i="16" a="1"/>
  <c r="G492" i="16"/>
  <c r="F493" i="16" a="1"/>
  <c r="G493" i="16"/>
  <c r="F494" i="16" a="1"/>
  <c r="G494" i="16"/>
  <c r="F495" i="16" a="1"/>
  <c r="G495" i="16"/>
  <c r="F496" i="16" a="1"/>
  <c r="G496" i="16"/>
  <c r="F497" i="16" a="1"/>
  <c r="F498" i="16" a="1"/>
  <c r="F499" i="16" a="1"/>
  <c r="F500" i="16" a="1"/>
  <c r="F501" i="16" a="1"/>
  <c r="F502" i="16" a="1"/>
  <c r="F503" i="16" a="1"/>
  <c r="F504" i="16" a="1"/>
  <c r="F505" i="16" a="1"/>
  <c r="F506" i="16" a="1"/>
  <c r="F507" i="16" a="1"/>
  <c r="F508" i="16" a="1"/>
  <c r="F509" i="16" a="1"/>
  <c r="F510" i="16" a="1"/>
  <c r="F511" i="16" a="1"/>
  <c r="F512" i="16" a="1"/>
  <c r="F513" i="16" a="1"/>
  <c r="F514" i="16" a="1"/>
  <c r="F515" i="16" a="1"/>
  <c r="F516" i="16" a="1"/>
  <c r="F517" i="16" a="1"/>
  <c r="F518" i="16" a="1"/>
  <c r="F519" i="16" a="1"/>
  <c r="F520" i="16" a="1"/>
  <c r="F521" i="16" a="1"/>
  <c r="F522" i="16" a="1"/>
  <c r="F523" i="16" a="1"/>
  <c r="F524" i="16" a="1"/>
  <c r="F525" i="16" a="1"/>
  <c r="F526" i="16" a="1"/>
  <c r="F527" i="16" a="1"/>
  <c r="F528" i="16" a="1"/>
  <c r="F529" i="16" a="1"/>
  <c r="F530" i="16" a="1"/>
  <c r="F531" i="16" a="1"/>
  <c r="F532" i="16" a="1"/>
  <c r="F533" i="16" a="1"/>
  <c r="F534" i="16" a="1"/>
  <c r="F535" i="16" a="1"/>
  <c r="F536" i="16" a="1"/>
  <c r="F537" i="16" a="1"/>
  <c r="F538" i="16" a="1"/>
  <c r="F539" i="16" a="1"/>
  <c r="F540" i="16" a="1"/>
  <c r="F541" i="16" a="1"/>
  <c r="F542" i="16" a="1"/>
  <c r="F543" i="16" a="1"/>
  <c r="F544" i="16" a="1"/>
  <c r="F545" i="16" a="1"/>
  <c r="F546" i="16" a="1"/>
  <c r="F547" i="16" a="1"/>
  <c r="F548" i="16" a="1"/>
  <c r="F549" i="16" a="1"/>
  <c r="F550" i="16" a="1"/>
  <c r="F551" i="16" a="1"/>
  <c r="F552" i="16" a="1"/>
  <c r="F553" i="16" a="1"/>
  <c r="F554" i="16" a="1"/>
  <c r="F555" i="16" a="1"/>
  <c r="F556" i="16" a="1"/>
  <c r="F557" i="16" a="1"/>
  <c r="F558" i="16" a="1"/>
  <c r="F559" i="16" a="1"/>
  <c r="F560" i="16" a="1"/>
  <c r="F561" i="16" a="1"/>
  <c r="F562" i="16" a="1"/>
  <c r="F563" i="16" a="1"/>
  <c r="F564" i="16" a="1"/>
  <c r="F565" i="16" a="1"/>
  <c r="F566" i="16" a="1"/>
  <c r="F567" i="16" a="1"/>
  <c r="F568" i="16" a="1"/>
  <c r="F569" i="16" a="1"/>
  <c r="F570" i="16" a="1"/>
  <c r="F571" i="16" a="1"/>
  <c r="F572" i="16" a="1"/>
  <c r="F573" i="16" a="1"/>
  <c r="F574" i="16" a="1"/>
  <c r="F575" i="16" a="1"/>
  <c r="F576" i="16" a="1"/>
  <c r="F577" i="16" a="1"/>
  <c r="F578" i="16" a="1"/>
  <c r="F579" i="16" a="1"/>
  <c r="F580" i="16" a="1"/>
  <c r="F581" i="16" a="1"/>
  <c r="G581" i="16"/>
  <c r="F582" i="16" a="1"/>
  <c r="G582" i="16"/>
  <c r="F583" i="16" a="1"/>
  <c r="G583" i="16"/>
  <c r="F584" i="16" a="1"/>
  <c r="G584" i="16"/>
  <c r="F585" i="16" a="1"/>
  <c r="G585" i="16"/>
  <c r="F586" i="16" a="1"/>
  <c r="G586" i="16"/>
  <c r="F587" i="16" a="1"/>
  <c r="G587" i="16"/>
  <c r="F588" i="16" a="1"/>
  <c r="G588" i="16"/>
  <c r="F589" i="16" a="1"/>
  <c r="G589" i="16"/>
  <c r="F590" i="16" a="1"/>
  <c r="G590" i="16"/>
  <c r="F591" i="16" a="1"/>
  <c r="G591" i="16"/>
  <c r="F592" i="16" a="1"/>
  <c r="G592" i="16"/>
  <c r="F593" i="16" a="1"/>
  <c r="G593" i="16"/>
  <c r="F594" i="16" a="1"/>
  <c r="G594" i="16"/>
  <c r="F595" i="16" a="1"/>
  <c r="G595" i="16"/>
  <c r="F596" i="16" a="1"/>
  <c r="G596" i="16"/>
  <c r="F597" i="16" a="1"/>
  <c r="G597" i="16"/>
  <c r="F598" i="16" a="1"/>
  <c r="G598" i="16"/>
  <c r="F599" i="16" a="1"/>
  <c r="G599" i="16"/>
  <c r="F600" i="16" a="1"/>
  <c r="G600" i="16"/>
  <c r="F601" i="16" a="1"/>
  <c r="G601" i="16"/>
  <c r="F602" i="16" a="1"/>
  <c r="G602" i="16"/>
  <c r="F603" i="16" a="1"/>
  <c r="G603" i="16"/>
  <c r="F604" i="16" a="1"/>
  <c r="G604" i="16"/>
  <c r="F605" i="16" a="1"/>
  <c r="G605" i="16"/>
  <c r="F606" i="16" a="1"/>
  <c r="G606" i="16"/>
  <c r="F607" i="16" a="1"/>
  <c r="G607" i="16"/>
  <c r="F608" i="16" a="1"/>
  <c r="G608" i="16"/>
  <c r="F609" i="16" a="1"/>
  <c r="G609" i="16"/>
  <c r="F610" i="16" a="1"/>
  <c r="G610" i="16"/>
  <c r="F611" i="16" a="1"/>
  <c r="G611" i="16"/>
  <c r="F612" i="16" a="1"/>
  <c r="G612" i="16"/>
  <c r="F613" i="16" a="1"/>
  <c r="G613" i="16"/>
  <c r="F614" i="16" a="1"/>
  <c r="G614" i="16"/>
  <c r="F615" i="16" a="1"/>
  <c r="G615" i="16"/>
  <c r="F616" i="16" a="1"/>
  <c r="G616" i="16"/>
  <c r="F617" i="16" a="1"/>
  <c r="G617" i="16"/>
  <c r="F618" i="16" a="1"/>
  <c r="G618" i="16"/>
  <c r="F619" i="16" a="1"/>
  <c r="G619" i="16"/>
  <c r="F620" i="16" a="1"/>
  <c r="G620" i="16"/>
  <c r="F621" i="16" a="1"/>
  <c r="G621" i="16"/>
  <c r="F622" i="16" a="1"/>
  <c r="G622" i="16"/>
  <c r="F623" i="16" a="1"/>
  <c r="G623" i="16"/>
  <c r="F624" i="16" a="1"/>
  <c r="G624" i="16"/>
  <c r="F625" i="16" a="1"/>
  <c r="G625" i="16"/>
  <c r="F626" i="16" a="1"/>
  <c r="G626" i="16"/>
  <c r="F627" i="16" a="1"/>
  <c r="G627" i="16"/>
  <c r="F628" i="16" a="1"/>
  <c r="G628" i="16"/>
  <c r="F629" i="16" a="1"/>
  <c r="G629" i="16"/>
  <c r="F630" i="16" a="1"/>
  <c r="G630" i="16"/>
  <c r="F631" i="16" a="1"/>
  <c r="G631" i="16"/>
  <c r="F632" i="16" a="1"/>
  <c r="G632" i="16"/>
  <c r="F633" i="16" a="1"/>
  <c r="G633" i="16"/>
  <c r="F634" i="16" a="1"/>
  <c r="G634" i="16"/>
  <c r="F635" i="16" a="1"/>
  <c r="G635" i="16"/>
  <c r="F636" i="16" a="1"/>
  <c r="G636" i="16"/>
  <c r="F637" i="16" a="1"/>
  <c r="G637" i="16"/>
  <c r="F638" i="16" a="1"/>
  <c r="G638" i="16"/>
  <c r="F639" i="16" a="1"/>
  <c r="G639" i="16"/>
  <c r="F640" i="16" a="1"/>
  <c r="G640" i="16"/>
  <c r="F641" i="16" a="1"/>
  <c r="G641" i="16"/>
  <c r="F642" i="16" a="1"/>
  <c r="G642" i="16"/>
  <c r="F643" i="16" a="1"/>
  <c r="G643" i="16"/>
  <c r="F644" i="16" a="1"/>
  <c r="G644" i="16"/>
  <c r="F645" i="16" a="1"/>
  <c r="G645" i="16"/>
  <c r="F646" i="16" a="1"/>
  <c r="G646" i="16"/>
  <c r="F647" i="16" a="1"/>
  <c r="G647" i="16"/>
  <c r="F648" i="16" a="1"/>
  <c r="G648" i="16"/>
  <c r="F649" i="16" a="1"/>
  <c r="G649" i="16"/>
  <c r="F650" i="16" a="1"/>
  <c r="G650" i="16"/>
  <c r="F651" i="16" a="1"/>
  <c r="G651" i="16"/>
  <c r="F652" i="16" a="1"/>
  <c r="G652" i="16"/>
  <c r="F653" i="16" a="1"/>
  <c r="G653" i="16"/>
  <c r="F654" i="16" a="1"/>
  <c r="G654" i="16"/>
  <c r="F655" i="16" a="1"/>
  <c r="F656" i="16" a="1"/>
  <c r="F657" i="16" a="1"/>
  <c r="F658" i="16" a="1"/>
  <c r="F659" i="16" a="1"/>
  <c r="F660" i="16" a="1"/>
  <c r="F661" i="16" a="1"/>
  <c r="F662" i="16" a="1"/>
  <c r="F663" i="16" a="1"/>
  <c r="F664" i="16" a="1"/>
  <c r="F665" i="16" a="1"/>
  <c r="F666" i="16" a="1"/>
  <c r="F667" i="16" a="1"/>
  <c r="F668" i="16" a="1"/>
  <c r="F669" i="16" a="1"/>
  <c r="F670" i="16" a="1"/>
  <c r="F671" i="16" a="1"/>
  <c r="F672" i="16" a="1"/>
  <c r="F673" i="16" a="1"/>
  <c r="F674" i="16" a="1"/>
  <c r="F675" i="16" a="1"/>
  <c r="F676" i="16" a="1"/>
  <c r="F677" i="16" a="1"/>
  <c r="F678" i="16" a="1"/>
  <c r="F679" i="16" a="1"/>
  <c r="F680" i="16" a="1"/>
  <c r="F681" i="16" a="1"/>
  <c r="F682" i="16" a="1"/>
  <c r="F683" i="16" a="1"/>
  <c r="F684" i="16" a="1"/>
  <c r="F685" i="16" a="1"/>
  <c r="F686" i="16" a="1"/>
  <c r="F687" i="16" a="1"/>
  <c r="F688" i="16" a="1"/>
  <c r="F689" i="16" a="1"/>
  <c r="F690" i="16" a="1"/>
  <c r="F691" i="16" a="1"/>
  <c r="F692" i="16" a="1"/>
  <c r="F693" i="16" a="1"/>
  <c r="F694" i="16" a="1"/>
  <c r="F695" i="16" a="1"/>
  <c r="F696" i="16" a="1"/>
  <c r="F697" i="16" a="1"/>
  <c r="F698" i="16" a="1"/>
  <c r="F699" i="16" a="1"/>
  <c r="F700" i="16" a="1"/>
  <c r="F701" i="16" a="1"/>
  <c r="F702" i="16" a="1"/>
  <c r="F703" i="16" a="1"/>
  <c r="F704" i="16" a="1"/>
  <c r="F705" i="16" a="1"/>
  <c r="F706" i="16" a="1"/>
  <c r="F707" i="16" a="1"/>
  <c r="F708" i="16" a="1"/>
  <c r="F709" i="16" a="1"/>
  <c r="F710" i="16" a="1"/>
  <c r="F711" i="16" a="1"/>
  <c r="F712" i="16" a="1"/>
  <c r="F713" i="16" a="1"/>
  <c r="F714" i="16" a="1"/>
  <c r="F715" i="16" a="1"/>
  <c r="F716" i="16" a="1"/>
  <c r="F717" i="16" a="1"/>
  <c r="F718" i="16" a="1"/>
  <c r="F719" i="16" a="1"/>
  <c r="F720" i="16" a="1"/>
  <c r="F721" i="16" a="1"/>
  <c r="F722" i="16" a="1"/>
  <c r="F723" i="16" a="1"/>
  <c r="F724" i="16" a="1"/>
  <c r="F725" i="16" a="1"/>
  <c r="G725" i="16"/>
  <c r="F726" i="16" a="1"/>
  <c r="G726" i="16"/>
  <c r="F727" i="16" a="1"/>
  <c r="G727" i="16"/>
  <c r="F728" i="16" a="1"/>
  <c r="G728" i="16"/>
  <c r="F729" i="16" a="1"/>
  <c r="G729" i="16"/>
  <c r="F730" i="16" a="1"/>
  <c r="G730" i="16"/>
  <c r="F731" i="16" a="1"/>
  <c r="G731" i="16"/>
  <c r="F732" i="16" a="1"/>
  <c r="G732" i="16"/>
  <c r="F733" i="16" a="1"/>
  <c r="G733" i="16"/>
  <c r="F734" i="16" a="1"/>
  <c r="G734" i="16"/>
  <c r="F735" i="16" a="1"/>
  <c r="G735" i="16"/>
  <c r="F736" i="16" a="1"/>
  <c r="G736" i="16"/>
  <c r="F737" i="16" a="1"/>
  <c r="G737" i="16"/>
  <c r="F738" i="16" a="1"/>
  <c r="G738" i="16"/>
  <c r="F739" i="16" a="1"/>
  <c r="G739" i="16"/>
  <c r="F740" i="16" a="1"/>
  <c r="G740" i="16"/>
  <c r="F741" i="16" a="1"/>
  <c r="G741" i="16"/>
  <c r="F742" i="16" a="1"/>
  <c r="G742" i="16"/>
  <c r="F743" i="16" a="1"/>
  <c r="G743" i="16"/>
  <c r="F744" i="16" a="1"/>
  <c r="G744" i="16"/>
  <c r="F745" i="16" a="1"/>
  <c r="G745" i="16"/>
  <c r="F746" i="16" a="1"/>
  <c r="G746" i="16"/>
  <c r="F747" i="16" a="1"/>
  <c r="G747" i="16"/>
  <c r="F748" i="16" a="1"/>
  <c r="G748" i="16"/>
  <c r="F749" i="16" a="1"/>
  <c r="G749" i="16"/>
  <c r="F750" i="16" a="1"/>
  <c r="G750" i="16"/>
  <c r="F751" i="16" a="1"/>
  <c r="G751" i="16"/>
  <c r="F752" i="16" a="1"/>
  <c r="G752" i="16"/>
  <c r="F753" i="16" a="1"/>
  <c r="G753" i="16"/>
  <c r="F754" i="16" a="1"/>
  <c r="G754" i="16"/>
  <c r="F755" i="16" a="1"/>
  <c r="G755" i="16"/>
  <c r="F756" i="16" a="1"/>
  <c r="G756" i="16"/>
  <c r="F757" i="16" a="1"/>
  <c r="G757" i="16"/>
  <c r="F758" i="16" a="1"/>
  <c r="G758" i="16"/>
  <c r="F759" i="16" a="1"/>
  <c r="G759" i="16"/>
  <c r="F760" i="16" a="1"/>
  <c r="G760" i="16"/>
  <c r="F761" i="16" a="1"/>
  <c r="G761" i="16"/>
  <c r="F762" i="16" a="1"/>
  <c r="G762" i="16"/>
  <c r="F763" i="16" a="1"/>
  <c r="G763" i="16"/>
  <c r="F764" i="16" a="1"/>
  <c r="G764" i="16"/>
  <c r="F765" i="16" a="1"/>
  <c r="G765" i="16"/>
  <c r="F766" i="16" a="1"/>
  <c r="G766" i="16"/>
  <c r="F767" i="16" a="1"/>
  <c r="G767" i="16"/>
  <c r="F768" i="16" a="1"/>
  <c r="G768" i="16"/>
  <c r="F769" i="16" a="1"/>
  <c r="G769" i="16"/>
  <c r="F770" i="16" a="1"/>
  <c r="G770" i="16"/>
  <c r="F771" i="16" a="1"/>
  <c r="G771" i="16"/>
  <c r="F772" i="16" a="1"/>
  <c r="G772" i="16"/>
  <c r="F773" i="16" a="1"/>
  <c r="G773" i="16"/>
  <c r="F774" i="16" a="1"/>
  <c r="G774" i="16"/>
  <c r="F775" i="16" a="1"/>
  <c r="G775" i="16"/>
  <c r="F776" i="16" a="1"/>
  <c r="G776" i="16"/>
  <c r="F777" i="16" a="1"/>
  <c r="G777" i="16"/>
  <c r="F778" i="16" a="1"/>
  <c r="G778" i="16"/>
  <c r="F779" i="16" a="1"/>
  <c r="G779" i="16"/>
  <c r="F780" i="16" a="1"/>
  <c r="G780" i="16"/>
  <c r="F781" i="16" a="1"/>
  <c r="G781" i="16"/>
  <c r="F782" i="16" a="1"/>
  <c r="G782" i="16"/>
  <c r="F783" i="16" a="1"/>
  <c r="G783" i="16"/>
  <c r="F784" i="16" a="1"/>
  <c r="G784" i="16"/>
  <c r="F785" i="16" a="1"/>
  <c r="G785" i="16"/>
  <c r="F786" i="16" a="1"/>
  <c r="G786" i="16"/>
  <c r="F787" i="16" a="1"/>
  <c r="G787" i="16"/>
  <c r="F788" i="16" a="1"/>
  <c r="G788" i="16"/>
  <c r="F789" i="16" a="1"/>
  <c r="G789" i="16"/>
  <c r="F790" i="16" a="1"/>
  <c r="G790" i="16"/>
  <c r="F791" i="16" a="1"/>
  <c r="G791" i="16"/>
  <c r="F792" i="16" a="1"/>
  <c r="G792" i="16"/>
  <c r="F793" i="16" a="1"/>
  <c r="G793" i="16"/>
  <c r="F794" i="16" a="1"/>
  <c r="G794" i="16"/>
  <c r="F795" i="16" a="1"/>
  <c r="G795" i="16"/>
  <c r="F796" i="16" a="1"/>
  <c r="G796" i="16"/>
  <c r="F797" i="16" a="1"/>
  <c r="G797" i="16"/>
  <c r="F798" i="16" a="1"/>
  <c r="G798" i="16"/>
  <c r="F799" i="16" a="1"/>
  <c r="G799" i="16"/>
  <c r="F800" i="16" a="1"/>
  <c r="G800" i="16"/>
  <c r="F801" i="16" a="1"/>
  <c r="G801" i="16"/>
  <c r="F802" i="16" a="1"/>
  <c r="G802" i="16"/>
  <c r="F803" i="16" a="1"/>
  <c r="G803" i="16"/>
  <c r="F804" i="16" a="1"/>
  <c r="G804" i="16"/>
  <c r="F805" i="16" a="1"/>
  <c r="G805" i="16"/>
  <c r="F806" i="16" a="1"/>
  <c r="G806" i="16"/>
  <c r="F807" i="16" a="1"/>
  <c r="G807" i="16"/>
  <c r="F808" i="16" a="1"/>
  <c r="F809" i="16" a="1"/>
  <c r="F810" i="16" a="1"/>
  <c r="F811" i="16" a="1"/>
  <c r="F812" i="16" a="1"/>
  <c r="F813" i="16" a="1"/>
  <c r="F814" i="16" a="1"/>
  <c r="F815" i="16" a="1"/>
  <c r="F816" i="16" a="1"/>
  <c r="F817" i="16" a="1"/>
  <c r="F818" i="16" a="1"/>
  <c r="F819" i="16" a="1"/>
  <c r="F820" i="16" a="1"/>
  <c r="F821" i="16" a="1"/>
  <c r="F822" i="16" a="1"/>
  <c r="F823" i="16" a="1"/>
  <c r="F824" i="16" a="1"/>
  <c r="F825" i="16" a="1"/>
  <c r="F826" i="16" a="1"/>
  <c r="F827" i="16" a="1"/>
  <c r="F828" i="16" a="1"/>
  <c r="F829" i="16" a="1"/>
  <c r="F830" i="16" a="1"/>
  <c r="F831" i="16" a="1"/>
  <c r="F832" i="16" a="1"/>
  <c r="F833" i="16" a="1"/>
  <c r="F834" i="16" a="1"/>
  <c r="F835" i="16" a="1"/>
  <c r="F836" i="16" a="1"/>
  <c r="F837" i="16" a="1"/>
  <c r="F838" i="16" a="1"/>
  <c r="F839" i="16" a="1"/>
  <c r="F840" i="16" a="1"/>
  <c r="F841" i="16" a="1"/>
  <c r="F842" i="16" a="1"/>
  <c r="F843" i="16" a="1"/>
  <c r="F844" i="16" a="1"/>
  <c r="F845" i="16" a="1"/>
  <c r="F846" i="16" a="1"/>
  <c r="F847" i="16" a="1"/>
  <c r="F848" i="16" a="1"/>
  <c r="F849" i="16" a="1"/>
  <c r="F850" i="16" a="1"/>
  <c r="F851" i="16" a="1"/>
  <c r="F852" i="16" a="1"/>
  <c r="F853" i="16" a="1"/>
  <c r="F854" i="16" a="1"/>
  <c r="F855" i="16" a="1"/>
  <c r="F856" i="16" a="1"/>
  <c r="F857" i="16" a="1"/>
  <c r="F858" i="16" a="1"/>
  <c r="F859" i="16" a="1"/>
  <c r="F860" i="16" a="1"/>
  <c r="F861" i="16" a="1"/>
  <c r="F862" i="16" a="1"/>
  <c r="F863" i="16" a="1"/>
  <c r="F864" i="16" a="1"/>
  <c r="F865" i="16" a="1"/>
  <c r="F866" i="16" a="1"/>
  <c r="F867" i="16" a="1"/>
  <c r="F868" i="16" a="1"/>
  <c r="F869" i="16" a="1"/>
  <c r="G869" i="16"/>
  <c r="F870" i="16" a="1"/>
  <c r="G870" i="16"/>
  <c r="F871" i="16" a="1"/>
  <c r="G871" i="16"/>
  <c r="F872" i="16" a="1"/>
  <c r="G872" i="16"/>
  <c r="F873" i="16" a="1"/>
  <c r="G873" i="16"/>
  <c r="F874" i="16" a="1"/>
  <c r="G874" i="16"/>
  <c r="F875" i="16" a="1"/>
  <c r="G875" i="16"/>
  <c r="F876" i="16" a="1"/>
  <c r="G876" i="16"/>
  <c r="F877" i="16" a="1"/>
  <c r="G877" i="16"/>
  <c r="F878" i="16" a="1"/>
  <c r="G878" i="16"/>
  <c r="F879" i="16" a="1"/>
  <c r="G879" i="16"/>
  <c r="F880" i="16" a="1"/>
  <c r="G880" i="16"/>
  <c r="F881" i="16" a="1"/>
  <c r="G881" i="16"/>
  <c r="F882" i="16" a="1"/>
  <c r="G882" i="16"/>
  <c r="F883" i="16" a="1"/>
  <c r="G883" i="16"/>
  <c r="F884" i="16" a="1"/>
  <c r="G884" i="16"/>
  <c r="F885" i="16" a="1"/>
  <c r="G885" i="16"/>
  <c r="F886" i="16" a="1"/>
  <c r="G886" i="16"/>
  <c r="F887" i="16" a="1"/>
  <c r="G887" i="16"/>
  <c r="F888" i="16" a="1"/>
  <c r="G888" i="16"/>
  <c r="F889" i="16" a="1"/>
  <c r="G889" i="16"/>
  <c r="F890" i="16" a="1"/>
  <c r="G890" i="16"/>
  <c r="F891" i="16" a="1"/>
  <c r="G891" i="16"/>
  <c r="F892" i="16" a="1"/>
  <c r="G892" i="16"/>
  <c r="F893" i="16" a="1"/>
  <c r="G893" i="16"/>
  <c r="F894" i="16" a="1"/>
  <c r="G894" i="16"/>
  <c r="F895" i="16" a="1"/>
  <c r="G895" i="16"/>
  <c r="F896" i="16" a="1"/>
  <c r="G896" i="16"/>
  <c r="F897" i="16" a="1"/>
  <c r="G897" i="16"/>
  <c r="F898" i="16" a="1"/>
  <c r="G898" i="16"/>
  <c r="F899" i="16" a="1"/>
  <c r="G899" i="16"/>
  <c r="F900" i="16" a="1"/>
  <c r="G900" i="16"/>
  <c r="F901" i="16" a="1"/>
  <c r="G901" i="16"/>
  <c r="F902" i="16" a="1"/>
  <c r="G902" i="16"/>
  <c r="F903" i="16" a="1"/>
  <c r="G903" i="16"/>
  <c r="F904" i="16" a="1"/>
  <c r="G904" i="16"/>
  <c r="F905" i="16" a="1"/>
  <c r="G905" i="16"/>
  <c r="F906" i="16" a="1"/>
  <c r="G906" i="16"/>
  <c r="F907" i="16" a="1"/>
  <c r="G907" i="16"/>
  <c r="F908" i="16" a="1"/>
  <c r="G908" i="16"/>
  <c r="F909" i="16" a="1"/>
  <c r="G909" i="16"/>
  <c r="F910" i="16" a="1"/>
  <c r="G910" i="16"/>
  <c r="F911" i="16" a="1"/>
  <c r="G911" i="16"/>
  <c r="F912" i="16" a="1"/>
  <c r="G912" i="16"/>
  <c r="F913" i="16" a="1"/>
  <c r="G913" i="16"/>
  <c r="F914" i="16" a="1"/>
  <c r="G914" i="16"/>
  <c r="F915" i="16" a="1"/>
  <c r="G915" i="16"/>
  <c r="F916" i="16" a="1"/>
  <c r="G916" i="16"/>
  <c r="F917" i="16" a="1"/>
  <c r="G917" i="16"/>
  <c r="F918" i="16" a="1"/>
  <c r="G918" i="16"/>
  <c r="F919" i="16" a="1"/>
  <c r="G919" i="16"/>
  <c r="F920" i="16" a="1"/>
  <c r="G920" i="16"/>
  <c r="F921" i="16" a="1"/>
  <c r="G921" i="16"/>
  <c r="F922" i="16" a="1"/>
  <c r="G922" i="16"/>
  <c r="F923" i="16" a="1"/>
  <c r="G923" i="16"/>
  <c r="F924" i="16" a="1"/>
  <c r="G924" i="16"/>
  <c r="F925" i="16" a="1"/>
  <c r="G925" i="16"/>
  <c r="F926" i="16" a="1"/>
  <c r="G926" i="16"/>
  <c r="F927" i="16" a="1"/>
  <c r="G927" i="16"/>
  <c r="F928" i="16" a="1"/>
  <c r="G928" i="16"/>
  <c r="F929" i="16" a="1"/>
  <c r="G929" i="16"/>
  <c r="F930" i="16" a="1"/>
  <c r="G930" i="16"/>
  <c r="F931" i="16" a="1"/>
  <c r="G931" i="16"/>
  <c r="F932" i="16" a="1"/>
  <c r="G932" i="16"/>
  <c r="F933" i="16" a="1"/>
  <c r="G933" i="16"/>
  <c r="F934" i="16" a="1"/>
  <c r="G934" i="16"/>
  <c r="F935" i="16" a="1"/>
  <c r="G935" i="16"/>
  <c r="F936" i="16" a="1"/>
  <c r="G936" i="16"/>
  <c r="F937" i="16" a="1"/>
  <c r="G937" i="16"/>
  <c r="F938" i="16" a="1"/>
  <c r="G938" i="16"/>
  <c r="F939" i="16" a="1"/>
  <c r="G939" i="16"/>
  <c r="F940" i="16" a="1"/>
  <c r="G940" i="16"/>
  <c r="F941" i="16" a="1"/>
  <c r="G941" i="16"/>
  <c r="F942" i="16" a="1"/>
  <c r="G942" i="16"/>
  <c r="F943" i="16" a="1"/>
  <c r="G943" i="16"/>
  <c r="F944" i="16" a="1"/>
  <c r="G944" i="16"/>
  <c r="F945" i="16" a="1"/>
  <c r="G945" i="16"/>
  <c r="F946" i="16" a="1"/>
  <c r="G946" i="16"/>
  <c r="F947" i="16" a="1"/>
  <c r="G947" i="16"/>
  <c r="F948" i="16" a="1"/>
  <c r="G948" i="16"/>
  <c r="F949" i="16" a="1"/>
  <c r="G949" i="16"/>
  <c r="F950" i="16" a="1"/>
  <c r="G950" i="16"/>
  <c r="F951" i="16" a="1"/>
  <c r="G951" i="16"/>
  <c r="F952" i="16" a="1"/>
  <c r="G952" i="16"/>
  <c r="F953" i="16" a="1"/>
  <c r="G953" i="16"/>
  <c r="F954" i="16" a="1"/>
  <c r="G954" i="16"/>
  <c r="F955" i="16" a="1"/>
  <c r="G955" i="16"/>
  <c r="F956" i="16" a="1"/>
  <c r="G956" i="16"/>
  <c r="F957" i="16" a="1"/>
  <c r="G957" i="16"/>
  <c r="F958" i="16" a="1"/>
  <c r="F959" i="16" a="1"/>
  <c r="F960" i="16" a="1"/>
  <c r="F961" i="16" a="1"/>
  <c r="F962" i="16" a="1"/>
  <c r="F963" i="16" a="1"/>
  <c r="F964" i="16" a="1"/>
  <c r="F965" i="16" a="1"/>
  <c r="F966" i="16" a="1"/>
  <c r="F967" i="16" a="1"/>
  <c r="F968" i="16" a="1"/>
  <c r="F969" i="16" a="1"/>
  <c r="F970" i="16" a="1"/>
  <c r="F971" i="16" a="1"/>
  <c r="F972" i="16" a="1"/>
  <c r="F973" i="16" a="1"/>
  <c r="F974" i="16" a="1"/>
  <c r="F975" i="16" a="1"/>
  <c r="F976" i="16" a="1"/>
  <c r="F977" i="16" a="1"/>
  <c r="F978" i="16" a="1"/>
  <c r="F979" i="16" a="1"/>
  <c r="F980" i="16" a="1"/>
  <c r="F981" i="16" a="1"/>
  <c r="F982" i="16" a="1"/>
  <c r="F983" i="16" a="1"/>
  <c r="F984" i="16" a="1"/>
  <c r="F985" i="16" a="1"/>
  <c r="F986" i="16" a="1"/>
  <c r="F987" i="16" a="1"/>
  <c r="F988" i="16" a="1"/>
  <c r="F989" i="16" a="1"/>
  <c r="F990" i="16" a="1"/>
  <c r="F991" i="16" a="1"/>
  <c r="F992" i="16" a="1"/>
  <c r="F993" i="16" a="1"/>
  <c r="F994" i="16" a="1"/>
  <c r="F995" i="16" a="1"/>
  <c r="F996" i="16" a="1"/>
  <c r="F997" i="16" a="1"/>
  <c r="F998" i="16" a="1"/>
  <c r="F999" i="16" a="1"/>
  <c r="F1000" i="16" a="1"/>
  <c r="F1001" i="16" a="1"/>
  <c r="F1002" i="16" a="1"/>
  <c r="F1003" i="16" a="1"/>
  <c r="F1004" i="16" a="1"/>
  <c r="F1005" i="16" a="1"/>
  <c r="F1006" i="16" a="1"/>
  <c r="F1007" i="16" a="1"/>
  <c r="F1008" i="16" a="1"/>
  <c r="F1009" i="16" a="1"/>
  <c r="F1010" i="16" a="1"/>
  <c r="F1011" i="16" a="1"/>
  <c r="F1012" i="16" a="1"/>
  <c r="G1012" i="16"/>
  <c r="F1013" i="16" a="1"/>
  <c r="G1013" i="16"/>
  <c r="F1014" i="16" a="1"/>
  <c r="G1014" i="16"/>
  <c r="F1015" i="16" a="1"/>
  <c r="G1015" i="16"/>
  <c r="F1016" i="16" a="1"/>
  <c r="G1016" i="16"/>
  <c r="F1017" i="16" a="1"/>
  <c r="G1017" i="16"/>
  <c r="F1018" i="16" a="1"/>
  <c r="G1018" i="16"/>
  <c r="F1019" i="16" a="1"/>
  <c r="G1019" i="16"/>
  <c r="F1020" i="16" a="1"/>
  <c r="G1020" i="16"/>
  <c r="F1021" i="16" a="1"/>
  <c r="G1021" i="16"/>
  <c r="F1022" i="16" a="1"/>
  <c r="G1022" i="16"/>
  <c r="F1023" i="16" a="1"/>
  <c r="G1023" i="16"/>
  <c r="F1024" i="16" a="1"/>
  <c r="G1024" i="16"/>
  <c r="F1025" i="16" a="1"/>
  <c r="G1025" i="16"/>
  <c r="F1026" i="16" a="1"/>
  <c r="G1026" i="16"/>
  <c r="F1027" i="16" a="1"/>
  <c r="G1027" i="16"/>
  <c r="F1028" i="16" a="1"/>
  <c r="G1028" i="16"/>
  <c r="F1029" i="16" a="1"/>
  <c r="G1029" i="16"/>
  <c r="F1030" i="16" a="1"/>
  <c r="G1030" i="16"/>
  <c r="F1031" i="16" a="1"/>
  <c r="G1031" i="16"/>
  <c r="F1032" i="16" a="1"/>
  <c r="G1032" i="16"/>
  <c r="F1033" i="16" a="1"/>
  <c r="G1033" i="16"/>
  <c r="F1034" i="16" a="1"/>
  <c r="G1034" i="16"/>
  <c r="F1035" i="16" a="1"/>
  <c r="G1035" i="16"/>
  <c r="F1036" i="16" a="1"/>
  <c r="G1036" i="16"/>
  <c r="F1037" i="16" a="1"/>
  <c r="G1037" i="16"/>
  <c r="F1038" i="16" a="1"/>
  <c r="G1038" i="16"/>
  <c r="F1039" i="16" a="1"/>
  <c r="G1039" i="16"/>
  <c r="F1040" i="16" a="1"/>
  <c r="G1040" i="16"/>
  <c r="F1041" i="16" a="1"/>
  <c r="G1041" i="16"/>
  <c r="F1042" i="16" a="1"/>
  <c r="G1042" i="16"/>
  <c r="F1043" i="16" a="1"/>
  <c r="G1043" i="16"/>
  <c r="F1044" i="16" a="1"/>
  <c r="G1044" i="16"/>
  <c r="F1045" i="16" a="1"/>
  <c r="G1045" i="16"/>
  <c r="F1046" i="16" a="1"/>
  <c r="G1046" i="16"/>
  <c r="F1047" i="16" a="1"/>
  <c r="G1047" i="16"/>
  <c r="F1048" i="16" a="1"/>
  <c r="G1048" i="16"/>
  <c r="F1049" i="16" a="1"/>
  <c r="G1049" i="16"/>
  <c r="F1050" i="16" a="1"/>
  <c r="G1050" i="16"/>
  <c r="F1051" i="16" a="1"/>
  <c r="G1051" i="16"/>
  <c r="F1052" i="16" a="1"/>
  <c r="G1052" i="16"/>
  <c r="F1053" i="16" a="1"/>
  <c r="G1053" i="16"/>
  <c r="F1054" i="16" a="1"/>
  <c r="G1054" i="16"/>
  <c r="F1055" i="16" a="1"/>
  <c r="G1055" i="16"/>
  <c r="F1056" i="16" a="1"/>
  <c r="G1056" i="16"/>
  <c r="F1057" i="16" a="1"/>
  <c r="G1057" i="16"/>
  <c r="F1058" i="16" a="1"/>
  <c r="G1058" i="16"/>
  <c r="F1059" i="16" a="1"/>
  <c r="G1059" i="16"/>
  <c r="F1060" i="16" a="1"/>
  <c r="G1060" i="16"/>
  <c r="F1061" i="16" a="1"/>
  <c r="G1061" i="16"/>
  <c r="F1062" i="16" a="1"/>
  <c r="G1062" i="16"/>
  <c r="F1063" i="16" a="1"/>
  <c r="G1063" i="16"/>
  <c r="F1064" i="16" a="1"/>
  <c r="G1064" i="16"/>
  <c r="F1065" i="16" a="1"/>
  <c r="G1065" i="16"/>
  <c r="F1066" i="16" a="1"/>
  <c r="G1066" i="16"/>
  <c r="F1067" i="16" a="1"/>
  <c r="G1067" i="16"/>
  <c r="F1068" i="16" a="1"/>
  <c r="G1068" i="16"/>
  <c r="F1069" i="16" a="1"/>
  <c r="G1069" i="16"/>
  <c r="F1070" i="16" a="1"/>
  <c r="G1070" i="16"/>
  <c r="F1071" i="16" a="1"/>
  <c r="G1071" i="16"/>
  <c r="F1072" i="16" a="1"/>
  <c r="G1072" i="16"/>
  <c r="F1073" i="16" a="1"/>
  <c r="G1073" i="16"/>
  <c r="F1074" i="16" a="1"/>
  <c r="G1074" i="16"/>
  <c r="F1075" i="16" a="1"/>
  <c r="G1075" i="16"/>
  <c r="F1076" i="16" a="1"/>
  <c r="G1076" i="16"/>
  <c r="F1077" i="16" a="1"/>
  <c r="G1077" i="16"/>
  <c r="F1078" i="16" a="1"/>
  <c r="G1078" i="16"/>
  <c r="F1079" i="16" a="1"/>
  <c r="G1079" i="16"/>
  <c r="F1080" i="16" a="1"/>
  <c r="G1080" i="16"/>
  <c r="F1081" i="16" a="1"/>
  <c r="G1081" i="16"/>
  <c r="F1082" i="16" a="1"/>
  <c r="G1082" i="16"/>
  <c r="F1083" i="16" a="1"/>
  <c r="G1083" i="16"/>
  <c r="F1084" i="16" a="1"/>
  <c r="G1084" i="16"/>
  <c r="F1085" i="16" a="1"/>
  <c r="G1085" i="16"/>
  <c r="F1086" i="16" a="1"/>
  <c r="G1086" i="16"/>
  <c r="F1087" i="16" a="1"/>
  <c r="G1087" i="16"/>
  <c r="F1088" i="16" a="1"/>
  <c r="G1088" i="16"/>
  <c r="F1089" i="16" a="1"/>
  <c r="G1089" i="16"/>
  <c r="F1090" i="16" a="1"/>
  <c r="G1090" i="16"/>
  <c r="F1091" i="16" a="1"/>
  <c r="G1091" i="16"/>
  <c r="F1092" i="16" a="1"/>
  <c r="G1092" i="16"/>
  <c r="F1093" i="16" a="1"/>
  <c r="G1093" i="16"/>
  <c r="F1094" i="16" a="1"/>
  <c r="G1094" i="16"/>
  <c r="F1095" i="16" a="1"/>
  <c r="G1095" i="16"/>
  <c r="F1096" i="16" a="1"/>
  <c r="G1096" i="16"/>
  <c r="F1097" i="16" a="1"/>
  <c r="G1097" i="16"/>
  <c r="F1098" i="16" a="1"/>
  <c r="G1098" i="16"/>
  <c r="F1099" i="16" a="1"/>
  <c r="G1099" i="16"/>
  <c r="F1100" i="16" a="1"/>
  <c r="G1100" i="16"/>
  <c r="F1101" i="16" a="1"/>
  <c r="G1101" i="16"/>
  <c r="F1102" i="16" a="1"/>
  <c r="G1102" i="16"/>
  <c r="F1103" i="16" a="1"/>
  <c r="G1103" i="16"/>
  <c r="F1104" i="16" a="1"/>
  <c r="G1104" i="16"/>
  <c r="F1105" i="16" a="1"/>
  <c r="G1105" i="16"/>
  <c r="F1106" i="16" a="1"/>
  <c r="F1107" i="16" a="1"/>
  <c r="F1108" i="16" a="1"/>
  <c r="F1109" i="16" a="1"/>
  <c r="F1110" i="16" a="1"/>
  <c r="F1111" i="16" a="1"/>
  <c r="F1112" i="16" a="1"/>
  <c r="F1113" i="16" a="1"/>
  <c r="F1114" i="16" a="1"/>
  <c r="F1115" i="16" a="1"/>
  <c r="F1116" i="16" a="1"/>
  <c r="F1117" i="16" a="1"/>
  <c r="F1118" i="16" a="1"/>
  <c r="F1119" i="16" a="1"/>
  <c r="F1120" i="16" a="1"/>
  <c r="F1121" i="16" a="1"/>
  <c r="F1122" i="16" a="1"/>
  <c r="F1123" i="16" a="1"/>
  <c r="F1124" i="16" a="1"/>
  <c r="F1125" i="16" a="1"/>
  <c r="F1126" i="16" a="1"/>
  <c r="F1127" i="16" a="1"/>
  <c r="F1128" i="16" a="1"/>
  <c r="F1129" i="16" a="1"/>
  <c r="F1130" i="16" a="1"/>
  <c r="F1131" i="16" a="1"/>
  <c r="F1132" i="16" a="1"/>
  <c r="F1133" i="16" a="1"/>
  <c r="F1134" i="16" a="1"/>
  <c r="F1135" i="16" a="1"/>
  <c r="F1136" i="16" a="1"/>
  <c r="F1137" i="16" a="1"/>
  <c r="F1138" i="16" a="1"/>
  <c r="F1139" i="16" a="1"/>
  <c r="F1140" i="16" a="1"/>
  <c r="F1141" i="16" a="1"/>
  <c r="F1142" i="16" a="1"/>
  <c r="F1143" i="16" a="1"/>
  <c r="F1144" i="16" a="1"/>
  <c r="F1145" i="16" a="1"/>
  <c r="F1146" i="16" a="1"/>
  <c r="F1147" i="16" a="1"/>
  <c r="F1148" i="16" a="1"/>
  <c r="F1149" i="16" a="1"/>
  <c r="F1150" i="16" a="1"/>
  <c r="F1151" i="16" a="1"/>
  <c r="F1152" i="16" a="1"/>
  <c r="F1153" i="16" a="1"/>
  <c r="F1154" i="16" a="1"/>
  <c r="F1155" i="16" a="1"/>
  <c r="F1156" i="16" a="1"/>
  <c r="G1156" i="16"/>
  <c r="F1157" i="16" a="1"/>
  <c r="G1157" i="16"/>
  <c r="F1158" i="16" a="1"/>
  <c r="G1158" i="16"/>
  <c r="F1159" i="16" a="1"/>
  <c r="G1159" i="16"/>
  <c r="F1160" i="16" a="1"/>
  <c r="G1160" i="16"/>
  <c r="F1161" i="16" a="1"/>
  <c r="G1161" i="16"/>
  <c r="F1162" i="16" a="1"/>
  <c r="G1162" i="16"/>
  <c r="F1163" i="16" a="1"/>
  <c r="G1163" i="16"/>
  <c r="F1164" i="16" a="1"/>
  <c r="G1164" i="16"/>
  <c r="F1165" i="16" a="1"/>
  <c r="G1165" i="16"/>
  <c r="F1166" i="16" a="1"/>
  <c r="G1166" i="16"/>
  <c r="F1167" i="16" a="1"/>
  <c r="G1167" i="16"/>
  <c r="F1168" i="16" a="1"/>
  <c r="G1168" i="16"/>
  <c r="F1169" i="16" a="1"/>
  <c r="G1169" i="16"/>
  <c r="F1170" i="16" a="1"/>
  <c r="G1170" i="16"/>
  <c r="F1171" i="16" a="1"/>
  <c r="G1171" i="16"/>
  <c r="F1172" i="16" a="1"/>
  <c r="G1172" i="16"/>
  <c r="F1173" i="16" a="1"/>
  <c r="G1173" i="16"/>
  <c r="F1174" i="16" a="1"/>
  <c r="G1174" i="16"/>
  <c r="F1175" i="16" a="1"/>
  <c r="G1175" i="16"/>
  <c r="F1176" i="16" a="1"/>
  <c r="G1176" i="16"/>
  <c r="F1177" i="16" a="1"/>
  <c r="G1177" i="16"/>
  <c r="F1178" i="16" a="1"/>
  <c r="G1178" i="16"/>
  <c r="F1179" i="16" a="1"/>
  <c r="G1179" i="16"/>
  <c r="F1180" i="16" a="1"/>
  <c r="G1180" i="16"/>
  <c r="F1181" i="16" a="1"/>
  <c r="G1181" i="16"/>
  <c r="F1182" i="16" a="1"/>
  <c r="G1182" i="16"/>
  <c r="F1183" i="16" a="1"/>
  <c r="G1183" i="16"/>
  <c r="F1184" i="16" a="1"/>
  <c r="G1184" i="16"/>
  <c r="F1185" i="16" a="1"/>
  <c r="G1185" i="16"/>
  <c r="F1186" i="16" a="1"/>
  <c r="G1186" i="16"/>
  <c r="F1187" i="16" a="1"/>
  <c r="G1187" i="16"/>
  <c r="F1188" i="16" a="1"/>
  <c r="G1188" i="16"/>
  <c r="F1189" i="16" a="1"/>
  <c r="G1189" i="16"/>
  <c r="F1190" i="16" a="1"/>
  <c r="G1190" i="16"/>
  <c r="F1191" i="16" a="1"/>
  <c r="G1191" i="16"/>
  <c r="F1192" i="16" a="1"/>
  <c r="G1192" i="16"/>
  <c r="F1193" i="16" a="1"/>
  <c r="G1193" i="16"/>
  <c r="F1194" i="16" a="1"/>
  <c r="G1194" i="16"/>
  <c r="F1195" i="16" a="1"/>
  <c r="G1195" i="16"/>
  <c r="F1196" i="16" a="1"/>
  <c r="G1196" i="16"/>
  <c r="F1197" i="16" a="1"/>
  <c r="G1197" i="16"/>
  <c r="F1198" i="16" a="1"/>
  <c r="G1198" i="16"/>
  <c r="F1199" i="16" a="1"/>
  <c r="G1199" i="16"/>
  <c r="F1200" i="16" a="1"/>
  <c r="G1200" i="16"/>
  <c r="F1201" i="16" a="1"/>
  <c r="G1201" i="16"/>
  <c r="F1202" i="16" a="1"/>
  <c r="G1202" i="16"/>
  <c r="F1203" i="16" a="1"/>
  <c r="G1203" i="16"/>
  <c r="F1204" i="16" a="1"/>
  <c r="G1204" i="16"/>
  <c r="F1205" i="16" a="1"/>
  <c r="G1205" i="16"/>
  <c r="F1206" i="16" a="1"/>
  <c r="G1206" i="16"/>
  <c r="F1207" i="16" a="1"/>
  <c r="G1207" i="16"/>
  <c r="F1208" i="16" a="1"/>
  <c r="G1208" i="16"/>
  <c r="F1209" i="16" a="1"/>
  <c r="G1209" i="16"/>
  <c r="F1210" i="16" a="1"/>
  <c r="G1210" i="16"/>
  <c r="F1211" i="16" a="1"/>
  <c r="G1211" i="16"/>
  <c r="F1212" i="16" a="1"/>
  <c r="G1212" i="16"/>
  <c r="F1213" i="16" a="1"/>
  <c r="G1213" i="16"/>
  <c r="F1214" i="16" a="1"/>
  <c r="G1214" i="16"/>
  <c r="F1215" i="16" a="1"/>
  <c r="G1215" i="16"/>
  <c r="F1216" i="16" a="1"/>
  <c r="G1216" i="16"/>
  <c r="F1217" i="16" a="1"/>
  <c r="G1217" i="16"/>
  <c r="F1218" i="16" a="1"/>
  <c r="G1218" i="16"/>
  <c r="F1219" i="16" a="1"/>
  <c r="G1219" i="16"/>
  <c r="F1220" i="16" a="1"/>
  <c r="G1220" i="16"/>
  <c r="F1221" i="16" a="1"/>
  <c r="G1221" i="16"/>
  <c r="F1222" i="16" a="1"/>
  <c r="G1222" i="16"/>
  <c r="F1223" i="16" a="1"/>
  <c r="G1223" i="16"/>
  <c r="F1224" i="16" a="1"/>
  <c r="G1224" i="16"/>
  <c r="F1225" i="16" a="1"/>
  <c r="G1225" i="16"/>
  <c r="F1226" i="16" a="1"/>
  <c r="G1226" i="16"/>
  <c r="F1227" i="16" a="1"/>
  <c r="G1227" i="16"/>
  <c r="F1228" i="16" a="1"/>
  <c r="G1228" i="16"/>
  <c r="F1229" i="16" a="1"/>
  <c r="G1229" i="16"/>
  <c r="F1230" i="16" a="1"/>
  <c r="G1230" i="16"/>
  <c r="F1231" i="16" a="1"/>
  <c r="G1231" i="16"/>
  <c r="F1232" i="16" a="1"/>
  <c r="G1232" i="16"/>
  <c r="F1233" i="16" a="1"/>
  <c r="G1233" i="16"/>
  <c r="F1234" i="16" a="1"/>
  <c r="G1234" i="16"/>
  <c r="F1235" i="16" a="1"/>
  <c r="G1235" i="16"/>
  <c r="F1236" i="16" a="1"/>
  <c r="G1236" i="16"/>
  <c r="F1237" i="16" a="1"/>
  <c r="G1237" i="16"/>
  <c r="F1238" i="16" a="1"/>
  <c r="G1238" i="16"/>
  <c r="F1239" i="16" a="1"/>
  <c r="G1239" i="16"/>
  <c r="F1240" i="16" a="1"/>
  <c r="G1240" i="16"/>
  <c r="F1241" i="16" a="1"/>
  <c r="G1241" i="16"/>
  <c r="F1242" i="16" a="1"/>
  <c r="G1242" i="16"/>
  <c r="F1243" i="16" a="1"/>
  <c r="G1243" i="16"/>
  <c r="F1244" i="16" a="1"/>
  <c r="G1244" i="16"/>
  <c r="F1245" i="16" a="1"/>
  <c r="G1245" i="16"/>
  <c r="F1246" i="16" a="1"/>
  <c r="G1246" i="16"/>
  <c r="F1247" i="16" a="1"/>
  <c r="G1247" i="16"/>
  <c r="F1248" i="16" a="1"/>
  <c r="G1248" i="16"/>
  <c r="F1249" i="16" a="1"/>
  <c r="G1249" i="16"/>
  <c r="F1250" i="16" a="1"/>
  <c r="G1250" i="16"/>
  <c r="F1251" i="16" a="1"/>
  <c r="G1251" i="16"/>
  <c r="F1252" i="16" a="1"/>
  <c r="G1252" i="16"/>
  <c r="F1253" i="16" a="1"/>
  <c r="G1253" i="16"/>
  <c r="F1254" i="16" a="1"/>
  <c r="G1254" i="16"/>
  <c r="F1255" i="16" a="1"/>
  <c r="F1256" i="16" a="1"/>
  <c r="F1257" i="16" a="1"/>
  <c r="F1258" i="16" a="1"/>
  <c r="F1259" i="16" a="1"/>
  <c r="F1260" i="16" a="1"/>
  <c r="F1261" i="16" a="1"/>
  <c r="F1262" i="16" a="1"/>
  <c r="F1263" i="16" a="1"/>
  <c r="F1264" i="16" a="1"/>
  <c r="F1265" i="16" a="1"/>
  <c r="F1266" i="16" a="1"/>
  <c r="F1267" i="16" a="1"/>
  <c r="F1268" i="16" a="1"/>
  <c r="F1269" i="16" a="1"/>
  <c r="F1270" i="16" a="1"/>
  <c r="F1271" i="16" a="1"/>
  <c r="F1272" i="16" a="1"/>
  <c r="F1273" i="16" a="1"/>
  <c r="F1274" i="16" a="1"/>
  <c r="F1275" i="16" a="1"/>
  <c r="F1276" i="16" a="1"/>
  <c r="F1277" i="16" a="1"/>
  <c r="F1278" i="16" a="1"/>
  <c r="F1279" i="16" a="1"/>
  <c r="F1280" i="16" a="1"/>
  <c r="F1281" i="16" a="1"/>
  <c r="F1282" i="16" a="1"/>
  <c r="F1283" i="16" a="1"/>
  <c r="F1284" i="16" a="1"/>
  <c r="F1285" i="16" a="1"/>
  <c r="F1286" i="16" a="1"/>
  <c r="F1287" i="16" a="1"/>
  <c r="F1288" i="16" a="1"/>
  <c r="F1289" i="16" a="1"/>
  <c r="F1290" i="16" a="1"/>
  <c r="F1291" i="16" a="1"/>
  <c r="F1292" i="16" a="1"/>
  <c r="F1293" i="16" a="1"/>
  <c r="F1294" i="16" a="1"/>
  <c r="F1295" i="16" a="1"/>
  <c r="F1296" i="16" a="1"/>
  <c r="F1297" i="16" a="1"/>
  <c r="F1298" i="16" a="1"/>
  <c r="F1299" i="16" a="1"/>
  <c r="F1300" i="16" a="1"/>
  <c r="G1300" i="16"/>
  <c r="F1301" i="16" a="1"/>
  <c r="G1301" i="16"/>
  <c r="F1302" i="16" a="1"/>
  <c r="G1302" i="16"/>
  <c r="F1303" i="16" a="1"/>
  <c r="G1303" i="16"/>
  <c r="F1304" i="16" a="1"/>
  <c r="G1304" i="16"/>
  <c r="F1305" i="16" a="1"/>
  <c r="G1305" i="16"/>
  <c r="F1306" i="16" a="1"/>
  <c r="G1306" i="16"/>
  <c r="F1307" i="16" a="1"/>
  <c r="G1307" i="16"/>
  <c r="F1308" i="16" a="1"/>
  <c r="G1308" i="16"/>
  <c r="F1309" i="16" a="1"/>
  <c r="G1309" i="16"/>
  <c r="F1310" i="16" a="1"/>
  <c r="G1310" i="16"/>
  <c r="F1311" i="16" a="1"/>
  <c r="G1311" i="16"/>
  <c r="F1312" i="16" a="1"/>
  <c r="G1312" i="16"/>
  <c r="F1313" i="16" a="1"/>
  <c r="G1313" i="16"/>
  <c r="F1314" i="16" a="1"/>
  <c r="G1314" i="16"/>
  <c r="F1315" i="16" a="1"/>
  <c r="G1315" i="16"/>
  <c r="F1316" i="16" a="1"/>
  <c r="G1316" i="16"/>
  <c r="F1317" i="16" a="1"/>
  <c r="G1317" i="16"/>
  <c r="F1318" i="16" a="1"/>
  <c r="G1318" i="16"/>
  <c r="F1319" i="16" a="1"/>
  <c r="G1319" i="16"/>
  <c r="F1320" i="16" a="1"/>
  <c r="G1320" i="16"/>
  <c r="F1321" i="16" a="1"/>
  <c r="G1321" i="16"/>
  <c r="F1322" i="16" a="1"/>
  <c r="G1322" i="16"/>
  <c r="F1323" i="16" a="1"/>
  <c r="G1323" i="16"/>
  <c r="F1324" i="16" a="1"/>
  <c r="G1324" i="16"/>
  <c r="F1325" i="16" a="1"/>
  <c r="G1325" i="16"/>
  <c r="F1326" i="16" a="1"/>
  <c r="G1326" i="16"/>
  <c r="F1327" i="16" a="1"/>
  <c r="G1327" i="16"/>
  <c r="F1328" i="16" a="1"/>
  <c r="G1328" i="16"/>
  <c r="F1329" i="16" a="1"/>
  <c r="G1329" i="16"/>
  <c r="F1330" i="16" a="1"/>
  <c r="G1330" i="16"/>
  <c r="F1331" i="16" a="1"/>
  <c r="G1331" i="16"/>
  <c r="F1332" i="16" a="1"/>
  <c r="G1332" i="16"/>
  <c r="F1333" i="16" a="1"/>
  <c r="G1333" i="16"/>
  <c r="F1334" i="16" a="1"/>
  <c r="G1334" i="16"/>
  <c r="F1335" i="16" a="1"/>
  <c r="G1335" i="16"/>
  <c r="F1336" i="16" a="1"/>
  <c r="G1336" i="16"/>
  <c r="F1337" i="16" a="1"/>
  <c r="G1337" i="16"/>
  <c r="F1338" i="16" a="1"/>
  <c r="G1338" i="16"/>
  <c r="F1339" i="16" a="1"/>
  <c r="G1339" i="16"/>
  <c r="F1340" i="16" a="1"/>
  <c r="G1340" i="16"/>
  <c r="F1341" i="16" a="1"/>
  <c r="G1341" i="16"/>
  <c r="F1342" i="16" a="1"/>
  <c r="G1342" i="16"/>
  <c r="F1343" i="16" a="1"/>
  <c r="G1343" i="16"/>
  <c r="F1344" i="16" a="1"/>
  <c r="G1344" i="16"/>
  <c r="F1345" i="16" a="1"/>
  <c r="G1345" i="16"/>
  <c r="F1346" i="16" a="1"/>
  <c r="G1346" i="16"/>
  <c r="F1347" i="16" a="1"/>
  <c r="G1347" i="16"/>
  <c r="F1348" i="16" a="1"/>
  <c r="G1348" i="16"/>
  <c r="F1349" i="16" a="1"/>
  <c r="G1349" i="16"/>
  <c r="F1350" i="16" a="1"/>
  <c r="G1350" i="16"/>
  <c r="F1351" i="16" a="1"/>
  <c r="G1351" i="16"/>
  <c r="F1352" i="16" a="1"/>
  <c r="G1352" i="16"/>
  <c r="F1353" i="16" a="1"/>
  <c r="G1353" i="16"/>
  <c r="F1354" i="16" a="1"/>
  <c r="G1354" i="16"/>
  <c r="F1355" i="16" a="1"/>
  <c r="G1355" i="16"/>
  <c r="F1356" i="16" a="1"/>
  <c r="G1356" i="16"/>
  <c r="F1357" i="16" a="1"/>
  <c r="G1357" i="16"/>
  <c r="F1358" i="16" a="1"/>
  <c r="G1358" i="16"/>
  <c r="F1359" i="16" a="1"/>
  <c r="G1359" i="16"/>
  <c r="F1360" i="16" a="1"/>
  <c r="G1360" i="16"/>
  <c r="F1361" i="16" a="1"/>
  <c r="G1361" i="16"/>
  <c r="F1362" i="16" a="1"/>
  <c r="G1362" i="16"/>
  <c r="F1363" i="16" a="1"/>
  <c r="G1363" i="16"/>
  <c r="F1364" i="16" a="1"/>
  <c r="G1364" i="16"/>
  <c r="F1365" i="16" a="1"/>
  <c r="G1365" i="16"/>
  <c r="F1366" i="16" a="1"/>
  <c r="G1366" i="16"/>
  <c r="F1367" i="16" a="1"/>
  <c r="G1367" i="16"/>
  <c r="F1368" i="16" a="1"/>
  <c r="G1368" i="16"/>
  <c r="F1369" i="16" a="1"/>
  <c r="G1369" i="16"/>
  <c r="F1370" i="16" a="1"/>
  <c r="G1370" i="16"/>
  <c r="F1371" i="16" a="1"/>
  <c r="G1371" i="16"/>
  <c r="F1372" i="16" a="1"/>
  <c r="G1372" i="16"/>
  <c r="F1373" i="16" a="1"/>
  <c r="G1373" i="16"/>
  <c r="F1374" i="16" a="1"/>
  <c r="G1374" i="16"/>
  <c r="F1375" i="16" a="1"/>
  <c r="G1375" i="16"/>
  <c r="F1376" i="16" a="1"/>
  <c r="G1376" i="16"/>
  <c r="F1377" i="16" a="1"/>
  <c r="G1377" i="16"/>
  <c r="F1378" i="16" a="1"/>
  <c r="G1378" i="16"/>
  <c r="F1379" i="16" a="1"/>
  <c r="G1379" i="16"/>
  <c r="F1380" i="16" a="1"/>
  <c r="G1380" i="16"/>
  <c r="F1381" i="16" a="1"/>
  <c r="G1381" i="16"/>
  <c r="F1382" i="16" a="1"/>
  <c r="G1382" i="16"/>
  <c r="F1383" i="16" a="1"/>
  <c r="G1383" i="16"/>
  <c r="F1384" i="16" a="1"/>
  <c r="G1384" i="16"/>
  <c r="F1385" i="16" a="1"/>
  <c r="G1385" i="16"/>
  <c r="F1386" i="16" a="1"/>
  <c r="G1386" i="16"/>
  <c r="F1387" i="16" a="1"/>
  <c r="G1387" i="16"/>
  <c r="F1388" i="16" a="1"/>
  <c r="G1388" i="16"/>
  <c r="F1389" i="16" a="1"/>
  <c r="G1389" i="16"/>
  <c r="F1390" i="16" a="1"/>
  <c r="G1390" i="16"/>
  <c r="F1391" i="16" a="1"/>
  <c r="G1391" i="16"/>
  <c r="F1392" i="16" a="1"/>
  <c r="G1392" i="16"/>
  <c r="F1393" i="16" a="1"/>
  <c r="G1393" i="16"/>
  <c r="F1394" i="16" a="1"/>
  <c r="G1394" i="16"/>
  <c r="F1395" i="16" a="1"/>
  <c r="G1395" i="16"/>
  <c r="F1396" i="16" a="1"/>
  <c r="G1396" i="16"/>
  <c r="F1397" i="16" a="1"/>
  <c r="G1397" i="16"/>
  <c r="F1398" i="16" a="1"/>
  <c r="G1398" i="16"/>
  <c r="F1399" i="16" a="1"/>
  <c r="F1400" i="16" a="1"/>
  <c r="F1401" i="16" a="1"/>
  <c r="F1402" i="16" a="1"/>
  <c r="F1403" i="16" a="1"/>
  <c r="F1404" i="16" a="1"/>
  <c r="F1405" i="16" a="1"/>
  <c r="F1406" i="16" a="1"/>
  <c r="F1407" i="16" a="1"/>
  <c r="F1408" i="16" a="1"/>
  <c r="F1409" i="16" a="1"/>
  <c r="F1410" i="16" a="1"/>
  <c r="F1411" i="16" a="1"/>
  <c r="F1412" i="16" a="1"/>
  <c r="F1413" i="16" a="1"/>
  <c r="F1414" i="16" a="1"/>
  <c r="F1415" i="16" a="1"/>
  <c r="F1416" i="16" a="1"/>
  <c r="F1417" i="16" a="1"/>
  <c r="F1418" i="16" a="1"/>
  <c r="F1419" i="16" a="1"/>
  <c r="F1420" i="16" a="1"/>
  <c r="F1421" i="16" a="1"/>
  <c r="F1422" i="16" a="1"/>
  <c r="F1423" i="16" a="1"/>
  <c r="F1424" i="16" a="1"/>
  <c r="F1425" i="16" a="1"/>
  <c r="F1426" i="16" a="1"/>
  <c r="F1427" i="16" a="1"/>
  <c r="F1428" i="16" a="1"/>
  <c r="F1429" i="16" a="1"/>
  <c r="F1430" i="16" a="1"/>
  <c r="F1431" i="16" a="1"/>
  <c r="F1432" i="16" a="1"/>
  <c r="F1433" i="16" a="1"/>
  <c r="F1434" i="16" a="1"/>
  <c r="F1435" i="16" a="1"/>
  <c r="F1436" i="16" a="1"/>
  <c r="G1436" i="16"/>
  <c r="F1437" i="16" a="1"/>
  <c r="F1438" i="16" a="1"/>
  <c r="F1439" i="16" a="1"/>
  <c r="F1440" i="16" a="1"/>
  <c r="F1441" i="16" a="1"/>
  <c r="F1442" i="16" a="1"/>
  <c r="F1443" i="16" a="1"/>
  <c r="F1444" i="16" a="1"/>
  <c r="G1444" i="16"/>
  <c r="F1445" i="16" a="1"/>
  <c r="G1445" i="16"/>
  <c r="F1446" i="16" a="1"/>
  <c r="G1446" i="16"/>
  <c r="F1447" i="16" a="1"/>
  <c r="G1447" i="16"/>
  <c r="F1448" i="16" a="1"/>
  <c r="G1448" i="16"/>
  <c r="F1449" i="16" a="1"/>
  <c r="G1449" i="16"/>
  <c r="F1450" i="16" a="1"/>
  <c r="G1450" i="16"/>
  <c r="F1451" i="16" a="1"/>
  <c r="G1451" i="16"/>
  <c r="F1452" i="16" a="1"/>
  <c r="G1452" i="16"/>
  <c r="F1453" i="16" a="1"/>
  <c r="G1453" i="16"/>
  <c r="F1454" i="16" a="1"/>
  <c r="G1454" i="16"/>
  <c r="F1455" i="16" a="1"/>
  <c r="G1455" i="16"/>
  <c r="F1456" i="16" a="1"/>
  <c r="G1456" i="16"/>
  <c r="F1457" i="16" a="1"/>
  <c r="G1457" i="16"/>
  <c r="F1458" i="16" a="1"/>
  <c r="G1458" i="16"/>
  <c r="F1459" i="16" a="1"/>
  <c r="G1459" i="16"/>
  <c r="F1460" i="16" a="1"/>
  <c r="G1460" i="16"/>
  <c r="F1461" i="16" a="1"/>
  <c r="G1461" i="16"/>
  <c r="F1462" i="16" a="1"/>
  <c r="G1462" i="16"/>
  <c r="F1463" i="16" a="1"/>
  <c r="G1463" i="16"/>
  <c r="F1464" i="16" a="1"/>
  <c r="G1464" i="16"/>
  <c r="F1465" i="16" a="1"/>
  <c r="G1465" i="16"/>
  <c r="F1466" i="16" a="1"/>
  <c r="G1466" i="16"/>
  <c r="F1467" i="16" a="1"/>
  <c r="G1467" i="16"/>
  <c r="F1468" i="16" a="1"/>
  <c r="G1468" i="16"/>
  <c r="F1469" i="16" a="1"/>
  <c r="G1469" i="16"/>
  <c r="F1470" i="16" a="1"/>
  <c r="G1470" i="16"/>
  <c r="F1471" i="16" a="1"/>
  <c r="G1471" i="16"/>
  <c r="F1472" i="16" a="1"/>
  <c r="G1472" i="16"/>
  <c r="F1473" i="16" a="1"/>
  <c r="G1473" i="16"/>
  <c r="F1474" i="16" a="1"/>
  <c r="G1474" i="16"/>
  <c r="F1475" i="16" a="1"/>
  <c r="G1475" i="16"/>
  <c r="F1476" i="16" a="1"/>
  <c r="G1476" i="16"/>
  <c r="F1477" i="16" a="1"/>
  <c r="G1477" i="16"/>
  <c r="F1478" i="16" a="1"/>
  <c r="G1478" i="16"/>
  <c r="F1479" i="16" a="1"/>
  <c r="G1479" i="16"/>
  <c r="F1480" i="16" a="1"/>
  <c r="G1480" i="16"/>
  <c r="F1481" i="16" a="1"/>
  <c r="G1481" i="16"/>
  <c r="F1482" i="16" a="1"/>
  <c r="G1482" i="16"/>
  <c r="F1483" i="16" a="1"/>
  <c r="G1483" i="16"/>
  <c r="F1484" i="16" a="1"/>
  <c r="G1484" i="16"/>
  <c r="F1485" i="16" a="1"/>
  <c r="G1485" i="16"/>
  <c r="F1486" i="16" a="1"/>
  <c r="G1486" i="16"/>
  <c r="F1487" i="16" a="1"/>
  <c r="G1487" i="16"/>
  <c r="F1488" i="16" a="1"/>
  <c r="G1488" i="16"/>
  <c r="F1489" i="16" a="1"/>
  <c r="G1489" i="16"/>
  <c r="F1490" i="16" a="1"/>
  <c r="G1490" i="16"/>
  <c r="F1491" i="16" a="1"/>
  <c r="G1491" i="16"/>
  <c r="F1492" i="16" a="1"/>
  <c r="G1492" i="16"/>
  <c r="F1493" i="16" a="1"/>
  <c r="G1493" i="16"/>
  <c r="F1494" i="16" a="1"/>
  <c r="G1494" i="16"/>
  <c r="F1495" i="16" a="1"/>
  <c r="G1495" i="16"/>
  <c r="F1496" i="16" a="1"/>
  <c r="G1496" i="16"/>
  <c r="F1497" i="16" a="1"/>
  <c r="G1497" i="16"/>
  <c r="F1498" i="16" a="1"/>
  <c r="G1498" i="16"/>
  <c r="F1499" i="16" a="1"/>
  <c r="G1499" i="16"/>
  <c r="F1500" i="16" a="1"/>
  <c r="G1500" i="16"/>
  <c r="F1501" i="16" a="1"/>
  <c r="G1501" i="16"/>
  <c r="F1502" i="16" a="1"/>
  <c r="G1502" i="16"/>
  <c r="F1503" i="16" a="1"/>
  <c r="G1503" i="16"/>
  <c r="F1504" i="16" a="1"/>
  <c r="G1504" i="16"/>
  <c r="F1505" i="16" a="1"/>
  <c r="G1505" i="16"/>
  <c r="F1506" i="16" a="1"/>
  <c r="G1506" i="16"/>
  <c r="F1507" i="16" a="1"/>
  <c r="G1507" i="16"/>
  <c r="F1508" i="16" a="1"/>
  <c r="G1508" i="16"/>
  <c r="F1509" i="16" a="1"/>
  <c r="G1509" i="16"/>
  <c r="F1510" i="16" a="1"/>
  <c r="G1510" i="16"/>
  <c r="F1511" i="16" a="1"/>
  <c r="G1511" i="16"/>
  <c r="F1512" i="16" a="1"/>
  <c r="G1512" i="16"/>
  <c r="F1513" i="16" a="1"/>
  <c r="G1513" i="16"/>
  <c r="F1514" i="16" a="1"/>
  <c r="G1514" i="16"/>
  <c r="F1515" i="16" a="1"/>
  <c r="G1515" i="16"/>
  <c r="F1516" i="16" a="1"/>
  <c r="G1516" i="16"/>
  <c r="F1517" i="16" a="1"/>
  <c r="G1517" i="16"/>
  <c r="F1518" i="16" a="1"/>
  <c r="G1518" i="16"/>
  <c r="F1519" i="16" a="1"/>
  <c r="G1519" i="16"/>
  <c r="F1520" i="16" a="1"/>
  <c r="G1520" i="16"/>
  <c r="F1521" i="16" a="1"/>
  <c r="G1521" i="16"/>
  <c r="F1522" i="16" a="1"/>
  <c r="G1522" i="16"/>
  <c r="F1523" i="16" a="1"/>
  <c r="G1523" i="16"/>
  <c r="F1524" i="16" a="1"/>
  <c r="G1524" i="16"/>
  <c r="F1525" i="16" a="1"/>
  <c r="G1525" i="16"/>
  <c r="F1526" i="16" a="1"/>
  <c r="G1526" i="16"/>
  <c r="F1527" i="16" a="1"/>
  <c r="G1527" i="16"/>
  <c r="F1528" i="16" a="1"/>
  <c r="G1528" i="16"/>
  <c r="F1529" i="16" a="1"/>
  <c r="G1529" i="16"/>
  <c r="F1530" i="16" a="1"/>
  <c r="G1530" i="16"/>
  <c r="F1531" i="16" a="1"/>
  <c r="G1531" i="16"/>
  <c r="F1532" i="16" a="1"/>
  <c r="G1532" i="16"/>
  <c r="F1533" i="16" a="1"/>
  <c r="G1533" i="16"/>
  <c r="F1534" i="16" a="1"/>
  <c r="G1534" i="16"/>
  <c r="F1535" i="16" a="1"/>
  <c r="G1535" i="16"/>
  <c r="F1536" i="16" a="1"/>
  <c r="G1536" i="16"/>
  <c r="F1537" i="16" a="1"/>
  <c r="G1537" i="16"/>
  <c r="F1538" i="16" a="1"/>
  <c r="G1538" i="16"/>
  <c r="F1539" i="16" a="1"/>
  <c r="G1539" i="16"/>
  <c r="F1540" i="16" a="1"/>
  <c r="G1540" i="16"/>
  <c r="F1541" i="16" a="1"/>
  <c r="G1541" i="16"/>
  <c r="F1542" i="16" a="1"/>
  <c r="G1542" i="16"/>
  <c r="F1543" i="16" a="1"/>
  <c r="G1543" i="16"/>
  <c r="F1544" i="16" a="1"/>
  <c r="G1544" i="16"/>
  <c r="F1545" i="16" a="1"/>
  <c r="G1545" i="16"/>
  <c r="F1546" i="16" a="1"/>
  <c r="G1546" i="16"/>
  <c r="F1547" i="16" a="1"/>
  <c r="F1548" i="16" a="1"/>
  <c r="F1549" i="16" a="1"/>
  <c r="F1550" i="16" a="1"/>
  <c r="F1551" i="16" a="1"/>
  <c r="F1552" i="16" a="1"/>
  <c r="F1553" i="16" a="1"/>
  <c r="F1554" i="16" a="1"/>
  <c r="F1555" i="16" a="1"/>
  <c r="F1556" i="16" a="1"/>
  <c r="F1557" i="16" a="1"/>
  <c r="F1558" i="16" a="1"/>
  <c r="F1559" i="16" a="1"/>
  <c r="F1560" i="16" a="1"/>
  <c r="F1561" i="16" a="1"/>
  <c r="F1562" i="16" a="1"/>
  <c r="F1563" i="16" a="1"/>
  <c r="F1564" i="16" a="1"/>
  <c r="F1565" i="16" a="1"/>
  <c r="F1566" i="16" a="1"/>
  <c r="F1567" i="16" a="1"/>
  <c r="F1568" i="16" a="1"/>
  <c r="F1569" i="16" a="1"/>
  <c r="F1570" i="16" a="1"/>
  <c r="F1571" i="16" a="1"/>
  <c r="F1572" i="16" a="1"/>
  <c r="F1573" i="16" a="1"/>
  <c r="F1574" i="16" a="1"/>
  <c r="F1575" i="16" a="1"/>
  <c r="F1576" i="16" a="1"/>
  <c r="F1577" i="16" a="1"/>
  <c r="F1578" i="16" a="1"/>
  <c r="F1579" i="16" a="1"/>
  <c r="F1580" i="16" a="1"/>
  <c r="F1581" i="16" a="1"/>
  <c r="F1582" i="16" a="1"/>
  <c r="F1583" i="16" a="1"/>
  <c r="F1584" i="16" a="1"/>
  <c r="F1585" i="16" a="1"/>
  <c r="F1586" i="16" a="1"/>
  <c r="F1587" i="16" a="1"/>
  <c r="G1587" i="16"/>
  <c r="F1588" i="16" a="1"/>
  <c r="G1588" i="16"/>
  <c r="F1589" i="16" a="1"/>
  <c r="G1589" i="16"/>
  <c r="F1590" i="16" a="1"/>
  <c r="G1590" i="16"/>
  <c r="F1591" i="16" a="1"/>
  <c r="G1591" i="16"/>
  <c r="F1592" i="16" a="1"/>
  <c r="G1592" i="16"/>
  <c r="F1593" i="16" a="1"/>
  <c r="G1593" i="16"/>
  <c r="F1594" i="16" a="1"/>
  <c r="G1594" i="16"/>
  <c r="F1595" i="16" a="1"/>
  <c r="G1595" i="16"/>
  <c r="F1596" i="16" a="1"/>
  <c r="G1596" i="16"/>
  <c r="F1597" i="16" a="1"/>
  <c r="G1597" i="16"/>
  <c r="F1598" i="16" a="1"/>
  <c r="G1598" i="16"/>
  <c r="F1599" i="16" a="1"/>
  <c r="G1599" i="16"/>
  <c r="F1600" i="16" a="1"/>
  <c r="G1600" i="16"/>
  <c r="F1601" i="16" a="1"/>
  <c r="G1601" i="16"/>
  <c r="F1602" i="16" a="1"/>
  <c r="G1602" i="16"/>
  <c r="F1603" i="16" a="1"/>
  <c r="G1603" i="16"/>
  <c r="F1604" i="16" a="1"/>
  <c r="G1604" i="16"/>
  <c r="F1605" i="16" a="1"/>
  <c r="G1605" i="16"/>
  <c r="F1606" i="16" a="1"/>
  <c r="G1606" i="16"/>
  <c r="F1607" i="16" a="1"/>
  <c r="G1607" i="16"/>
  <c r="F1608" i="16" a="1"/>
  <c r="G1608" i="16"/>
  <c r="F1609" i="16" a="1"/>
  <c r="G1609" i="16"/>
  <c r="F1610" i="16" a="1"/>
  <c r="G1610" i="16"/>
  <c r="F1611" i="16" a="1"/>
  <c r="G1611" i="16"/>
  <c r="F1612" i="16" a="1"/>
  <c r="G1612" i="16"/>
  <c r="F1613" i="16" a="1"/>
  <c r="G1613" i="16"/>
  <c r="F1614" i="16" a="1"/>
  <c r="G1614" i="16"/>
  <c r="F1615" i="16" a="1"/>
  <c r="G1615" i="16"/>
  <c r="F1616" i="16" a="1"/>
  <c r="G1616" i="16"/>
  <c r="F1617" i="16" a="1"/>
  <c r="G1617" i="16"/>
  <c r="F1618" i="16" a="1"/>
  <c r="G1618" i="16"/>
  <c r="F1619" i="16" a="1"/>
  <c r="G1619" i="16"/>
  <c r="F1620" i="16" a="1"/>
  <c r="G1620" i="16"/>
  <c r="F1621" i="16" a="1"/>
  <c r="G1621" i="16"/>
  <c r="F1622" i="16" a="1"/>
  <c r="G1622" i="16"/>
  <c r="F1623" i="16" a="1"/>
  <c r="G1623" i="16"/>
  <c r="F1624" i="16" a="1"/>
  <c r="G1624" i="16"/>
  <c r="F1625" i="16" a="1"/>
  <c r="G1625" i="16"/>
  <c r="F1626" i="16" a="1"/>
  <c r="G1626" i="16"/>
  <c r="F1627" i="16" a="1"/>
  <c r="G1627" i="16"/>
  <c r="F1628" i="16" a="1"/>
  <c r="G1628" i="16"/>
  <c r="F1629" i="16" a="1"/>
  <c r="G1629" i="16"/>
  <c r="F1630" i="16" a="1"/>
  <c r="G1630" i="16"/>
  <c r="F1631" i="16" a="1"/>
  <c r="G1631" i="16"/>
  <c r="F1632" i="16" a="1"/>
  <c r="G1632" i="16"/>
  <c r="F1633" i="16" a="1"/>
  <c r="G1633" i="16"/>
  <c r="F1634" i="16" a="1"/>
  <c r="G1634" i="16"/>
  <c r="F1635" i="16" a="1"/>
  <c r="G1635" i="16"/>
  <c r="F1636" i="16" a="1"/>
  <c r="G1636" i="16"/>
  <c r="F1637" i="16" a="1"/>
  <c r="G1637" i="16"/>
  <c r="F1638" i="16" a="1"/>
  <c r="G1638" i="16"/>
  <c r="F1639" i="16" a="1"/>
  <c r="G1639" i="16"/>
  <c r="F1640" i="16" a="1"/>
  <c r="G1640" i="16"/>
  <c r="F1641" i="16" a="1"/>
  <c r="G1641" i="16"/>
  <c r="F1642" i="16" a="1"/>
  <c r="G1642" i="16"/>
  <c r="F1643" i="16" a="1"/>
  <c r="G1643" i="16"/>
  <c r="F1644" i="16" a="1"/>
  <c r="G1644" i="16"/>
  <c r="F1645" i="16" a="1"/>
  <c r="G1645" i="16"/>
  <c r="F1646" i="16" a="1"/>
  <c r="G1646" i="16"/>
  <c r="F1647" i="16" a="1"/>
  <c r="G1647" i="16"/>
  <c r="F1648" i="16" a="1"/>
  <c r="G1648" i="16"/>
  <c r="F1649" i="16" a="1"/>
  <c r="G1649" i="16"/>
  <c r="F1650" i="16" a="1"/>
  <c r="G1650" i="16"/>
  <c r="F1651" i="16" a="1"/>
  <c r="G1651" i="16"/>
  <c r="F1652" i="16" a="1"/>
  <c r="G1652" i="16"/>
  <c r="F1653" i="16" a="1"/>
  <c r="G1653" i="16"/>
  <c r="F1654" i="16" a="1"/>
  <c r="G1654" i="16"/>
  <c r="F1655" i="16" a="1"/>
  <c r="G1655" i="16"/>
  <c r="F1656" i="16" a="1"/>
  <c r="G1656" i="16"/>
  <c r="F1657" i="16" a="1"/>
  <c r="G1657" i="16"/>
  <c r="F1658" i="16" a="1"/>
  <c r="G1658" i="16"/>
  <c r="F1659" i="16" a="1"/>
  <c r="G1659" i="16"/>
  <c r="F1660" i="16" a="1"/>
  <c r="G1660" i="16"/>
  <c r="F1661" i="16" a="1"/>
  <c r="G1661" i="16"/>
  <c r="F1662" i="16" a="1"/>
  <c r="G1662" i="16"/>
  <c r="F1663" i="16" a="1"/>
  <c r="G1663" i="16"/>
  <c r="F1664" i="16" a="1"/>
  <c r="G1664" i="16"/>
  <c r="F1665" i="16" a="1"/>
  <c r="G1665" i="16"/>
  <c r="F1666" i="16" a="1"/>
  <c r="G1666" i="16"/>
  <c r="F1667" i="16" a="1"/>
  <c r="G1667" i="16"/>
  <c r="F1668" i="16" a="1"/>
  <c r="G1668" i="16"/>
  <c r="F1669" i="16" a="1"/>
  <c r="G1669" i="16"/>
  <c r="F1670" i="16" a="1"/>
  <c r="G1670" i="16"/>
  <c r="F1671" i="16" a="1"/>
  <c r="G1671" i="16"/>
  <c r="F1672" i="16" a="1"/>
  <c r="G1672" i="16"/>
  <c r="F1673" i="16" a="1"/>
  <c r="G1673" i="16"/>
  <c r="F1674" i="16" a="1"/>
  <c r="G1674" i="16"/>
  <c r="F1675" i="16" a="1"/>
  <c r="G1675" i="16"/>
  <c r="F1676" i="16" a="1"/>
  <c r="G1676" i="16"/>
  <c r="F1677" i="16" a="1"/>
  <c r="G1677" i="16"/>
  <c r="F1678" i="16" a="1"/>
  <c r="G1678" i="16"/>
  <c r="F1679" i="16" a="1"/>
  <c r="G1679" i="16"/>
  <c r="F1680" i="16" a="1"/>
  <c r="G1680" i="16"/>
  <c r="F1681" i="16" a="1"/>
  <c r="G1681" i="16"/>
  <c r="F1682" i="16" a="1"/>
  <c r="G1682" i="16"/>
  <c r="F1683" i="16" a="1"/>
  <c r="G1683" i="16"/>
  <c r="F1684" i="16" a="1"/>
  <c r="G1684" i="16"/>
  <c r="F1685" i="16" a="1"/>
  <c r="G1685" i="16"/>
  <c r="F1686" i="16" a="1"/>
  <c r="G1686" i="16"/>
  <c r="F1687" i="16" a="1"/>
  <c r="G1687" i="16"/>
  <c r="F1688" i="16" a="1"/>
  <c r="G1688" i="16"/>
  <c r="F1689" i="16" a="1"/>
  <c r="G1689" i="16"/>
  <c r="F1690" i="16" a="1"/>
  <c r="G1690" i="16"/>
  <c r="F1691" i="16" a="1"/>
  <c r="F1692" i="16" a="1"/>
  <c r="F1693" i="16" a="1"/>
  <c r="F1694" i="16" a="1"/>
  <c r="F1695" i="16" a="1"/>
  <c r="F1696" i="16" a="1"/>
  <c r="F1697" i="16" a="1"/>
  <c r="F1698" i="16" a="1"/>
  <c r="F1699" i="16" a="1"/>
  <c r="F1700" i="16" a="1"/>
  <c r="F1701" i="16" a="1"/>
  <c r="F1702" i="16" a="1"/>
  <c r="F1703" i="16" a="1"/>
  <c r="F1704" i="16" a="1"/>
  <c r="F1705" i="16" a="1"/>
  <c r="G5" i="16"/>
  <c r="F5" i="16" a="1"/>
  <c r="D131" i="11"/>
  <c r="C131" i="11"/>
  <c r="D129" i="11" a="1"/>
  <c r="C129" i="11"/>
  <c r="B129" i="11"/>
  <c r="D128" i="11" a="1"/>
  <c r="C128" i="11"/>
  <c r="B128" i="11"/>
  <c r="D127" i="11" a="1"/>
  <c r="C127" i="11"/>
  <c r="B127" i="11"/>
  <c r="D126" i="11" a="1"/>
  <c r="C126" i="11"/>
  <c r="B126" i="11"/>
  <c r="I10" i="11"/>
  <c r="J10" i="11"/>
  <c r="K10" i="11"/>
  <c r="I11" i="11"/>
  <c r="I12" i="11"/>
  <c r="I13" i="11"/>
  <c r="J13" i="11"/>
  <c r="I14" i="11"/>
  <c r="I15" i="11"/>
  <c r="I16" i="11"/>
  <c r="I17" i="11"/>
  <c r="I18" i="11"/>
  <c r="I19" i="11"/>
  <c r="J19" i="11"/>
  <c r="I20" i="11"/>
  <c r="I21" i="11"/>
  <c r="I22" i="11"/>
  <c r="I23" i="11"/>
  <c r="I24" i="11"/>
  <c r="I25" i="11"/>
  <c r="I26" i="11"/>
  <c r="I27" i="11"/>
  <c r="I28" i="11"/>
  <c r="J28" i="11"/>
  <c r="I29" i="11"/>
  <c r="I30" i="11"/>
  <c r="I31" i="11"/>
  <c r="I32" i="11"/>
  <c r="I33" i="11"/>
  <c r="I34" i="11"/>
  <c r="I35" i="11"/>
  <c r="I36" i="11"/>
  <c r="I37" i="11"/>
  <c r="I38" i="11"/>
  <c r="J38" i="11"/>
  <c r="K38" i="11"/>
  <c r="I39" i="11"/>
  <c r="J39" i="11"/>
  <c r="K39" i="11"/>
  <c r="I40" i="11"/>
  <c r="J40" i="11"/>
  <c r="K40" i="11"/>
  <c r="I41" i="11"/>
  <c r="J41" i="11"/>
  <c r="K41" i="11"/>
  <c r="I42" i="11"/>
  <c r="J42" i="11"/>
  <c r="K42" i="11"/>
  <c r="I43" i="11"/>
  <c r="J43" i="11"/>
  <c r="K43" i="11"/>
  <c r="I44" i="11"/>
  <c r="J44" i="11"/>
  <c r="K44" i="11"/>
  <c r="I45" i="11"/>
  <c r="J45" i="11"/>
  <c r="K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J67" i="11"/>
  <c r="K67" i="11"/>
  <c r="I68" i="11"/>
  <c r="J68" i="11"/>
  <c r="K68" i="11"/>
  <c r="I69" i="11"/>
  <c r="J69" i="11"/>
  <c r="K69" i="11"/>
  <c r="I70" i="11"/>
  <c r="J70" i="11"/>
  <c r="K70" i="11"/>
  <c r="I71" i="11"/>
  <c r="J71" i="11"/>
  <c r="K71" i="11"/>
  <c r="I72" i="11"/>
  <c r="J72" i="11"/>
  <c r="K72" i="11"/>
  <c r="I73" i="11"/>
  <c r="J73" i="11"/>
  <c r="K73" i="11"/>
  <c r="I74" i="11"/>
  <c r="J74" i="11"/>
  <c r="K74" i="11"/>
  <c r="I75" i="11"/>
  <c r="J75" i="11"/>
  <c r="K75" i="11"/>
  <c r="I76" i="11"/>
  <c r="J76" i="11"/>
  <c r="K76" i="11"/>
  <c r="I77" i="11"/>
  <c r="J77" i="11"/>
  <c r="K77" i="11"/>
  <c r="I78" i="11"/>
  <c r="J78" i="11"/>
  <c r="K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J95" i="11"/>
  <c r="K95" i="11"/>
  <c r="I96" i="11"/>
  <c r="J96" i="11"/>
  <c r="K96" i="11"/>
  <c r="I97" i="11"/>
  <c r="J97" i="11"/>
  <c r="K97" i="11"/>
  <c r="I98" i="11"/>
  <c r="J98" i="11"/>
  <c r="K98" i="11"/>
  <c r="I99" i="11"/>
  <c r="J99" i="11"/>
  <c r="K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K9" i="11"/>
  <c r="J9" i="11"/>
  <c r="I9" i="11"/>
  <c r="K11" i="5"/>
  <c r="J11" i="5" a="1"/>
  <c r="K10" i="5"/>
  <c r="J10" i="5" a="1"/>
  <c r="K9" i="5"/>
  <c r="J9" i="5" a="1"/>
  <c r="K8" i="5"/>
  <c r="J8" i="5" a="1"/>
  <c r="K7" i="5"/>
  <c r="J7" i="5" a="1"/>
  <c r="K6" i="5"/>
  <c r="J6" i="5" a="1"/>
  <c r="C13" i="5"/>
  <c r="L5" i="5"/>
  <c r="K5" i="5"/>
  <c r="J5" i="5" a="1"/>
  <c r="F5" i="5"/>
  <c r="C6" i="12"/>
  <c r="I10" i="10"/>
  <c r="G10" i="10"/>
  <c r="F10" i="10"/>
  <c r="E10" i="10"/>
  <c r="D10" i="10"/>
  <c r="G10" i="9"/>
  <c r="F10" i="9"/>
  <c r="E10" i="9"/>
  <c r="E14" i="8"/>
  <c r="E12" i="8"/>
  <c r="E10" i="8"/>
  <c r="E9" i="8"/>
  <c r="E8" i="8"/>
  <c r="E12" i="6"/>
  <c r="E11" i="6"/>
  <c r="E9" i="6"/>
  <c r="C12" i="6"/>
  <c r="C11" i="6"/>
  <c r="C13" i="15"/>
  <c r="C9" i="3"/>
  <c r="C7" i="2"/>
  <c r="C64" i="1"/>
  <c r="C18" i="13"/>
  <c r="C13" i="13"/>
  <c r="C12" i="13"/>
  <c r="C11" i="13"/>
  <c r="C27" i="12"/>
  <c r="C26" i="12"/>
  <c r="C25" i="12"/>
  <c r="C24" i="12"/>
  <c r="C23" i="12"/>
  <c r="C32" i="7"/>
  <c r="C31" i="7"/>
  <c r="C16" i="7"/>
  <c r="C15" i="7"/>
  <c r="C14" i="7"/>
  <c r="C13" i="7"/>
  <c r="G5" i="4"/>
  <c r="F5" i="4"/>
  <c r="C13" i="3"/>
  <c r="C84" i="1"/>
  <c r="F79" i="1"/>
  <c r="F78" i="1"/>
  <c r="F77" i="1"/>
  <c r="C63" i="1"/>
  <c r="F41" i="1"/>
  <c r="F40" i="1"/>
  <c r="F36" i="1"/>
  <c r="F35" i="1"/>
  <c r="F34" i="1"/>
  <c r="C33" i="1"/>
  <c r="C32" i="1"/>
  <c r="F30" i="1"/>
  <c r="F27" i="1"/>
  <c r="F26" i="1"/>
  <c r="F25" i="1"/>
  <c r="C21" i="1"/>
  <c r="F19" i="1"/>
  <c r="C19" i="1"/>
  <c r="F18" i="1"/>
  <c r="F16" i="1"/>
  <c r="C16" i="1"/>
  <c r="F15" i="1"/>
  <c r="F14" i="1"/>
  <c r="C14" i="1"/>
  <c r="F13" i="1"/>
  <c r="C13" i="1"/>
  <c r="F12" i="1"/>
  <c r="C12" i="1"/>
  <c r="F11" i="1"/>
  <c r="C11" i="1"/>
  <c r="C9" i="1"/>
  <c r="C8" i="1"/>
  <c r="G10" i="16" l="1"/>
  <c r="G15" i="16"/>
  <c r="G19" i="16"/>
  <c r="G23" i="16"/>
  <c r="G28" i="16"/>
  <c r="G33" i="16"/>
  <c r="G38" i="16"/>
  <c r="G43" i="16"/>
  <c r="G48" i="16"/>
  <c r="G53" i="16"/>
  <c r="G57" i="16"/>
  <c r="G58" i="16"/>
  <c r="G67" i="16"/>
  <c r="G72" i="16"/>
  <c r="G77" i="16"/>
  <c r="G82" i="16"/>
  <c r="G87" i="16"/>
  <c r="G92" i="16"/>
  <c r="G97" i="16"/>
  <c r="G102" i="16"/>
  <c r="G111" i="16"/>
  <c r="G112" i="16"/>
  <c r="G116" i="16"/>
  <c r="G117" i="16"/>
  <c r="G126" i="16"/>
  <c r="G131" i="16"/>
  <c r="G136" i="16"/>
  <c r="G141" i="16"/>
  <c r="G146" i="16"/>
  <c r="G183" i="16"/>
  <c r="G189" i="16"/>
  <c r="G195" i="16"/>
  <c r="G201" i="16"/>
  <c r="G207" i="16"/>
  <c r="G212" i="16"/>
  <c r="G218" i="16"/>
  <c r="G224" i="16"/>
  <c r="G230" i="16"/>
  <c r="G236" i="16"/>
  <c r="G242" i="16"/>
  <c r="G248" i="16"/>
  <c r="G254" i="16"/>
  <c r="G260" i="16"/>
  <c r="G266" i="16"/>
  <c r="G271" i="16"/>
  <c r="G272" i="16"/>
  <c r="G277" i="16"/>
  <c r="G278" i="16"/>
  <c r="G283" i="16"/>
  <c r="G284" i="16"/>
  <c r="G289" i="16"/>
  <c r="G290" i="16"/>
  <c r="G354" i="16"/>
  <c r="G361" i="16"/>
  <c r="G368" i="16"/>
  <c r="G375" i="16"/>
  <c r="G382" i="16"/>
  <c r="G389" i="16"/>
  <c r="G396" i="16"/>
  <c r="G403" i="16"/>
  <c r="G409" i="16"/>
  <c r="G419" i="16"/>
  <c r="G426" i="16"/>
  <c r="G427" i="16"/>
  <c r="G501" i="16"/>
  <c r="G509" i="16"/>
  <c r="G517" i="16"/>
  <c r="G525" i="16"/>
  <c r="G533" i="16"/>
  <c r="G541" i="16"/>
  <c r="G549" i="16"/>
  <c r="G557" i="16"/>
  <c r="G565" i="16"/>
  <c r="G573" i="16"/>
  <c r="G663" i="16"/>
  <c r="G672" i="16"/>
  <c r="G681" i="16"/>
  <c r="G690" i="16"/>
  <c r="G699" i="16"/>
  <c r="G708" i="16"/>
  <c r="G717" i="16"/>
  <c r="G810" i="16"/>
  <c r="G820" i="16"/>
  <c r="G830" i="16"/>
  <c r="G840" i="16"/>
  <c r="G859" i="16"/>
  <c r="G958" i="16"/>
  <c r="G959" i="16"/>
  <c r="G969" i="16"/>
  <c r="G970" i="16"/>
  <c r="G1011" i="16"/>
  <c r="G1117" i="16"/>
  <c r="G1118" i="16"/>
  <c r="G1141" i="16"/>
  <c r="G1153" i="16"/>
  <c r="G1266" i="16"/>
  <c r="G1267" i="16"/>
  <c r="G1280" i="16"/>
  <c r="G1406" i="16"/>
  <c r="G1420" i="16"/>
  <c r="G1550" i="16"/>
  <c r="G1551" i="16"/>
  <c r="G1565" i="16"/>
  <c r="G1578" i="16"/>
  <c r="G1579" i="16"/>
  <c r="G149" i="16"/>
  <c r="G181" i="16"/>
  <c r="G182" i="16"/>
  <c r="G188" i="16"/>
  <c r="G194" i="16"/>
  <c r="G200" i="16"/>
  <c r="G206" i="16"/>
  <c r="G211" i="16"/>
  <c r="G217" i="16"/>
  <c r="G223" i="16"/>
  <c r="G229" i="16"/>
  <c r="G235" i="16"/>
  <c r="G241" i="16"/>
  <c r="G247" i="16"/>
  <c r="G253" i="16"/>
  <c r="G259" i="16"/>
  <c r="G265" i="16"/>
  <c r="G347" i="16"/>
  <c r="G348" i="16"/>
  <c r="G355" i="16"/>
  <c r="G362" i="16"/>
  <c r="G369" i="16"/>
  <c r="G376" i="16"/>
  <c r="G383" i="16"/>
  <c r="G390" i="16"/>
  <c r="G397" i="16"/>
  <c r="G404" i="16"/>
  <c r="G410" i="16"/>
  <c r="G417" i="16"/>
  <c r="G418" i="16"/>
  <c r="G424" i="16"/>
  <c r="G431" i="16"/>
  <c r="G499" i="16"/>
  <c r="G530" i="16"/>
  <c r="G531" i="16"/>
  <c r="G539" i="16"/>
  <c r="G540" i="16"/>
  <c r="G548" i="16"/>
  <c r="G556" i="16"/>
  <c r="G564" i="16"/>
  <c r="G572" i="16"/>
  <c r="G580" i="16"/>
  <c r="G656" i="16"/>
  <c r="G665" i="16"/>
  <c r="G674" i="16"/>
  <c r="G683" i="16"/>
  <c r="G692" i="16"/>
  <c r="G701" i="16"/>
  <c r="G710" i="16"/>
  <c r="G719" i="16"/>
  <c r="G812" i="16"/>
  <c r="G813" i="16"/>
  <c r="G814" i="16"/>
  <c r="G833" i="16"/>
  <c r="G852" i="16"/>
  <c r="G853" i="16"/>
  <c r="G863" i="16"/>
  <c r="G964" i="16"/>
  <c r="G975" i="16"/>
  <c r="G986" i="16"/>
  <c r="G997" i="16"/>
  <c r="G1008" i="16"/>
  <c r="G1114" i="16"/>
  <c r="G1126" i="16"/>
  <c r="G1138" i="16"/>
  <c r="G1150" i="16"/>
  <c r="G1261" i="16"/>
  <c r="G1262" i="16"/>
  <c r="G1275" i="16"/>
  <c r="G1430" i="16"/>
  <c r="G1547" i="16"/>
  <c r="G1548" i="16"/>
  <c r="G1561" i="16"/>
  <c r="G1562" i="16"/>
  <c r="G1563" i="16"/>
  <c r="G1574" i="16"/>
  <c r="G1582" i="16"/>
  <c r="G293" i="16"/>
  <c r="G352" i="16"/>
  <c r="G353" i="16"/>
  <c r="G366" i="16"/>
  <c r="G373" i="16"/>
  <c r="G380" i="16"/>
  <c r="G387" i="16"/>
  <c r="G400" i="16"/>
  <c r="G407" i="16"/>
  <c r="G425" i="16"/>
  <c r="G432" i="16"/>
  <c r="G500" i="16"/>
  <c r="G508" i="16"/>
  <c r="G516" i="16"/>
  <c r="G524" i="16"/>
  <c r="G532" i="16"/>
  <c r="G547" i="16"/>
  <c r="G555" i="16"/>
  <c r="G563" i="16"/>
  <c r="G571" i="16"/>
  <c r="G579" i="16"/>
  <c r="G662" i="16"/>
  <c r="G671" i="16"/>
  <c r="G680" i="16"/>
  <c r="G689" i="16"/>
  <c r="G698" i="16"/>
  <c r="G707" i="16"/>
  <c r="G716" i="16"/>
  <c r="G809" i="16"/>
  <c r="G819" i="16"/>
  <c r="G829" i="16"/>
  <c r="G839" i="16"/>
  <c r="G865" i="16"/>
  <c r="G967" i="16"/>
  <c r="G968" i="16"/>
  <c r="G979" i="16"/>
  <c r="G990" i="16"/>
  <c r="G991" i="16"/>
  <c r="G1002" i="16"/>
  <c r="G1107" i="16"/>
  <c r="G1119" i="16"/>
  <c r="G1142" i="16"/>
  <c r="G1154" i="16"/>
  <c r="G1417" i="16"/>
  <c r="G1431" i="16"/>
  <c r="G1572" i="16"/>
  <c r="G1581" i="16"/>
  <c r="G506" i="16"/>
  <c r="G507" i="16"/>
  <c r="G514" i="16"/>
  <c r="G515" i="16"/>
  <c r="G522" i="16"/>
  <c r="G523" i="16"/>
  <c r="G538" i="16"/>
  <c r="G546" i="16"/>
  <c r="G554" i="16"/>
  <c r="G562" i="16"/>
  <c r="G570" i="16"/>
  <c r="G578" i="16"/>
  <c r="G661" i="16"/>
  <c r="G670" i="16"/>
  <c r="G679" i="16"/>
  <c r="G688" i="16"/>
  <c r="G697" i="16"/>
  <c r="G706" i="16"/>
  <c r="G715" i="16"/>
  <c r="G808" i="16"/>
  <c r="G818" i="16"/>
  <c r="G828" i="16"/>
  <c r="G837" i="16"/>
  <c r="G838" i="16"/>
  <c r="G847" i="16"/>
  <c r="G848" i="16"/>
  <c r="G849" i="16"/>
  <c r="G866" i="16"/>
  <c r="G867" i="16"/>
  <c r="G988" i="16"/>
  <c r="G999" i="16"/>
  <c r="G1010" i="16"/>
  <c r="G1116" i="16"/>
  <c r="G1128" i="16"/>
  <c r="G1140" i="16"/>
  <c r="G1152" i="16"/>
  <c r="G1277" i="16"/>
  <c r="G1290" i="16"/>
  <c r="G1291" i="16"/>
  <c r="G1418" i="16"/>
  <c r="G1419" i="16"/>
  <c r="G1433" i="16"/>
  <c r="G1434" i="16"/>
  <c r="G1564" i="16"/>
  <c r="G1580" i="16"/>
  <c r="G1696" i="16"/>
  <c r="G1698" i="16"/>
  <c r="G1699" i="16"/>
  <c r="G655" i="16"/>
  <c r="G664" i="16"/>
  <c r="G673" i="16"/>
  <c r="G682" i="16"/>
  <c r="G691" i="16"/>
  <c r="G700" i="16"/>
  <c r="G709" i="16"/>
  <c r="G718" i="16"/>
  <c r="G811" i="16"/>
  <c r="G821" i="16"/>
  <c r="G831" i="16"/>
  <c r="G841" i="16"/>
  <c r="G850" i="16"/>
  <c r="G860" i="16"/>
  <c r="G971" i="16"/>
  <c r="G992" i="16"/>
  <c r="G1109" i="16"/>
  <c r="G1110" i="16"/>
  <c r="G1111" i="16"/>
  <c r="G1123" i="16"/>
  <c r="G1124" i="16"/>
  <c r="G1136" i="16"/>
  <c r="G1148" i="16"/>
  <c r="G1272" i="16"/>
  <c r="G1285" i="16"/>
  <c r="G1298" i="16"/>
  <c r="G1412" i="16"/>
  <c r="G1426" i="16"/>
  <c r="G1439" i="16"/>
  <c r="G1556" i="16"/>
  <c r="G1577" i="16"/>
  <c r="G1586" i="16"/>
  <c r="G1691" i="16"/>
  <c r="G1705" i="16"/>
  <c r="G724" i="16"/>
  <c r="G822" i="16"/>
  <c r="G832" i="16"/>
  <c r="G842" i="16"/>
  <c r="G851" i="16"/>
  <c r="G861" i="16"/>
  <c r="G982" i="16"/>
  <c r="G1003" i="16"/>
  <c r="G1004" i="16"/>
  <c r="G1005" i="16"/>
  <c r="G1006" i="16"/>
  <c r="G1133" i="16"/>
  <c r="G1134" i="16"/>
  <c r="G1257" i="16"/>
  <c r="G1258" i="16"/>
  <c r="G1283" i="16"/>
  <c r="G1284" i="16"/>
  <c r="G1410" i="16"/>
  <c r="G1411" i="16"/>
  <c r="G1553" i="16"/>
  <c r="G1584" i="16"/>
  <c r="G1701" i="16"/>
  <c r="G868" i="16"/>
  <c r="G960" i="16"/>
  <c r="G961" i="16"/>
  <c r="G962" i="16"/>
  <c r="G972" i="16"/>
  <c r="G973" i="16"/>
  <c r="G983" i="16"/>
  <c r="G984" i="16"/>
  <c r="G994" i="16"/>
  <c r="G995" i="16"/>
  <c r="G1121" i="16"/>
  <c r="G1122" i="16"/>
  <c r="G1145" i="16"/>
  <c r="G1146" i="16"/>
  <c r="G1270" i="16"/>
  <c r="G1271" i="16"/>
  <c r="G1296" i="16"/>
  <c r="G1297" i="16"/>
  <c r="G1437" i="16"/>
  <c r="G1567" i="16"/>
  <c r="G1568" i="16"/>
  <c r="G1585" i="16"/>
  <c r="G1704" i="16"/>
  <c r="G1106" i="16"/>
  <c r="G1108" i="16"/>
  <c r="G1120" i="16"/>
  <c r="G1132" i="16"/>
  <c r="G1155" i="16"/>
  <c r="G1268" i="16"/>
  <c r="G1281" i="16"/>
  <c r="G1294" i="16"/>
  <c r="G1421" i="16"/>
  <c r="G1422" i="16"/>
  <c r="G1435" i="16"/>
  <c r="G1692" i="16"/>
  <c r="G1693" i="16"/>
  <c r="G1695" i="16"/>
  <c r="G1264" i="16"/>
  <c r="G1265" i="16"/>
  <c r="G1278" i="16"/>
  <c r="G1279" i="16"/>
  <c r="G1292" i="16"/>
  <c r="G1293" i="16"/>
  <c r="G1407" i="16"/>
  <c r="G1408" i="16"/>
  <c r="G1552" i="16"/>
  <c r="G1566" i="16"/>
  <c r="G1575" i="16"/>
  <c r="G1694" i="16"/>
  <c r="G1299" i="16"/>
  <c r="G1403" i="16"/>
  <c r="G1404" i="16"/>
  <c r="G1405" i="16"/>
  <c r="G1432" i="16"/>
  <c r="G1549" i="16"/>
  <c r="G1573" i="16"/>
  <c r="G1443" i="16"/>
  <c r="G1697" i="16"/>
  <c r="G1702" i="16"/>
  <c r="G1703" i="16"/>
  <c r="G7" i="16"/>
  <c r="G13" i="16"/>
  <c r="G14" i="16"/>
  <c r="G18" i="16"/>
  <c r="G20" i="16"/>
  <c r="G24" i="16"/>
  <c r="G29" i="16"/>
  <c r="G34" i="16"/>
  <c r="G39" i="16"/>
  <c r="G44" i="16"/>
  <c r="G49" i="16"/>
  <c r="G54" i="16"/>
  <c r="G59" i="16"/>
  <c r="G64" i="16"/>
  <c r="G69" i="16"/>
  <c r="G74" i="16"/>
  <c r="G79" i="16"/>
  <c r="G84" i="16"/>
  <c r="G88" i="16"/>
  <c r="G89" i="16"/>
  <c r="G94" i="16"/>
  <c r="G95" i="16"/>
  <c r="G100" i="16"/>
  <c r="G105" i="16"/>
  <c r="G110" i="16"/>
  <c r="G115" i="16"/>
  <c r="G120" i="16"/>
  <c r="G125" i="16"/>
  <c r="G130" i="16"/>
  <c r="G135" i="16"/>
  <c r="G140" i="16"/>
  <c r="G145" i="16"/>
  <c r="G187" i="16"/>
  <c r="G193" i="16"/>
  <c r="G199" i="16"/>
  <c r="G205" i="16"/>
  <c r="G210" i="16"/>
  <c r="G216" i="16"/>
  <c r="G222" i="16"/>
  <c r="G228" i="16"/>
  <c r="G234" i="16"/>
  <c r="G240" i="16"/>
  <c r="G246" i="16"/>
  <c r="G252" i="16"/>
  <c r="G258" i="16"/>
  <c r="G264" i="16"/>
  <c r="G270" i="16"/>
  <c r="G276" i="16"/>
  <c r="G282" i="16"/>
  <c r="G288" i="16"/>
  <c r="G345" i="16"/>
  <c r="G346" i="16"/>
  <c r="G359" i="16"/>
  <c r="G360" i="16"/>
  <c r="G367" i="16"/>
  <c r="G374" i="16"/>
  <c r="G381" i="16"/>
  <c r="G388" i="16"/>
  <c r="G395" i="16"/>
  <c r="G402" i="16"/>
  <c r="G408" i="16"/>
  <c r="G414" i="16"/>
  <c r="G415" i="16"/>
  <c r="G420" i="16"/>
  <c r="G421" i="16"/>
  <c r="G428" i="16"/>
  <c r="G435" i="16"/>
  <c r="G510" i="16"/>
  <c r="G518" i="16"/>
  <c r="G526" i="16"/>
  <c r="G534" i="16"/>
  <c r="G542" i="16"/>
  <c r="G550" i="16"/>
  <c r="G558" i="16"/>
  <c r="G566" i="16"/>
  <c r="G574" i="16"/>
  <c r="G657" i="16"/>
  <c r="G666" i="16"/>
  <c r="G675" i="16"/>
  <c r="G684" i="16"/>
  <c r="G693" i="16"/>
  <c r="G702" i="16"/>
  <c r="G711" i="16"/>
  <c r="G720" i="16"/>
  <c r="G823" i="16"/>
  <c r="G824" i="16"/>
  <c r="G827" i="16"/>
  <c r="G846" i="16"/>
  <c r="G966" i="16"/>
  <c r="G977" i="16"/>
  <c r="G978" i="16"/>
  <c r="G989" i="16"/>
  <c r="G1000" i="16"/>
  <c r="G1001" i="16"/>
  <c r="G1129" i="16"/>
  <c r="G1130" i="16"/>
  <c r="G1131" i="16"/>
  <c r="G1143" i="16"/>
  <c r="G1144" i="16"/>
  <c r="G1255" i="16"/>
  <c r="G1256" i="16"/>
  <c r="G1269" i="16"/>
  <c r="G1282" i="16"/>
  <c r="G1295" i="16"/>
  <c r="G1409" i="16"/>
  <c r="G1423" i="16"/>
  <c r="G1424" i="16"/>
  <c r="G1425" i="16"/>
  <c r="G1438" i="16"/>
  <c r="G1554" i="16"/>
  <c r="G1555" i="16"/>
  <c r="G1569" i="16"/>
  <c r="G1576" i="16"/>
  <c r="G16" i="16"/>
  <c r="G21" i="16"/>
  <c r="G26" i="16"/>
  <c r="G31" i="16"/>
  <c r="G36" i="16"/>
  <c r="G41" i="16"/>
  <c r="G46" i="16"/>
  <c r="G51" i="16"/>
  <c r="G56" i="16"/>
  <c r="G61" i="16"/>
  <c r="G66" i="16"/>
  <c r="G71" i="16"/>
  <c r="G76" i="16"/>
  <c r="G85" i="16"/>
  <c r="G86" i="16"/>
  <c r="G90" i="16"/>
  <c r="G103" i="16"/>
  <c r="G104" i="16"/>
  <c r="G113" i="16"/>
  <c r="G118" i="16"/>
  <c r="G119" i="16"/>
  <c r="G128" i="16"/>
  <c r="G129" i="16"/>
  <c r="G138" i="16"/>
  <c r="G139" i="16"/>
  <c r="G143" i="16"/>
  <c r="G144" i="16"/>
  <c r="G185" i="16"/>
  <c r="G191" i="16"/>
  <c r="G192" i="16"/>
  <c r="G203" i="16"/>
  <c r="G208" i="16"/>
  <c r="G209" i="16"/>
  <c r="G220" i="16"/>
  <c r="G226" i="16"/>
  <c r="G227" i="16"/>
  <c r="G238" i="16"/>
  <c r="G244" i="16"/>
  <c r="G250" i="16"/>
  <c r="G256" i="16"/>
  <c r="G262" i="16"/>
  <c r="G263" i="16"/>
  <c r="G268" i="16"/>
  <c r="G269" i="16"/>
  <c r="G285" i="16"/>
  <c r="G286" i="16"/>
  <c r="G291" i="16"/>
  <c r="G292" i="16"/>
  <c r="G356" i="16"/>
  <c r="G357" i="16"/>
  <c r="G370" i="16"/>
  <c r="G371" i="16"/>
  <c r="G378" i="16"/>
  <c r="G384" i="16"/>
  <c r="G385" i="16"/>
  <c r="G398" i="16"/>
  <c r="G405" i="16"/>
  <c r="G406" i="16"/>
  <c r="G416" i="16"/>
  <c r="G422" i="16"/>
  <c r="G423" i="16"/>
  <c r="G430" i="16"/>
  <c r="G497" i="16"/>
  <c r="G498" i="16"/>
  <c r="G505" i="16"/>
  <c r="G520" i="16"/>
  <c r="G521" i="16"/>
  <c r="G536" i="16"/>
  <c r="G537" i="16"/>
  <c r="G552" i="16"/>
  <c r="G560" i="16"/>
  <c r="G561" i="16"/>
  <c r="G576" i="16"/>
  <c r="G667" i="16"/>
  <c r="G676" i="16"/>
  <c r="G685" i="16"/>
  <c r="G694" i="16"/>
  <c r="G695" i="16"/>
  <c r="G712" i="16"/>
  <c r="G713" i="16"/>
  <c r="G722" i="16"/>
  <c r="G815" i="16"/>
  <c r="G816" i="16"/>
  <c r="G825" i="16"/>
  <c r="G843" i="16"/>
  <c r="G844" i="16"/>
  <c r="G845" i="16"/>
  <c r="G854" i="16"/>
  <c r="G864" i="16"/>
  <c r="G965" i="16"/>
  <c r="G976" i="16"/>
  <c r="G987" i="16"/>
  <c r="G998" i="16"/>
  <c r="G1009" i="16"/>
  <c r="G1115" i="16"/>
  <c r="G1127" i="16"/>
  <c r="G1139" i="16"/>
  <c r="G1151" i="16"/>
  <c r="G1274" i="16"/>
  <c r="G1287" i="16"/>
  <c r="G1400" i="16"/>
  <c r="G1401" i="16"/>
  <c r="G1402" i="16"/>
  <c r="G1440" i="16"/>
  <c r="G1441" i="16"/>
  <c r="G1557" i="16"/>
  <c r="G1558" i="16"/>
  <c r="G1583" i="16"/>
  <c r="G1700" i="16"/>
  <c r="G8" i="16"/>
  <c r="G9" i="16"/>
  <c r="G25" i="16"/>
  <c r="G30" i="16"/>
  <c r="G35" i="16"/>
  <c r="G40" i="16"/>
  <c r="G45" i="16"/>
  <c r="G50" i="16"/>
  <c r="G55" i="16"/>
  <c r="G60" i="16"/>
  <c r="G65" i="16"/>
  <c r="G70" i="16"/>
  <c r="G75" i="16"/>
  <c r="G80" i="16"/>
  <c r="G81" i="16"/>
  <c r="G93" i="16"/>
  <c r="G98" i="16"/>
  <c r="G99" i="16"/>
  <c r="G108" i="16"/>
  <c r="G109" i="16"/>
  <c r="G114" i="16"/>
  <c r="G123" i="16"/>
  <c r="G124" i="16"/>
  <c r="G133" i="16"/>
  <c r="G134" i="16"/>
  <c r="G148" i="16"/>
  <c r="G180" i="16"/>
  <c r="G186" i="16"/>
  <c r="G197" i="16"/>
  <c r="G198" i="16"/>
  <c r="G204" i="16"/>
  <c r="G214" i="16"/>
  <c r="G215" i="16"/>
  <c r="G221" i="16"/>
  <c r="G232" i="16"/>
  <c r="G233" i="16"/>
  <c r="G239" i="16"/>
  <c r="G245" i="16"/>
  <c r="G251" i="16"/>
  <c r="G257" i="16"/>
  <c r="G279" i="16"/>
  <c r="G280" i="16"/>
  <c r="G349" i="16"/>
  <c r="G350" i="16"/>
  <c r="G363" i="16"/>
  <c r="G364" i="16"/>
  <c r="G377" i="16"/>
  <c r="G391" i="16"/>
  <c r="G392" i="16"/>
  <c r="G399" i="16"/>
  <c r="G411" i="16"/>
  <c r="G412" i="16"/>
  <c r="G429" i="16"/>
  <c r="G436" i="16"/>
  <c r="G504" i="16"/>
  <c r="G512" i="16"/>
  <c r="G513" i="16"/>
  <c r="G528" i="16"/>
  <c r="G529" i="16"/>
  <c r="G544" i="16"/>
  <c r="G545" i="16"/>
  <c r="G553" i="16"/>
  <c r="G568" i="16"/>
  <c r="G569" i="16"/>
  <c r="G577" i="16"/>
  <c r="G659" i="16"/>
  <c r="G660" i="16"/>
  <c r="G668" i="16"/>
  <c r="G669" i="16"/>
  <c r="G677" i="16"/>
  <c r="G686" i="16"/>
  <c r="G703" i="16"/>
  <c r="G704" i="16"/>
  <c r="G721" i="16"/>
  <c r="G834" i="16"/>
  <c r="G835" i="16"/>
  <c r="G862" i="16"/>
  <c r="G963" i="16"/>
  <c r="G974" i="16"/>
  <c r="G985" i="16"/>
  <c r="G996" i="16"/>
  <c r="G1007" i="16"/>
  <c r="G1135" i="16"/>
  <c r="G1147" i="16"/>
  <c r="G1259" i="16"/>
  <c r="G1260" i="16"/>
  <c r="G1263" i="16"/>
  <c r="G1276" i="16"/>
  <c r="G1288" i="16"/>
  <c r="G1289" i="16"/>
  <c r="G1414" i="16"/>
  <c r="G1415" i="16"/>
  <c r="G1416" i="16"/>
  <c r="G1570" i="16"/>
  <c r="G1571" i="16"/>
  <c r="G17" i="16"/>
  <c r="G22" i="16"/>
  <c r="G27" i="16"/>
  <c r="G32" i="16"/>
  <c r="G37" i="16"/>
  <c r="G42" i="16"/>
  <c r="G47" i="16"/>
  <c r="G52" i="16"/>
  <c r="G62" i="16"/>
  <c r="G63" i="16"/>
  <c r="G68" i="16"/>
  <c r="G73" i="16"/>
  <c r="G78" i="16"/>
  <c r="G83" i="16"/>
  <c r="G91" i="16"/>
  <c r="G96" i="16"/>
  <c r="G101" i="16"/>
  <c r="G106" i="16"/>
  <c r="G107" i="16"/>
  <c r="G121" i="16"/>
  <c r="G122" i="16"/>
  <c r="G127" i="16"/>
  <c r="G132" i="16"/>
  <c r="G137" i="16"/>
  <c r="G142" i="16"/>
  <c r="G147" i="16"/>
  <c r="G184" i="16"/>
  <c r="G190" i="16"/>
  <c r="G196" i="16"/>
  <c r="G202" i="16"/>
  <c r="G213" i="16"/>
  <c r="G219" i="16"/>
  <c r="G225" i="16"/>
  <c r="G231" i="16"/>
  <c r="G237" i="16"/>
  <c r="G243" i="16"/>
  <c r="G249" i="16"/>
  <c r="G255" i="16"/>
  <c r="G261" i="16"/>
  <c r="G267" i="16"/>
  <c r="G273" i="16"/>
  <c r="G274" i="16"/>
  <c r="G275" i="16"/>
  <c r="G281" i="16"/>
  <c r="G287" i="16"/>
  <c r="G344" i="16"/>
  <c r="G351" i="16"/>
  <c r="G358" i="16"/>
  <c r="G365" i="16"/>
  <c r="G372" i="16"/>
  <c r="G379" i="16"/>
  <c r="G386" i="16"/>
  <c r="G393" i="16"/>
  <c r="G394" i="16"/>
  <c r="G401" i="16"/>
  <c r="G413" i="16"/>
  <c r="G433" i="16"/>
  <c r="G434" i="16"/>
  <c r="G502" i="16"/>
  <c r="G503" i="16"/>
  <c r="G511" i="16"/>
  <c r="G519" i="16"/>
  <c r="G527" i="16"/>
  <c r="G535" i="16"/>
  <c r="G543" i="16"/>
  <c r="G551" i="16"/>
  <c r="G559" i="16"/>
  <c r="G567" i="16"/>
  <c r="G575" i="16"/>
  <c r="G658" i="16"/>
  <c r="G678" i="16"/>
  <c r="G687" i="16"/>
  <c r="G696" i="16"/>
  <c r="G705" i="16"/>
  <c r="G714" i="16"/>
  <c r="G723" i="16"/>
  <c r="G817" i="16"/>
  <c r="G826" i="16"/>
  <c r="G836" i="16"/>
  <c r="G855" i="16"/>
  <c r="G856" i="16"/>
  <c r="G857" i="16"/>
  <c r="G858" i="16"/>
  <c r="G980" i="16"/>
  <c r="G981" i="16"/>
  <c r="G993" i="16"/>
  <c r="G1112" i="16"/>
  <c r="G1113" i="16"/>
  <c r="G1125" i="16"/>
  <c r="G1137" i="16"/>
  <c r="G1149" i="16"/>
  <c r="G1273" i="16"/>
  <c r="G1286" i="16"/>
  <c r="G1399" i="16"/>
  <c r="G1413" i="16"/>
  <c r="G1427" i="16"/>
  <c r="G1428" i="16"/>
  <c r="G1429" i="16"/>
  <c r="G1442" i="16"/>
  <c r="G1559" i="16"/>
  <c r="G1560" i="16"/>
  <c r="J12" i="11"/>
  <c r="K12" i="11" s="1"/>
  <c r="K13" i="11"/>
  <c r="J18" i="11"/>
  <c r="K18" i="11" s="1"/>
  <c r="J20" i="11"/>
  <c r="K20" i="11" s="1"/>
  <c r="J22" i="11"/>
  <c r="K22" i="11" s="1"/>
  <c r="J27" i="11"/>
  <c r="K27" i="11" s="1"/>
  <c r="K28" i="11"/>
  <c r="J29" i="11"/>
  <c r="K29" i="11" s="1"/>
  <c r="J30" i="11"/>
  <c r="K30" i="11" s="1"/>
  <c r="J31" i="11"/>
  <c r="K31" i="11" s="1"/>
  <c r="J48" i="11"/>
  <c r="K48" i="11" s="1"/>
  <c r="J50" i="11"/>
  <c r="K50" i="11" s="1"/>
  <c r="J52" i="11"/>
  <c r="K52" i="11" s="1"/>
  <c r="J53" i="11"/>
  <c r="K53" i="11" s="1"/>
  <c r="J80" i="11"/>
  <c r="K80" i="11" s="1"/>
  <c r="J100" i="11"/>
  <c r="K100" i="11" s="1"/>
  <c r="J103" i="11"/>
  <c r="K103" i="11" s="1"/>
  <c r="J107" i="11"/>
  <c r="K107" i="11" s="1"/>
  <c r="J108" i="11"/>
  <c r="K108" i="11" s="1"/>
  <c r="J122" i="11"/>
  <c r="K122" i="11" s="1"/>
  <c r="J51" i="11"/>
  <c r="K51" i="11" s="1"/>
  <c r="J64" i="11"/>
  <c r="K64" i="11" s="1"/>
  <c r="J79" i="11"/>
  <c r="K79" i="11" s="1"/>
  <c r="J88" i="11"/>
  <c r="K88" i="11" s="1"/>
  <c r="J93" i="11"/>
  <c r="K93" i="11" s="1"/>
  <c r="J94" i="11"/>
  <c r="K94" i="11" s="1"/>
  <c r="J115" i="11"/>
  <c r="K115" i="11" s="1"/>
  <c r="J66" i="11"/>
  <c r="K66" i="11" s="1"/>
  <c r="J102" i="11"/>
  <c r="K102" i="11" s="1"/>
  <c r="J104" i="11"/>
  <c r="K104" i="11" s="1"/>
  <c r="J105" i="11"/>
  <c r="K105" i="11" s="1"/>
  <c r="J106" i="11"/>
  <c r="K106" i="11" s="1"/>
  <c r="J119" i="11"/>
  <c r="K119" i="11" s="1"/>
  <c r="J11" i="11"/>
  <c r="K11" i="11" s="1"/>
  <c r="J16" i="11"/>
  <c r="K16" i="11" s="1"/>
  <c r="J17" i="11"/>
  <c r="K17" i="11" s="1"/>
  <c r="J21" i="11"/>
  <c r="K21" i="11" s="1"/>
  <c r="J26" i="11"/>
  <c r="K26" i="11" s="1"/>
  <c r="J55" i="11"/>
  <c r="K55" i="11" s="1"/>
  <c r="J56" i="11"/>
  <c r="K56" i="11" s="1"/>
  <c r="J58" i="11"/>
  <c r="K58" i="11" s="1"/>
  <c r="J87" i="11"/>
  <c r="K87" i="11" s="1"/>
  <c r="J121" i="11"/>
  <c r="K121" i="11" s="1"/>
  <c r="J23" i="11"/>
  <c r="K23" i="11" s="1"/>
  <c r="J24" i="11"/>
  <c r="K24" i="11" s="1"/>
  <c r="J25" i="11"/>
  <c r="K25" i="11" s="1"/>
  <c r="J32" i="11"/>
  <c r="K32" i="11" s="1"/>
  <c r="J37" i="11"/>
  <c r="K37" i="11" s="1"/>
  <c r="J46" i="11"/>
  <c r="K46" i="11" s="1"/>
  <c r="J63" i="11"/>
  <c r="K63" i="11" s="1"/>
  <c r="J65" i="11"/>
  <c r="K65" i="11" s="1"/>
  <c r="J92" i="11"/>
  <c r="K92" i="11" s="1"/>
  <c r="J110" i="11"/>
  <c r="K110" i="11" s="1"/>
  <c r="J120" i="11"/>
  <c r="K120" i="11" s="1"/>
  <c r="J14" i="11"/>
  <c r="K14" i="11" s="1"/>
  <c r="J15" i="11"/>
  <c r="K15" i="11" s="1"/>
  <c r="J33" i="11"/>
  <c r="K33" i="11" s="1"/>
  <c r="J34" i="11"/>
  <c r="K34" i="11" s="1"/>
  <c r="J35" i="11"/>
  <c r="K35" i="11" s="1"/>
  <c r="J47" i="11"/>
  <c r="K47" i="11" s="1"/>
  <c r="J54" i="11"/>
  <c r="K54" i="11" s="1"/>
  <c r="J59" i="11"/>
  <c r="K59" i="11" s="1"/>
  <c r="J61" i="11"/>
  <c r="K61" i="11" s="1"/>
  <c r="J62" i="11"/>
  <c r="K62" i="11" s="1"/>
  <c r="J81" i="11"/>
  <c r="K81" i="11" s="1"/>
  <c r="J84" i="11"/>
  <c r="K84" i="11" s="1"/>
  <c r="J85" i="11"/>
  <c r="K85" i="11" s="1"/>
  <c r="J86" i="11"/>
  <c r="K86" i="11" s="1"/>
  <c r="J89" i="11"/>
  <c r="K89" i="11" s="1"/>
  <c r="J90" i="11"/>
  <c r="K90" i="11" s="1"/>
  <c r="J91" i="11"/>
  <c r="K91" i="11" s="1"/>
  <c r="J109" i="11"/>
  <c r="K109" i="11" s="1"/>
  <c r="J111" i="11"/>
  <c r="K111" i="11" s="1"/>
  <c r="J112" i="11"/>
  <c r="K112" i="11" s="1"/>
  <c r="J113" i="11"/>
  <c r="K113" i="11" s="1"/>
  <c r="J114" i="11"/>
  <c r="K114" i="11" s="1"/>
  <c r="J117" i="11"/>
  <c r="K117" i="11" s="1"/>
  <c r="J57" i="11"/>
  <c r="K57" i="11" s="1"/>
  <c r="J60" i="11"/>
  <c r="K60" i="11" s="1"/>
  <c r="J82" i="11"/>
  <c r="K82" i="11" s="1"/>
  <c r="J83" i="11"/>
  <c r="K83" i="11" s="1"/>
  <c r="J101" i="11"/>
  <c r="K101" i="11" s="1"/>
  <c r="K19" i="11"/>
  <c r="J116" i="11"/>
  <c r="K116" i="11" s="1"/>
  <c r="J118" i="11"/>
  <c r="K118" i="11" s="1"/>
  <c r="J36" i="11"/>
  <c r="K36" i="11" s="1"/>
  <c r="J49" i="11"/>
  <c r="K49" i="11" s="1"/>
  <c r="L11" i="5"/>
  <c r="L6" i="5"/>
  <c r="F6" i="5"/>
  <c r="G6" i="5" s="1"/>
  <c r="H6" i="5" s="1"/>
  <c r="F11" i="5"/>
  <c r="G11" i="5" s="1"/>
  <c r="H11" i="5" s="1"/>
  <c r="F10" i="5"/>
  <c r="G10" i="5" s="1"/>
  <c r="H10" i="5" s="1"/>
  <c r="L9" i="5"/>
  <c r="F8" i="5"/>
  <c r="G8" i="5" s="1"/>
  <c r="H8" i="5" s="1"/>
  <c r="L10" i="5"/>
  <c r="L8" i="5"/>
  <c r="F9" i="5"/>
  <c r="G9" i="5" s="1"/>
  <c r="H9" i="5" s="1"/>
  <c r="F7" i="5"/>
  <c r="G7" i="5" s="1"/>
  <c r="H7" i="5" s="1"/>
  <c r="L7" i="5"/>
  <c r="G5" i="5"/>
  <c r="H5" i="5" s="1"/>
  <c r="C21" i="12"/>
  <c r="C8" i="12"/>
  <c r="C7" i="12"/>
  <c r="C29" i="12" s="1"/>
  <c r="C7" i="15"/>
  <c r="C6" i="15"/>
  <c r="C77" i="1"/>
  <c r="C76" i="1"/>
  <c r="C46" i="1"/>
  <c r="C22" i="1"/>
  <c r="C23" i="1"/>
  <c r="C86" i="1"/>
  <c r="C35" i="1"/>
  <c r="C27" i="1"/>
  <c r="C17" i="1"/>
  <c r="C24" i="1" s="1"/>
  <c r="C52" i="1"/>
  <c r="C39" i="1"/>
  <c r="C30" i="1"/>
  <c r="C34" i="1"/>
  <c r="C15" i="1"/>
  <c r="C14" i="5" l="1"/>
  <c r="C16" i="5" s="1"/>
  <c r="C18" i="12"/>
  <c r="C10" i="12"/>
  <c r="C78" i="1"/>
  <c r="C9" i="12"/>
  <c r="C79" i="1"/>
  <c r="C14" i="12" s="1"/>
  <c r="C12" i="14"/>
  <c r="C14" i="8"/>
  <c r="C5" i="14"/>
  <c r="C7" i="14"/>
  <c r="C6" i="14"/>
  <c r="C88" i="1"/>
  <c r="C87" i="1"/>
  <c r="C89" i="1"/>
  <c r="C74" i="1"/>
  <c r="C12" i="7" s="1"/>
  <c r="C5" i="8"/>
  <c r="C8" i="15"/>
  <c r="C18" i="1"/>
  <c r="C37" i="1"/>
  <c r="C25" i="1"/>
  <c r="C26" i="1"/>
  <c r="C36" i="1"/>
  <c r="C28" i="12" s="1"/>
  <c r="C43" i="1"/>
  <c r="C40" i="1"/>
  <c r="C42" i="1"/>
  <c r="C29" i="1"/>
  <c r="C65" i="1"/>
  <c r="C66" i="1" s="1"/>
  <c r="C10" i="2" l="1"/>
  <c r="C9" i="2"/>
  <c r="C8" i="2"/>
  <c r="C11" i="2"/>
  <c r="C10" i="3"/>
  <c r="C11" i="3"/>
  <c r="C11" i="12"/>
  <c r="C12" i="12"/>
  <c r="C15" i="12"/>
  <c r="C16" i="12" s="1"/>
  <c r="C61" i="1"/>
  <c r="C28" i="1"/>
  <c r="C12" i="8"/>
  <c r="C10" i="15"/>
  <c r="C9" i="14"/>
  <c r="C8" i="14"/>
  <c r="C6" i="7"/>
  <c r="C47" i="1"/>
  <c r="C41" i="1"/>
  <c r="C9" i="15"/>
  <c r="C73" i="1"/>
  <c r="C11" i="7" s="1"/>
  <c r="C7" i="8"/>
  <c r="C6" i="8"/>
  <c r="C44" i="1"/>
  <c r="C12" i="3" l="1"/>
  <c r="C14" i="3" s="1"/>
  <c r="C15" i="3" s="1"/>
  <c r="C62" i="1"/>
  <c r="C9" i="8"/>
  <c r="C72" i="1"/>
  <c r="C10" i="7" s="1"/>
  <c r="C67" i="1"/>
  <c r="C4" i="10"/>
  <c r="C4" i="9"/>
  <c r="C8" i="8"/>
  <c r="C7" i="7"/>
  <c r="C13" i="12"/>
  <c r="C17" i="12" s="1"/>
  <c r="C45" i="1"/>
  <c r="C11" i="8" l="1"/>
  <c r="C68" i="1"/>
  <c r="C69" i="1" s="1"/>
  <c r="C70" i="1" s="1"/>
  <c r="C13" i="8"/>
  <c r="C8" i="7"/>
  <c r="B16" i="4" l="1"/>
  <c r="B17" i="4"/>
  <c r="B18" i="4"/>
  <c r="C9" i="7"/>
  <c r="C10" i="14"/>
  <c r="C11" i="14"/>
  <c r="B19" i="4"/>
  <c r="B5" i="4"/>
  <c r="B6" i="4"/>
  <c r="B7" i="4"/>
  <c r="B8" i="4"/>
  <c r="B9" i="4"/>
  <c r="B10" i="4"/>
  <c r="B11" i="4"/>
  <c r="B12" i="4"/>
  <c r="B13" i="4"/>
  <c r="B14" i="4"/>
  <c r="B15" i="4"/>
  <c r="C71" i="1"/>
  <c r="C16" i="4" l="1"/>
  <c r="D16" i="4"/>
  <c r="C17" i="4"/>
  <c r="D17" i="4"/>
  <c r="C18" i="4"/>
  <c r="D18" i="4"/>
  <c r="C19" i="4"/>
  <c r="D19" i="4"/>
  <c r="D5" i="4"/>
  <c r="C5" i="4"/>
  <c r="D6" i="4"/>
  <c r="C6" i="4"/>
  <c r="D7" i="4"/>
  <c r="C7" i="4"/>
  <c r="C8" i="4"/>
  <c r="D8" i="4"/>
  <c r="C9" i="4"/>
  <c r="D9" i="4"/>
  <c r="C10" i="4"/>
  <c r="D10" i="4"/>
  <c r="D11" i="4"/>
  <c r="C11" i="4"/>
  <c r="C12" i="4"/>
  <c r="D12" i="4"/>
  <c r="C13" i="4"/>
  <c r="D13" i="4"/>
  <c r="C14" i="4"/>
  <c r="D14" i="4"/>
  <c r="C15" i="4"/>
  <c r="D15" i="4"/>
  <c r="E6" i="4" l="1"/>
  <c r="E7" i="4" l="1"/>
  <c r="G6" i="4"/>
  <c r="F6" i="4"/>
  <c r="F7" i="4" l="1"/>
  <c r="G7" i="4"/>
  <c r="E8" i="4"/>
  <c r="F8" i="4" l="1"/>
  <c r="G8" i="4"/>
  <c r="E9" i="4"/>
  <c r="F9" i="4" l="1"/>
  <c r="G9" i="4"/>
  <c r="E10" i="4"/>
  <c r="G10" i="4" l="1"/>
  <c r="E11" i="4"/>
  <c r="F10" i="4"/>
  <c r="G11" i="4" l="1"/>
  <c r="F11" i="4"/>
  <c r="E12" i="4"/>
  <c r="F12" i="4" l="1"/>
  <c r="G12" i="4"/>
  <c r="E13" i="4"/>
  <c r="F13" i="4" l="1"/>
  <c r="G13" i="4"/>
  <c r="E14" i="4"/>
  <c r="F14" i="4" l="1"/>
  <c r="G14" i="4"/>
  <c r="E15" i="4"/>
  <c r="F15" i="4" l="1"/>
  <c r="G15" i="4"/>
  <c r="E16" i="4"/>
  <c r="F16" i="4" l="1"/>
  <c r="G16" i="4"/>
  <c r="E17" i="4"/>
  <c r="F17" i="4" l="1"/>
  <c r="G17" i="4"/>
  <c r="E18" i="4"/>
  <c r="F18" i="4" l="1"/>
  <c r="G18" i="4"/>
  <c r="E19" i="4"/>
  <c r="F19" i="4" l="1"/>
  <c r="G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Brady</author>
  </authors>
  <commentList>
    <comment ref="D5" authorId="0" shapeId="0" xr:uid="{BB417992-D442-4E79-85DA-6985789D47AF}">
      <text>
        <r>
          <rPr>
            <b/>
            <sz val="9"/>
            <color indexed="81"/>
            <rFont val="Tahoma"/>
            <charset val="1"/>
          </rPr>
          <t>Sean Brady:</t>
        </r>
        <r>
          <rPr>
            <sz val="9"/>
            <color indexed="81"/>
            <rFont val="Tahoma"/>
            <charset val="1"/>
          </rPr>
          <t xml:space="preserve">
Source: DESI DR2, zhang_section_4_2_7.csv (uploaded)</t>
        </r>
      </text>
    </comment>
    <comment ref="C13" authorId="0" shapeId="0" xr:uid="{CA703EA4-C8FF-454D-BE92-EAEB98908D81}">
      <text>
        <r>
          <rPr>
            <b/>
            <sz val="9"/>
            <color indexed="81"/>
            <rFont val="Tahoma"/>
            <charset val="1"/>
          </rPr>
          <t>Sean Brady:</t>
        </r>
        <r>
          <rPr>
            <sz val="9"/>
            <color indexed="81"/>
            <rFont val="Tahoma"/>
            <charset val="1"/>
          </rPr>
          <t xml:space="preserve">
Sealed CR018b r_d = 147.769 Mpc, pulled from CMB sheet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<sst xmlns="http://schemas.openxmlformats.org/spreadsheetml/2006/main" count="2215" uniqueCount="1564">
  <si>
    <t>SAM Master Constants - live-formula workbook</t>
  </si>
  <si>
    <t>Sean Brady, 2026-06-28  -  stewardship d9fe07c9b87bb52bc20b08bc1c8b24cb4fb312fbd35653b5d1030b14ed0a7e88</t>
  </si>
  <si>
    <t>Primitives (yellow) are literal inputs.  Derived constants (green) compute live from primitives.  External anchors (orange) are declared, not fitted.</t>
  </si>
  <si>
    <t>Symbol</t>
  </si>
  <si>
    <t>Description / Closed form</t>
  </si>
  <si>
    <t>Value</t>
  </si>
  <si>
    <t>Units</t>
  </si>
  <si>
    <t>Source / CR</t>
  </si>
  <si>
    <t>Notes</t>
  </si>
  <si>
    <t>TIER 1 - PRIMITIVES  (literal inputs; everything below derives from these)</t>
  </si>
  <si>
    <t>h_hat</t>
  </si>
  <si>
    <t>binary readout</t>
  </si>
  <si>
    <t>Volume I 4.2</t>
  </si>
  <si>
    <t>alpha_H</t>
  </si>
  <si>
    <t>d_hat</t>
  </si>
  <si>
    <t>dimensional readout</t>
  </si>
  <si>
    <t>Volume I 4.1</t>
  </si>
  <si>
    <t>D</t>
  </si>
  <si>
    <t>pi</t>
  </si>
  <si>
    <t>route completion</t>
  </si>
  <si>
    <t>math</t>
  </si>
  <si>
    <t>transcendental axis</t>
  </si>
  <si>
    <t>closure check</t>
  </si>
  <si>
    <t>d_hat^(d_hat-1) - h_hat^d_hat - 1 = 0</t>
  </si>
  <si>
    <t>CR238 closure axiom</t>
  </si>
  <si>
    <t>must be 0; uniquely selects (2,3)</t>
  </si>
  <si>
    <t>TIER 2 - INTEGER ATOMS  (no pi yet)</t>
  </si>
  <si>
    <t>S</t>
  </si>
  <si>
    <t>h_hat^d_hat  split inventory</t>
  </si>
  <si>
    <t>Volume I 4</t>
  </si>
  <si>
    <t>V_cell</t>
  </si>
  <si>
    <t>d_hat^d_hat  write cell</t>
  </si>
  <si>
    <t>F_face</t>
  </si>
  <si>
    <t>d_hat^(d_hat+1)  carrier face</t>
  </si>
  <si>
    <t>R</t>
  </si>
  <si>
    <t>h_hat^2 * d_hat  route radix</t>
  </si>
  <si>
    <t>R^2</t>
  </si>
  <si>
    <t>writable capacity (union)</t>
  </si>
  <si>
    <t>Volume I 4, CR229</t>
  </si>
  <si>
    <t>Theta</t>
  </si>
  <si>
    <t>h_hat * d_hat^2  tensor bridge (overlap, graviton)</t>
  </si>
  <si>
    <t>L_ledger</t>
  </si>
  <si>
    <t>h_hat * F_face  closed ledger</t>
  </si>
  <si>
    <t>CR229 closure</t>
  </si>
  <si>
    <t>M</t>
  </si>
  <si>
    <t>R^2 - Theta  matter capacity (symmetric diff)</t>
  </si>
  <si>
    <t>CR114, CR229</t>
  </si>
  <si>
    <t>d_sq</t>
  </si>
  <si>
    <t>dimensional square</t>
  </si>
  <si>
    <t>TIER 3 - STRUCTURAL IDENTITIES  (load-bearing checks)</t>
  </si>
  <si>
    <t>six_id</t>
  </si>
  <si>
    <t>h_hat * d_hat  (= R/2 = Theta/d_hat = L_ledger/V_cell)</t>
  </si>
  <si>
    <t>CR036 eta exponent</t>
  </si>
  <si>
    <t>check R/2</t>
  </si>
  <si>
    <t>R_radix / 2 - six_id</t>
  </si>
  <si>
    <t>check</t>
  </si>
  <si>
    <t>must = 0</t>
  </si>
  <si>
    <t>check Theta/d_hat</t>
  </si>
  <si>
    <t>Theta_bridge / d_hat - six_id</t>
  </si>
  <si>
    <t>check L/V</t>
  </si>
  <si>
    <t>L_ledger / V_cell - six_id</t>
  </si>
  <si>
    <t>R^2 + Theta</t>
  </si>
  <si>
    <t>should equal L_ledger</t>
  </si>
  <si>
    <t>CR229</t>
  </si>
  <si>
    <t>R^2 - Theta</t>
  </si>
  <si>
    <t>should equal M_mass</t>
  </si>
  <si>
    <t>2*Theta</t>
  </si>
  <si>
    <t>L_ledger - M_mass</t>
  </si>
  <si>
    <t>retained_share</t>
  </si>
  <si>
    <t>M_mass / R_sq</t>
  </si>
  <si>
    <t>tensor_share</t>
  </si>
  <si>
    <t>Theta_bridge / R_sq  (= h_hat^-d_hat)</t>
  </si>
  <si>
    <t>bigrade_sum</t>
  </si>
  <si>
    <t>d_sq * (h_hat + d_hat)</t>
  </si>
  <si>
    <t>CR218 hidden source</t>
  </si>
  <si>
    <t>TIER 4 - RATIONAL RATIOS AND COEFFICIENTS  (matter laws)</t>
  </si>
  <si>
    <t>c_plus</t>
  </si>
  <si>
    <t>1 + 1/h_hat^2</t>
  </si>
  <si>
    <t>CR254 charged law</t>
  </si>
  <si>
    <t>c_minus</t>
  </si>
  <si>
    <t>1 + 1/h_hat</t>
  </si>
  <si>
    <t>A_neg</t>
  </si>
  <si>
    <t>c_plus / c_minus</t>
  </si>
  <si>
    <t>CR256 antimatter</t>
  </si>
  <si>
    <t>A_pos</t>
  </si>
  <si>
    <t>c_minus / c_plus</t>
  </si>
  <si>
    <t>L_6</t>
  </si>
  <si>
    <t>lifted connector  6 + 36/R_sq</t>
  </si>
  <si>
    <t>binding closure</t>
  </si>
  <si>
    <t>L_12</t>
  </si>
  <si>
    <t>lifted connector  12 + 144/R_sq</t>
  </si>
  <si>
    <t>TIER 5 - ACCUMULATION  (pi-bearing  -  cosmology, distances, halos)</t>
  </si>
  <si>
    <t>A_0</t>
  </si>
  <si>
    <t>1 / (pi * R)  =  V_cell / (pi * h_hat * L_ledger)</t>
  </si>
  <si>
    <t>CR001@A0a, CR003@19</t>
  </si>
  <si>
    <t>A_share</t>
  </si>
  <si>
    <t>pi * A_0  =  1/R</t>
  </si>
  <si>
    <t>Volume I 4.7</t>
  </si>
  <si>
    <t>A_side</t>
  </si>
  <si>
    <t>A_share / 2</t>
  </si>
  <si>
    <t>chi</t>
  </si>
  <si>
    <t>(S / d_hat) * A_0</t>
  </si>
  <si>
    <t>CR018@07 baryon mix</t>
  </si>
  <si>
    <t>Omega_m</t>
  </si>
  <si>
    <t>R * A_0  =  1/pi</t>
  </si>
  <si>
    <t>CR019@07 matter density</t>
  </si>
  <si>
    <t>~ 0.31831</t>
  </si>
  <si>
    <t>Omega_b</t>
  </si>
  <si>
    <t>2 * A_0 * (1 - chi)</t>
  </si>
  <si>
    <t>CR018@07 baryon density</t>
  </si>
  <si>
    <t>~ 0.04930</t>
  </si>
  <si>
    <t>Omega_c</t>
  </si>
  <si>
    <t>Omega_m - Omega_b</t>
  </si>
  <si>
    <t>CR036B@19 cold-DM density</t>
  </si>
  <si>
    <t>~ 0.26901</t>
  </si>
  <si>
    <t>Omega_L</t>
  </si>
  <si>
    <t>(pi - 1) / pi</t>
  </si>
  <si>
    <t>CR002@19 fate identity</t>
  </si>
  <si>
    <t>~ 0.68169</t>
  </si>
  <si>
    <t>X_inf</t>
  </si>
  <si>
    <t>(R - h_hat) * Omega_m  =  10/pi</t>
  </si>
  <si>
    <t>CR025/CR031b@08 galaxy halo</t>
  </si>
  <si>
    <t>~ 3.18310 asymptote</t>
  </si>
  <si>
    <t>TIER 6 - DIMENSIONAL BRIDGE  (declared external anchors  -  NOT fitted)</t>
  </si>
  <si>
    <t>T_CMB</t>
  </si>
  <si>
    <t>FIRAS thermal anchor</t>
  </si>
  <si>
    <t>K</t>
  </si>
  <si>
    <t>FIRAS measurement</t>
  </si>
  <si>
    <t>eta -&gt; omega_b bridge</t>
  </si>
  <si>
    <t>c</t>
  </si>
  <si>
    <t>speed of light</t>
  </si>
  <si>
    <t>m/s</t>
  </si>
  <si>
    <t>SI exact (defined)</t>
  </si>
  <si>
    <t>GPS, distances, K_eta</t>
  </si>
  <si>
    <t>h_planck</t>
  </si>
  <si>
    <t>Planck constant</t>
  </si>
  <si>
    <t>J*s</t>
  </si>
  <si>
    <t>SI exact (2019)</t>
  </si>
  <si>
    <t>blackbody n_gamma</t>
  </si>
  <si>
    <t>hbar</t>
  </si>
  <si>
    <t>h_planck / (2*pi)</t>
  </si>
  <si>
    <t>derived from h, pi</t>
  </si>
  <si>
    <t>reduced Planck</t>
  </si>
  <si>
    <t>k_B</t>
  </si>
  <si>
    <t>Boltzmann constant</t>
  </si>
  <si>
    <t>J/K</t>
  </si>
  <si>
    <t>G</t>
  </si>
  <si>
    <t>Newton gravitational constant</t>
  </si>
  <si>
    <t>m^3/(kg*s^2)</t>
  </si>
  <si>
    <t>CODATA 2018</t>
  </si>
  <si>
    <t>r_s, rho_crit, halo M</t>
  </si>
  <si>
    <t>Mpc</t>
  </si>
  <si>
    <t>megaparsec</t>
  </si>
  <si>
    <t>m</t>
  </si>
  <si>
    <t>parsec definition</t>
  </si>
  <si>
    <t>H_0 units, distances</t>
  </si>
  <si>
    <t>m_p</t>
  </si>
  <si>
    <t>proton mass</t>
  </si>
  <si>
    <t>kg</t>
  </si>
  <si>
    <t>K_eta baryon mass</t>
  </si>
  <si>
    <t>zeta_3</t>
  </si>
  <si>
    <t>Apery constant zeta(3)</t>
  </si>
  <si>
    <t>math (Apery 1979)</t>
  </si>
  <si>
    <t>blackbody n_gamma  -  CRITICAL</t>
  </si>
  <si>
    <t>N_eff</t>
  </si>
  <si>
    <t>effective neutrino species</t>
  </si>
  <si>
    <t>standard radiation</t>
  </si>
  <si>
    <t>z_eq cascade</t>
  </si>
  <si>
    <t>k_pivot</t>
  </si>
  <si>
    <t>scalar amplitude pivot</t>
  </si>
  <si>
    <t>Mpc^-1</t>
  </si>
  <si>
    <t>convention</t>
  </si>
  <si>
    <t>A_s convention</t>
  </si>
  <si>
    <t>TIER 7 - SUBSTRATE-TO-PHYSICS CASCADE  (eta_SAM, K_eta, H_0, perturbation triplet)</t>
  </si>
  <si>
    <t>eta_SAM</t>
  </si>
  <si>
    <t>(M/(h_hat^2 * Theta)) * A_0^(L/V)  =  (7/4) * A_0^6</t>
  </si>
  <si>
    <t>CR036@19 PASS</t>
  </si>
  <si>
    <t>~ 6.0961e-10</t>
  </si>
  <si>
    <t>eta cross-check</t>
  </si>
  <si>
    <t>(7/4) * A_0^6 - eta_SAM</t>
  </si>
  <si>
    <t>H_100</t>
  </si>
  <si>
    <t>100 km/s/Mpc in s^-1</t>
  </si>
  <si>
    <t>1/s</t>
  </si>
  <si>
    <t>unit conversion</t>
  </si>
  <si>
    <t>rho_crit(h=1)</t>
  </si>
  <si>
    <t>3 * H_100^2 / (8*pi*G)</t>
  </si>
  <si>
    <t>kg/m^3</t>
  </si>
  <si>
    <t>Friedmann at h=1</t>
  </si>
  <si>
    <t>~ 1.878e-26</t>
  </si>
  <si>
    <t>n_gamma(T_CMB)</t>
  </si>
  <si>
    <t>(2*zeta_3/pi^2) * (k_B*T_CMB/(hbar*c))^3</t>
  </si>
  <si>
    <t>1/m^3</t>
  </si>
  <si>
    <t>Planck blackbody</t>
  </si>
  <si>
    <t>~ 4.107e8</t>
  </si>
  <si>
    <t>K_eta-&gt;omega_b</t>
  </si>
  <si>
    <t>rho_crit(h=1) / (m_p * n_gamma)</t>
  </si>
  <si>
    <t>CR036 derived in-runner (not hardcoded)</t>
  </si>
  <si>
    <t>~ 2.735e-8</t>
  </si>
  <si>
    <t>omega_b_SAM</t>
  </si>
  <si>
    <t>eta_SAM / K_eta</t>
  </si>
  <si>
    <t>CR036 PASS</t>
  </si>
  <si>
    <t>~ 0.02230 = Omega_b * h^2</t>
  </si>
  <si>
    <t>h_SAM^2</t>
  </si>
  <si>
    <t>omega_b_SAM / Omega_b</t>
  </si>
  <si>
    <t>h_SAM</t>
  </si>
  <si>
    <t>sqrt(h_SAM^2)</t>
  </si>
  <si>
    <t>~ 0.6725</t>
  </si>
  <si>
    <t>H_0_SAM</t>
  </si>
  <si>
    <t>100 * h_SAM</t>
  </si>
  <si>
    <t>km/s/Mpc</t>
  </si>
  <si>
    <t>~ 67.250  (-0.16% vs Planck 67.36)</t>
  </si>
  <si>
    <t>omega_c_SAM</t>
  </si>
  <si>
    <t>Omega_c * h_SAM^2</t>
  </si>
  <si>
    <t>CR036B input</t>
  </si>
  <si>
    <t>~ 0.1217</t>
  </si>
  <si>
    <t>A_s_SAM</t>
  </si>
  <si>
    <t>eta_SAM * sqrt(R)</t>
  </si>
  <si>
    <t>CR037A PASS</t>
  </si>
  <si>
    <t>~ 2.1117e-9</t>
  </si>
  <si>
    <t>n_s_SAM</t>
  </si>
  <si>
    <t>1 - chi/2</t>
  </si>
  <si>
    <t>~ 0.96463</t>
  </si>
  <si>
    <t>tau_SAM</t>
  </si>
  <si>
    <t>2 * A_0</t>
  </si>
  <si>
    <t>~ 0.05305</t>
  </si>
  <si>
    <t>TIER 8 - NUCLEAR ATOMS  (kappa, g  -  used in nuclear / binding pages)</t>
  </si>
  <si>
    <t>kappa_floor</t>
  </si>
  <si>
    <t>(R-1)*(F*S-1)/(d_hat*h_hat^S)  =  7117/768</t>
  </si>
  <si>
    <t>CR221, CR238 typed</t>
  </si>
  <si>
    <t>g</t>
  </si>
  <si>
    <t>1/S^2</t>
  </si>
  <si>
    <t>CR221, CR238</t>
  </si>
  <si>
    <t>4*kappa</t>
  </si>
  <si>
    <t>Q_mass coefficient</t>
  </si>
  <si>
    <t>CR240 Q_mass = 4*A*kappa</t>
  </si>
  <si>
    <t>dQ_coef</t>
  </si>
  <si>
    <t>4*kappa - S*g</t>
  </si>
  <si>
    <t>CR245 asymmetry term</t>
  </si>
  <si>
    <t>TIER 9 - CMB ANCILLARY  (Planck-baseline declared, NOT SAM-derived)</t>
  </si>
  <si>
    <t>m_nu_baseline</t>
  </si>
  <si>
    <t>Planck-baseline neutrino mass sum</t>
  </si>
  <si>
    <t>eV</t>
  </si>
  <si>
    <t>Planck baseline (CAMB input)</t>
  </si>
  <si>
    <t>DISTINCT from SAM Sum below</t>
  </si>
  <si>
    <t>z_eq_factor</t>
  </si>
  <si>
    <t>0.2271  (1 + 0.2271*N_eff)</t>
  </si>
  <si>
    <t>radiation-transfer convention</t>
  </si>
  <si>
    <t>z_eq + 1 = omega_m / (omega_gamma * (1 + 0.2271 * N_eff))</t>
  </si>
  <si>
    <t>TIER 10 - SAM-DERIVED NEUTRINO MASSES  (separate from Tier 9 baseline)</t>
  </si>
  <si>
    <t>nu_ratio</t>
  </si>
  <si>
    <t>((h_hat*d_hat)^2 - 1) / (h_hat - 1)</t>
  </si>
  <si>
    <t>CR001@20 selector</t>
  </si>
  <si>
    <t>dm31_sq</t>
  </si>
  <si>
    <t>Delta m^2_31 external anchor</t>
  </si>
  <si>
    <t>eV^2</t>
  </si>
  <si>
    <t>PDG external scale anchor</t>
  </si>
  <si>
    <t>scale-fixing only</t>
  </si>
  <si>
    <t>m_nu_1</t>
  </si>
  <si>
    <t>sqrt(dm31_sq / 35)</t>
  </si>
  <si>
    <t>CR001@20</t>
  </si>
  <si>
    <t>~ 0.008477 eV</t>
  </si>
  <si>
    <t>m_nu_2</t>
  </si>
  <si>
    <t>m_1 * sqrt(h_hat)</t>
  </si>
  <si>
    <t>~ 0.011988 eV</t>
  </si>
  <si>
    <t>m_nu_3</t>
  </si>
  <si>
    <t>m_1 * (h_hat * d_hat)</t>
  </si>
  <si>
    <t>~ 0.050861 eV</t>
  </si>
  <si>
    <t>Sigma_m_nu_SAM</t>
  </si>
  <si>
    <t>m_1 + m_2 + m_3</t>
  </si>
  <si>
    <t>CR001@20 PASS</t>
  </si>
  <si>
    <t>~ 0.0713 eV  (vs Planck 0.12 bound)</t>
  </si>
  <si>
    <t>TIER 11 - STANDARD FORMULAS  (workbook-ready; reference syntax for downstream pages)</t>
  </si>
  <si>
    <t>r_s</t>
  </si>
  <si>
    <t>Schwarzschild radius  =  2*G*M / c^2</t>
  </si>
  <si>
    <t>GR / GPS / horizon</t>
  </si>
  <si>
    <t>supply M_kg on the page</t>
  </si>
  <si>
    <t>A(r)</t>
  </si>
  <si>
    <t>A-kernel  =  r_s / r</t>
  </si>
  <si>
    <t>CR003@02 weak-field</t>
  </si>
  <si>
    <t>A(r_s)=1, photon sphere=2/3, ISCO=1/3</t>
  </si>
  <si>
    <t>H(z)</t>
  </si>
  <si>
    <t>H_0 * sqrt( Omega_m*(1+z)^3 + Omega_L )</t>
  </si>
  <si>
    <t>flat LCDM Friedmann</t>
  </si>
  <si>
    <t>cosmological distance road</t>
  </si>
  <si>
    <t>M_halo</t>
  </si>
  <si>
    <t>r * X_inf * V_bar^2 / G</t>
  </si>
  <si>
    <t>CR032@08</t>
  </si>
  <si>
    <t>per-galaxy halo mass placement</t>
  </si>
  <si>
    <t>A_los(z)</t>
  </si>
  <si>
    <t>(1/pi) * (1 - (1+z)^-d_hat)   [c_eff shrinkage; OPTIONAL]</t>
  </si>
  <si>
    <t>CR012/CR013@06</t>
  </si>
  <si>
    <t>SN luminosity shrinkage kernel</t>
  </si>
  <si>
    <t>A-Kernel  -  local gravity  A(r) = r_s/r</t>
  </si>
  <si>
    <t>Schwarzschild radius and substrate A-kernel for any (M, r). Three horizon landmarks auto-computed.</t>
  </si>
  <si>
    <t>Provenance: CR003@02 (weak field), CR004@02 (GPS contact), CR011@05 (strong-field zipper)  ·  stewardship d9fe07c9b87bb52b...</t>
  </si>
  <si>
    <t>Quantity</t>
  </si>
  <si>
    <t>Closed form</t>
  </si>
  <si>
    <t>M (input)</t>
  </si>
  <si>
    <t>mass of central body</t>
  </si>
  <si>
    <t>default = 1 solar mass; change to test other bodies</t>
  </si>
  <si>
    <t>r (input)</t>
  </si>
  <si>
    <t>radial distance</t>
  </si>
  <si>
    <t>default = 1 AU</t>
  </si>
  <si>
    <t>2*G*M / c^2</t>
  </si>
  <si>
    <t>Schwarzschild radius</t>
  </si>
  <si>
    <t>r_s / r</t>
  </si>
  <si>
    <t>substrate accumulation at r</t>
  </si>
  <si>
    <t>A(r_s) check</t>
  </si>
  <si>
    <t>must = 1</t>
  </si>
  <si>
    <t>A(1.5 r_s)</t>
  </si>
  <si>
    <t>must = 0.6666666667</t>
  </si>
  <si>
    <t>A(3 r_s)</t>
  </si>
  <si>
    <t>must = 0.3333333333</t>
  </si>
  <si>
    <t>Mass presets (copy into C5):</t>
  </si>
  <si>
    <t>solar mass</t>
  </si>
  <si>
    <t>Earth</t>
  </si>
  <si>
    <t>Jupiter</t>
  </si>
  <si>
    <t>Sun's r_s ~ 2953 m</t>
  </si>
  <si>
    <t>Sgr A* (8.54e36 kg)</t>
  </si>
  <si>
    <t>M87* (1.3e40 kg)</t>
  </si>
  <si>
    <t>GPS clocks  -  gravitational and SR frequency offsets</t>
  </si>
  <si>
    <t>Combined A-kernel + special-relativistic clock rate offset for Earth orbits.</t>
  </si>
  <si>
    <t>Provenance: CR004@02 PASS, CR005@03 PASS  ·  stewardship d9fe07c9b87bb52b...</t>
  </si>
  <si>
    <t>M_Earth</t>
  </si>
  <si>
    <t>Earth mass</t>
  </si>
  <si>
    <t>R_Earth</t>
  </si>
  <si>
    <t>Earth surface radius</t>
  </si>
  <si>
    <t>r_GPS</t>
  </si>
  <si>
    <t>GPS orbit radius (~ R_Earth + 20 200 km)</t>
  </si>
  <si>
    <t>v_GPS</t>
  </si>
  <si>
    <t>GPS orbital speed</t>
  </si>
  <si>
    <t>r_s (Earth)</t>
  </si>
  <si>
    <t>2*G*M_Earth/c^2</t>
  </si>
  <si>
    <t>~ 8.87 mm</t>
  </si>
  <si>
    <t>A(R_Earth) ground</t>
  </si>
  <si>
    <t>r_s/R_Earth</t>
  </si>
  <si>
    <t>A(r_GPS) orbit</t>
  </si>
  <si>
    <t>r_s/r_GPS</t>
  </si>
  <si>
    <t>df/f gravitational</t>
  </si>
  <si>
    <t>0.5 * (A_ground - A_GPS)</t>
  </si>
  <si>
    <t>predicted positive (GPS ticks faster)</t>
  </si>
  <si>
    <t>df/f SR debit</t>
  </si>
  <si>
    <t>-0.5 * v^2/c^2</t>
  </si>
  <si>
    <t>negative (moving clocks tick slower)</t>
  </si>
  <si>
    <t>df/f net</t>
  </si>
  <si>
    <t>sum</t>
  </si>
  <si>
    <t>~ +4.45e-10 (~ +38.6 microsec/day)</t>
  </si>
  <si>
    <t>microsec/day</t>
  </si>
  <si>
    <t>df/f * 86400e6</t>
  </si>
  <si>
    <t>Parameter-free cosmological distances  -  no catalog, no c_eff shrinkage</t>
  </si>
  <si>
    <t>H(z), D_M, D_A, D_L, distance modulus from flat-LCDM Friedmann with SAM cascade inputs.</t>
  </si>
  <si>
    <t>Provenance: Uses H_0_SAM (CR036@19) + Omega_m/Omega_L (substrate atoms). Zero catalog reads.  ·  stewardship d9fe07c9b87bb52b...</t>
  </si>
  <si>
    <t>z</t>
  </si>
  <si>
    <t>H(z) km/s/Mpc</t>
  </si>
  <si>
    <t>H(z) 1/s</t>
  </si>
  <si>
    <t>1/H(z) Mpc/(km/s)</t>
  </si>
  <si>
    <t>D_M Mpc (trapezoid)</t>
  </si>
  <si>
    <t>D_A Mpc</t>
  </si>
  <si>
    <t>D_L Mpc</t>
  </si>
  <si>
    <t>Notes:</t>
  </si>
  <si>
    <t>H(z) = H_0 * sqrt(Omega_m*(1+z)^3 + Omega_L)  [flat LCDM]</t>
  </si>
  <si>
    <t>D_M cumulative-trapezoid integration of c * dz / H(z); refine z-grid for tighter integral</t>
  </si>
  <si>
    <t>All inputs SAM-derived; no SN/BAO/SH0ES catalog reads</t>
  </si>
  <si>
    <t>z_eff</t>
  </si>
  <si>
    <t>tracer</t>
  </si>
  <si>
    <t>observable</t>
  </si>
  <si>
    <t>DESI value</t>
  </si>
  <si>
    <t>residual</t>
  </si>
  <si>
    <t>+0.461% vs Planck 147.090</t>
  </si>
  <si>
    <t>dof</t>
  </si>
  <si>
    <t>CMB compressed acoustic geometry</t>
  </si>
  <si>
    <t>100 theta_*, ell_A, r_d sealed sub-percent vs Planck 2018 from CR019@06.</t>
  </si>
  <si>
    <t>Provenance: CR019@06 PASS, CR001c@19 PASS  ·  stewardship d9fe07c9b87bb52b...</t>
  </si>
  <si>
    <t>Planck reference</t>
  </si>
  <si>
    <t>Delta %</t>
  </si>
  <si>
    <t>z_*</t>
  </si>
  <si>
    <t>Hu-Sugiyama (sealed CR019)</t>
  </si>
  <si>
    <t>recombination redshift</t>
  </si>
  <si>
    <t>z_d</t>
  </si>
  <si>
    <t>(sealed CR019)</t>
  </si>
  <si>
    <t>drag redshift</t>
  </si>
  <si>
    <t>z_eq</t>
  </si>
  <si>
    <t>sealed CR019</t>
  </si>
  <si>
    <t>matter-radiation equality</t>
  </si>
  <si>
    <t>r_s(z_*)</t>
  </si>
  <si>
    <t>r_d</t>
  </si>
  <si>
    <t>Mpc, +0.461%</t>
  </si>
  <si>
    <t>D_M(z_*)</t>
  </si>
  <si>
    <t>100*theta_*</t>
  </si>
  <si>
    <t>100 * r_s(z_*) / D_M(z_*)</t>
  </si>
  <si>
    <t>+0.605%</t>
  </si>
  <si>
    <t>ell_A</t>
  </si>
  <si>
    <t>pi / theta_*</t>
  </si>
  <si>
    <t>-0.602%</t>
  </si>
  <si>
    <t>Parameter-free CMB shape closure  -  CR037B</t>
  </si>
  <si>
    <t>All SAM cascade inputs displayed live; sealed CR037B verdict at chi^2/dof = 1.0339 (zero free parameters).</t>
  </si>
  <si>
    <t>Provenance: CR037B@19 PASS, precommit 5b7bd931...  ·  stewardship d9fe07c9b87bb52b...</t>
  </si>
  <si>
    <t>CASCADE INPUTS (live from Constants sheet)</t>
  </si>
  <si>
    <t>Source</t>
  </si>
  <si>
    <t>substrate atoms</t>
  </si>
  <si>
    <t>H_0</t>
  </si>
  <si>
    <t>CR036 cascade</t>
  </si>
  <si>
    <t>A_s</t>
  </si>
  <si>
    <t>CR037A: eta_SAM * sqrt(R)</t>
  </si>
  <si>
    <t>n_s</t>
  </si>
  <si>
    <t>CR037A: 1 - chi/2</t>
  </si>
  <si>
    <t>tau</t>
  </si>
  <si>
    <t>CR037A: 2*A_0</t>
  </si>
  <si>
    <t>FIRAS anchor</t>
  </si>
  <si>
    <t>scalar amplitude convention</t>
  </si>
  <si>
    <t>m_nu (CAMB)</t>
  </si>
  <si>
    <t>Planck-baseline declared (not SAM)</t>
  </si>
  <si>
    <t>EXTERNAL DATA (display-only reference; NOT fitted)</t>
  </si>
  <si>
    <t>Planck PR3 TT</t>
  </si>
  <si>
    <t>C:\VS\Stam_model-A-v1.0\data\external_data\planck_pr3\COM_PowerSpect_CMB-TT-full_R3.01.txt</t>
  </si>
  <si>
    <t>ccf3113604020536...</t>
  </si>
  <si>
    <t>Planck PR3 TE</t>
  </si>
  <si>
    <t>C:\VS\Stam_model-A-v1.0\data\external_data\planck_pr3\COM_PowerSpect_CMB-TE-full_R3.01.txt</t>
  </si>
  <si>
    <t>8b2c97d8865ebfdf...</t>
  </si>
  <si>
    <t>Planck PR3 EE</t>
  </si>
  <si>
    <t>C:\VS\Stam_model-A-v1.0\data\external_data\planck_pr3\COM_PowerSpect_CMB-EE-full_R3.01.txt</t>
  </si>
  <si>
    <t>c865c56fe215e17e...</t>
  </si>
  <si>
    <t>SEALED CR037B VERDICT (run with CAMB 1.6.6 outside Excel)</t>
  </si>
  <si>
    <t>Gate</t>
  </si>
  <si>
    <t>Threshold</t>
  </si>
  <si>
    <t>Status</t>
  </si>
  <si>
    <t>TT chi^2 / dof</t>
  </si>
  <si>
    <t>&lt;= 2.0</t>
  </si>
  <si>
    <t>PASS</t>
  </si>
  <si>
    <t>TE chi^2 / dof</t>
  </si>
  <si>
    <t>reported</t>
  </si>
  <si>
    <t>-</t>
  </si>
  <si>
    <t>EE chi^2 / dof</t>
  </si>
  <si>
    <t>Peak 1 Delta ell</t>
  </si>
  <si>
    <t>&lt;= 5</t>
  </si>
  <si>
    <t>Peak 2 Delta ell</t>
  </si>
  <si>
    <t>&lt;= 10</t>
  </si>
  <si>
    <t>BOUNDARY (saved by P1c)</t>
  </si>
  <si>
    <t>Peak 3 Delta ell</t>
  </si>
  <si>
    <t>free parameters</t>
  </si>
  <si>
    <t>Run B optimizer</t>
  </si>
  <si>
    <t>False</t>
  </si>
  <si>
    <t>Baryon inventory derivation  -  Omega_b from substrate atoms</t>
  </si>
  <si>
    <t>Chi, Omega_b, and eta_SAM live-derived from primitives; Planck references display-only.</t>
  </si>
  <si>
    <t>Provenance: CR018@07, CR036@19 PASS  ·  stewardship d9fe07c9b87bb52b...</t>
  </si>
  <si>
    <t>Reference</t>
  </si>
  <si>
    <t>1/(pi*R)</t>
  </si>
  <si>
    <t>1/(12*pi)</t>
  </si>
  <si>
    <t>(S/d_hat)*A_0</t>
  </si>
  <si>
    <t>2/(9*pi)</t>
  </si>
  <si>
    <t>1 - chi</t>
  </si>
  <si>
    <t>2*A_0*(1-chi)</t>
  </si>
  <si>
    <t>Planck 2018 reference</t>
  </si>
  <si>
    <t>(7/4)*A_0^6</t>
  </si>
  <si>
    <t>-0.37% vs Planck 6.119e-10</t>
  </si>
  <si>
    <t>eta BBN consensus</t>
  </si>
  <si>
    <t>Cooke et al. 2018</t>
  </si>
  <si>
    <t>D/H consensus</t>
  </si>
  <si>
    <t>Omega_b * h_SAM^2</t>
  </si>
  <si>
    <t>0.02230</t>
  </si>
  <si>
    <t>1/pi</t>
  </si>
  <si>
    <t>+0.79% vs Planck 0.3158</t>
  </si>
  <si>
    <t>(pi-1)/pi</t>
  </si>
  <si>
    <t>-0.36% vs Planck 0.6842</t>
  </si>
  <si>
    <t>Galaxy radial halo law  X(r) = V_dark^2 / V_bar^2</t>
  </si>
  <si>
    <t>Per-galaxy X(r) from SPARC rotation curves; X_inf asymptote = 10/pi from substrate.</t>
  </si>
  <si>
    <t>Provenance: CR025@08, CR031b@08 PASS (p = 0.000999)  ·  stewardship d9fe07c9b87bb52b...</t>
  </si>
  <si>
    <t>X_inf (substrate)</t>
  </si>
  <si>
    <t>(R - h_hat) * Omega_m = 10/pi</t>
  </si>
  <si>
    <t>asymptotic V_dark^2/V_bar^2</t>
  </si>
  <si>
    <t>CATALOG LOAD (one row per SPARC galaxy):</t>
  </si>
  <si>
    <t>c:\VS\Stam_model-A-v1.0\data\external_data\SPARC_G392\Rotmod_LTG\&lt;galaxy&gt;_rotmod.dat</t>
  </si>
  <si>
    <t>175 galaxies; 3391 total points; whitespace-delimited: r_kpc V_obs V_obs_err V_gas V_disk V_bulge</t>
  </si>
  <si>
    <t>galaxy</t>
  </si>
  <si>
    <t>r_kpc</t>
  </si>
  <si>
    <t>V_obs km/s</t>
  </si>
  <si>
    <t>V_bar^2 (km/s)^2</t>
  </si>
  <si>
    <t>V_dark^2 = V_obs^2 - V_bar^2</t>
  </si>
  <si>
    <t>X(r) = V_dark^2/V_bar^2</t>
  </si>
  <si>
    <t>rho = r / r_max</t>
  </si>
  <si>
    <t>&lt;name&gt;</t>
  </si>
  <si>
    <t>&lt;r&gt;</t>
  </si>
  <si>
    <t>&lt;V_obs&gt;</t>
  </si>
  <si>
    <t>&lt;V_gas^2+V_disk^2+V_bulge^2&gt;</t>
  </si>
  <si>
    <t>Population (median across 175 galaxies):</t>
  </si>
  <si>
    <t>c_SAM = 1 / rho_{1/2}</t>
  </si>
  <si>
    <t>median</t>
  </si>
  <si>
    <t>X_inf observed median</t>
  </si>
  <si>
    <t>~3.18</t>
  </si>
  <si>
    <t>matches 10/pi within 1%</t>
  </si>
  <si>
    <t>Classes (from CR032/CR033):</t>
  </si>
  <si>
    <t>94 late-sat, 58 early-sat, 15 rising-edge, 3 intermediate, 3 baryon-inner, 2 disturbed</t>
  </si>
  <si>
    <t>Per-galaxy halo mass placement from sealed X_inf</t>
  </si>
  <si>
    <t>M_halo(&lt;R_outer) = R_outer * X_inf * V_bar^2(R_outer) / G  -  zero per-galaxy free parameters.</t>
  </si>
  <si>
    <t>Provenance: CR032@08 PASS (median 0.9983), CR033@08 PASS (median 0.9993); 173 valid SPARC galaxies  ·  stewardship d9fe07c9b87bb52b...</t>
  </si>
  <si>
    <t>10/pi</t>
  </si>
  <si>
    <t>halo asymptote from CR025/CR031b</t>
  </si>
  <si>
    <t>c:\VS\Stam_model-A-v1.0\data\external_data\SPARC_G392\Rotmod_LTG\&lt;galaxy&gt;_rotmod.dat (last row)</t>
  </si>
  <si>
    <t>R_outer kpc</t>
  </si>
  <si>
    <t>V_bar(R_outer) km/s</t>
  </si>
  <si>
    <t>R_outer m</t>
  </si>
  <si>
    <t>V_bar m/s</t>
  </si>
  <si>
    <t>M_halo kg</t>
  </si>
  <si>
    <t>M_halo M_sun</t>
  </si>
  <si>
    <t>obs (opt)</t>
  </si>
  <si>
    <t>ratio</t>
  </si>
  <si>
    <t>&lt;r_outer&gt;</t>
  </si>
  <si>
    <t>&lt;sqrt(V_gas^2+V_disk^2+V_bulge^2)&gt;</t>
  </si>
  <si>
    <t>&lt;obs M, optional&gt;</t>
  </si>
  <si>
    <t>Population median target</t>
  </si>
  <si>
    <t>CR032 (CR033 = 0.9993)</t>
  </si>
  <si>
    <t>Provenance: CR253-CR256@09a PASS, sealed 2026-06-28  ·  stewardship d9fe07c9b87bb52b...</t>
  </si>
  <si>
    <t>row_id</t>
  </si>
  <si>
    <t>bin</t>
  </si>
  <si>
    <t>sector</t>
  </si>
  <si>
    <t>sign</t>
  </si>
  <si>
    <t>q</t>
  </si>
  <si>
    <t>p</t>
  </si>
  <si>
    <t>d</t>
  </si>
  <si>
    <t>qA_obs</t>
  </si>
  <si>
    <t>qA_pred</t>
  </si>
  <si>
    <t>exact?</t>
  </si>
  <si>
    <t>QP093A-0001</t>
  </si>
  <si>
    <t>stable_matter</t>
  </si>
  <si>
    <t>matter charged</t>
  </si>
  <si>
    <t>QP093A-0050</t>
  </si>
  <si>
    <t>matter neutral</t>
  </si>
  <si>
    <t>QP093A-0088</t>
  </si>
  <si>
    <t>antimatter_conjugate</t>
  </si>
  <si>
    <t>anti charged</t>
  </si>
  <si>
    <t>Element / isotope data from atomic number  -  SOB workbook columns</t>
  </si>
  <si>
    <t>Q_mass, Q_sub, dQ, asymmetry identity, binding closure  -  all from (Z, N) and substrate atoms.</t>
  </si>
  <si>
    <t>Provenance: CR238/CR240/CR243/CR244/CR245/CR247@09a typed spine; SOB workbook CR227/CR228  ·  stewardship d9fe07c9b87bb52b...</t>
  </si>
  <si>
    <t>Z (input)</t>
  </si>
  <si>
    <t>atomic number</t>
  </si>
  <si>
    <t>default = oxygen</t>
  </si>
  <si>
    <t>neutron number</t>
  </si>
  <si>
    <t>default = O-16</t>
  </si>
  <si>
    <t>A</t>
  </si>
  <si>
    <t>Z + N</t>
  </si>
  <si>
    <t>(N-Z)</t>
  </si>
  <si>
    <t>neutron excess</t>
  </si>
  <si>
    <t>kappa</t>
  </si>
  <si>
    <t>7117/768</t>
  </si>
  <si>
    <t>1/64</t>
  </si>
  <si>
    <t>Q_mass</t>
  </si>
  <si>
    <t>4 * A * kappa</t>
  </si>
  <si>
    <t>Q_sub</t>
  </si>
  <si>
    <t>S * (Z*kappa + (N-Z)*g)</t>
  </si>
  <si>
    <t>dQ</t>
  </si>
  <si>
    <t>Q_mass - Q_sub</t>
  </si>
  <si>
    <t>dQ identity check</t>
  </si>
  <si>
    <t>(N-Z) * 7093/192</t>
  </si>
  <si>
    <t>must equal dQ</t>
  </si>
  <si>
    <t>G(P)</t>
  </si>
  <si>
    <t>Z*kappa + (N-Z)*g</t>
  </si>
  <si>
    <t>GR(P)</t>
  </si>
  <si>
    <t>8 * G(P)</t>
  </si>
  <si>
    <t>asymmetry identity LHS</t>
  </si>
  <si>
    <t>(Q_mass - Q_sub)^2 / Q_mass</t>
  </si>
  <si>
    <t>asymmetry identity RHS</t>
  </si>
  <si>
    <t>(N-Z)^2/A * 7093^2/(192*7117)</t>
  </si>
  <si>
    <t>should equal LHS (CR245)</t>
  </si>
  <si>
    <t>BINDING CLOSURE (Bethe-Weizsacker with substrate coefficients)</t>
  </si>
  <si>
    <t>+1 even-even, -1 odd-odd, 0 odd-A</t>
  </si>
  <si>
    <t>Lambda (shell, user input)</t>
  </si>
  <si>
    <t>magic-number correction</t>
  </si>
  <si>
    <t>a_volume = S</t>
  </si>
  <si>
    <t>a_surface = Theta - 1</t>
  </si>
  <si>
    <t>a_Coulomb = d_hat^2 / R</t>
  </si>
  <si>
    <t>a_asym = h_hat * (R - 1)</t>
  </si>
  <si>
    <t>a_pair = S - 1</t>
  </si>
  <si>
    <t>a_shell = L_6</t>
  </si>
  <si>
    <t>B_u^(0)</t>
  </si>
  <si>
    <t>S*A - (Theta-1)*A^(2/3) - (d^2/R)*Z*(Z-1)/A^(1/3) - h*(R-1)*(N-Z)^2/A + (S-1)*delta/sqrt(A) - L_6*Lambda</t>
  </si>
  <si>
    <t>binding energy proxy</t>
  </si>
  <si>
    <t>Big Bang acoustic / thermal clock  -  sealed CR019 + CR036 + CR001c</t>
  </si>
  <si>
    <t>z_eq, z_*, z_d, T(z), r_s, r_d, theta_*, ell_A from SAM cascade + Peebles recombination.</t>
  </si>
  <si>
    <t>Provenance: CR001c@19, CR019@06, CR036@19 PASS  ·  stewardship d9fe07c9b87bb52b...</t>
  </si>
  <si>
    <t>Closed form / source</t>
  </si>
  <si>
    <t>omega_m/(omega_gamma*(1+0.2271*N_eff)) - 1; sealed CR019</t>
  </si>
  <si>
    <t>Hu-Sugiyama recombination fit (sealed CR019)</t>
  </si>
  <si>
    <t>baryon-drag redshift (sealed CR019)</t>
  </si>
  <si>
    <t>sound horizon at recombination (sealed CR019)</t>
  </si>
  <si>
    <t>sound horizon at drag (sealed CR019)</t>
  </si>
  <si>
    <t>comoving distance to recombination (sealed CR019)</t>
  </si>
  <si>
    <t>+0.605% vs Planck 1.04110</t>
  </si>
  <si>
    <t>-0.602% vs Planck 301.760</t>
  </si>
  <si>
    <t>T_today</t>
  </si>
  <si>
    <t>from Constants Tier 6</t>
  </si>
  <si>
    <t>T(z) lookup helper</t>
  </si>
  <si>
    <t>z (input)</t>
  </si>
  <si>
    <t>default = recombination era</t>
  </si>
  <si>
    <t>T(z) = T_CMB * (1+z)</t>
  </si>
  <si>
    <t>z_eq derivation (E5 of CR036, reported evidence):</t>
  </si>
  <si>
    <t>omega_gamma = (pi^2 k_B^4 T_CMB^4) / (15 c^5 hbar^3) / rho_crit_h1 / h_SAM^2 (small)</t>
  </si>
  <si>
    <t>Fate identity  -  asymptotic Hubble in readout distance</t>
  </si>
  <si>
    <t>Omega_L = (pi-1)/pi  =&gt;  H_inf,native = H_0 * sqrt(Omega_L);  H_inf,readout = H_0 * Omega_L^(3/2)</t>
  </si>
  <si>
    <t>Provenance: CR002@19 PASS via CR013 shrinkage composition  ·  stewardship d9fe07c9b87bb52b...</t>
  </si>
  <si>
    <t>dark-energy density share</t>
  </si>
  <si>
    <t>sqrt(Omega_L)</t>
  </si>
  <si>
    <t>Omega_L^(3/2)</t>
  </si>
  <si>
    <t>A_los,max (saturation)</t>
  </si>
  <si>
    <t>CR013 c_eff shrinkage saturation</t>
  </si>
  <si>
    <t>1 - A_los,max</t>
  </si>
  <si>
    <t>should equal Omega_L</t>
  </si>
  <si>
    <t>H_inf,native (km/s/Mpc)</t>
  </si>
  <si>
    <t>H_0_SAM * sqrt(Omega_L)</t>
  </si>
  <si>
    <t>asymptotic native rate</t>
  </si>
  <si>
    <t>H_inf,readout (km/s/Mpc)</t>
  </si>
  <si>
    <t>H_0_SAM * Omega_L^(3/2)</t>
  </si>
  <si>
    <t>what observers will measure</t>
  </si>
  <si>
    <t>H_inf,readout (SH0ES anchor H_0=73.04)</t>
  </si>
  <si>
    <t>73.04 * Omega_L^(3/2)</t>
  </si>
  <si>
    <t>compare distance-anchored</t>
  </si>
  <si>
    <t>Homes  -  A=1 local closure projects to cosmic A_0 = 1/(12*pi)</t>
  </si>
  <si>
    <t>Every full-local-closure A=1 is the same substrate primitive. Cosmic seed = horizon = home.</t>
  </si>
  <si>
    <t>Provenance: CR003@19 angular-dimensional projection PASS; manuscript Section 19 HOMES  ·  stewardship d9fe07c9b87bb52b...</t>
  </si>
  <si>
    <t>Scale</t>
  </si>
  <si>
    <t>A_horizon</t>
  </si>
  <si>
    <t>literal (any A=1 full closure)</t>
  </si>
  <si>
    <t>local</t>
  </si>
  <si>
    <t>horizon, BH, seed</t>
  </si>
  <si>
    <t>projection 4*pi*d_hat</t>
  </si>
  <si>
    <t>angular x dimensional</t>
  </si>
  <si>
    <t>bridge</t>
  </si>
  <si>
    <t>12*pi</t>
  </si>
  <si>
    <t>A_0 (cosmic floor)</t>
  </si>
  <si>
    <t>A_horizon / (4*pi*d_hat)</t>
  </si>
  <si>
    <t>cosmic seed</t>
  </si>
  <si>
    <t>identity check</t>
  </si>
  <si>
    <t>A_0 - 1/(12*pi)</t>
  </si>
  <si>
    <t>pi * A_0 = 1/R</t>
  </si>
  <si>
    <t>cosmic</t>
  </si>
  <si>
    <t>1/12</t>
  </si>
  <si>
    <t>R * A_0 = 1/pi</t>
  </si>
  <si>
    <t>matter density</t>
  </si>
  <si>
    <t>photon sphere</t>
  </si>
  <si>
    <t>literal A = 2/3</t>
  </si>
  <si>
    <t>1.5 * r_s</t>
  </si>
  <si>
    <t>ISCO</t>
  </si>
  <si>
    <t>literal A = 1/3</t>
  </si>
  <si>
    <t>3 * r_s</t>
  </si>
  <si>
    <t>r_s (scenario M, kg)</t>
  </si>
  <si>
    <t>2*G*M/c^2</t>
  </si>
  <si>
    <t>per-mass</t>
  </si>
  <si>
    <t>uses input M below</t>
  </si>
  <si>
    <t>M (input for r_s row)</t>
  </si>
  <si>
    <t>default = solar mass</t>
  </si>
  <si>
    <t>STATEMENT</t>
  </si>
  <si>
    <t>SAM does not recognize 'one universe' or 'many black holes' - every A=1 full-local-closure is the same substrate primitive.</t>
  </si>
  <si>
    <t>Cosmic seed = horizon = home.  -  Sean Brady</t>
  </si>
  <si>
    <t>Omega_m = 1/pi</t>
  </si>
  <si>
    <t>Omega_L = (pi-1)/pi</t>
  </si>
  <si>
    <t>ratio H_inf,readout / H_0</t>
  </si>
  <si>
    <t>N (derived)</t>
  </si>
  <si>
    <t>delta (pairing, derived)</t>
  </si>
  <si>
    <t>BAO Distances — SAM vs DESI DR2</t>
  </si>
  <si>
    <t>Parameter-free SAM Friedmann distance ratios vs DESI DR2 seven-ratio table (embedded values, no external links)</t>
  </si>
  <si>
    <t>Provenance: CR018b@06 sealed r_d = 147.769 Mpc; DESI DR2 processed 7-ratio set. Stewardship d9fe07c9…0a7e88</t>
  </si>
  <si>
    <t>DESI σ</t>
  </si>
  <si>
    <t>SAM ratio</t>
  </si>
  <si>
    <t>residual/σ</t>
  </si>
  <si>
    <t>D_M (Mpc)</t>
  </si>
  <si>
    <t>D_H (Mpc)</t>
  </si>
  <si>
    <t>D_V (Mpc)</t>
  </si>
  <si>
    <t>Simpson integration helper (n=20): node fractions t (row5) &amp; weights w (row6); D_M = (c/H₀)·(z/60)·Σ w/E(t·z)</t>
  </si>
  <si>
    <t>BGS</t>
  </si>
  <si>
    <t>DV_rd</t>
  </si>
  <si>
    <t>LRG1</t>
  </si>
  <si>
    <t>DM_rd</t>
  </si>
  <si>
    <t>LRG2</t>
  </si>
  <si>
    <t>LRG3+ELG1</t>
  </si>
  <si>
    <t>ELG2</t>
  </si>
  <si>
    <t>QSO</t>
  </si>
  <si>
    <t>Lya</t>
  </si>
  <si>
    <t>SAM r_d (Mpc)</t>
  </si>
  <si>
    <t>χ² total</t>
  </si>
  <si>
    <t>χ²/dof  (gate ≤ 2.5)</t>
  </si>
  <si>
    <t>Particle closure  -  stable matter surface (CR253-CR256)</t>
  </si>
  <si>
    <t>Three compact laws close the matter-charged (48), matter-neutral (24), and anti-charged (42) sectors exactly. qp093a v3 corrected catalog (114 surface rows).</t>
  </si>
  <si>
    <t>QP093A-0002</t>
  </si>
  <si>
    <t>matter_charged</t>
  </si>
  <si>
    <t>negative</t>
  </si>
  <si>
    <t>positive</t>
  </si>
  <si>
    <t>QP093A-0026</t>
  </si>
  <si>
    <t>QP093A-0025</t>
  </si>
  <si>
    <t>QP093A-0049</t>
  </si>
  <si>
    <t>QP093A-0005</t>
  </si>
  <si>
    <t>QP093A-0004</t>
  </si>
  <si>
    <t>QP093A-0029</t>
  </si>
  <si>
    <t>QP093A-0028</t>
  </si>
  <si>
    <t>QP093A-0053</t>
  </si>
  <si>
    <t>QP093A-0052</t>
  </si>
  <si>
    <t>QP093A-0008</t>
  </si>
  <si>
    <t>QP093A-0007</t>
  </si>
  <si>
    <t>QP093A-0032</t>
  </si>
  <si>
    <t>QP093A-0031</t>
  </si>
  <si>
    <t>QP093A-0056</t>
  </si>
  <si>
    <t>QP093A-0055</t>
  </si>
  <si>
    <t>QP093A-0011</t>
  </si>
  <si>
    <t>QP093A-0010</t>
  </si>
  <si>
    <t>QP093A-0035</t>
  </si>
  <si>
    <t>QP093A-0034</t>
  </si>
  <si>
    <t>QP093A-0059</t>
  </si>
  <si>
    <t>QP093A-0058</t>
  </si>
  <si>
    <t>QP093A-0014</t>
  </si>
  <si>
    <t>QP093A-0013</t>
  </si>
  <si>
    <t>QP093A-0038</t>
  </si>
  <si>
    <t>QP093A-0037</t>
  </si>
  <si>
    <t>QP093A-0062</t>
  </si>
  <si>
    <t>QP093A-0061</t>
  </si>
  <si>
    <t>QP093A-0017</t>
  </si>
  <si>
    <t>QP093A-0016</t>
  </si>
  <si>
    <t>QP093A-0041</t>
  </si>
  <si>
    <t>QP093A-0040</t>
  </si>
  <si>
    <t>QP093A-0065</t>
  </si>
  <si>
    <t>QP093A-0064</t>
  </si>
  <si>
    <t>QP093A-0020</t>
  </si>
  <si>
    <t>QP093A-0019</t>
  </si>
  <si>
    <t>QP093A-0044</t>
  </si>
  <si>
    <t>QP093A-0043</t>
  </si>
  <si>
    <t>QP093A-0068</t>
  </si>
  <si>
    <t>QP093A-0067</t>
  </si>
  <si>
    <t>QP093A-0023</t>
  </si>
  <si>
    <t>QP093A-0022</t>
  </si>
  <si>
    <t>QP093A-0047</t>
  </si>
  <si>
    <t>QP093A-0046</t>
  </si>
  <si>
    <t>QP093A-0071</t>
  </si>
  <si>
    <t>QP093A-0070</t>
  </si>
  <si>
    <t>QP093A-0003</t>
  </si>
  <si>
    <t>matter_neutral</t>
  </si>
  <si>
    <t>neutral</t>
  </si>
  <si>
    <t>QP093A-0027</t>
  </si>
  <si>
    <t>QP093A-0051</t>
  </si>
  <si>
    <t>QP093A-0006</t>
  </si>
  <si>
    <t>QP093A-0030</t>
  </si>
  <si>
    <t>QP093A-0054</t>
  </si>
  <si>
    <t>QP093A-0009</t>
  </si>
  <si>
    <t>QP093A-0033</t>
  </si>
  <si>
    <t>QP093A-0057</t>
  </si>
  <si>
    <t>QP093A-0012</t>
  </si>
  <si>
    <t>QP093A-0036</t>
  </si>
  <si>
    <t>QP093A-0060</t>
  </si>
  <si>
    <t>QP093A-0015</t>
  </si>
  <si>
    <t>QP093A-0039</t>
  </si>
  <si>
    <t>QP093A-0063</t>
  </si>
  <si>
    <t>QP093A-0018</t>
  </si>
  <si>
    <t>QP093A-0042</t>
  </si>
  <si>
    <t>QP093A-0066</t>
  </si>
  <si>
    <t>QP093A-0021</t>
  </si>
  <si>
    <t>QP093A-0045</t>
  </si>
  <si>
    <t>QP093A-0069</t>
  </si>
  <si>
    <t>QP093A-0024</t>
  </si>
  <si>
    <t>QP093A-0048</t>
  </si>
  <si>
    <t>QP093A-0072</t>
  </si>
  <si>
    <t>QP093A-0073</t>
  </si>
  <si>
    <t>anti_charged</t>
  </si>
  <si>
    <t>QP093A-0074</t>
  </si>
  <si>
    <t>QP093A-0089</t>
  </si>
  <si>
    <t>QP093A-0090</t>
  </si>
  <si>
    <t>QP093A-0105</t>
  </si>
  <si>
    <t>QP093A-0106</t>
  </si>
  <si>
    <t>QP093A-0075</t>
  </si>
  <si>
    <t>QP093A-0076</t>
  </si>
  <si>
    <t>QP093A-0091</t>
  </si>
  <si>
    <t>QP093A-0092</t>
  </si>
  <si>
    <t>QP093A-0107</t>
  </si>
  <si>
    <t>QP093A-0108</t>
  </si>
  <si>
    <t>QP093A-0077</t>
  </si>
  <si>
    <t>QP093A-0078</t>
  </si>
  <si>
    <t>QP093A-0093</t>
  </si>
  <si>
    <t>QP093A-0094</t>
  </si>
  <si>
    <t>QP093A-0109</t>
  </si>
  <si>
    <t>QP093A-0110</t>
  </si>
  <si>
    <t>QP093A-0079</t>
  </si>
  <si>
    <t>QP093A-0080</t>
  </si>
  <si>
    <t>QP093A-0095</t>
  </si>
  <si>
    <t>QP093A-0096</t>
  </si>
  <si>
    <t>QP093A-0111</t>
  </si>
  <si>
    <t>QP093A-0112</t>
  </si>
  <si>
    <t>QP093A-0081</t>
  </si>
  <si>
    <t>QP093A-0082</t>
  </si>
  <si>
    <t>QP093A-0097</t>
  </si>
  <si>
    <t>QP093A-0098</t>
  </si>
  <si>
    <t>QP093A-0113</t>
  </si>
  <si>
    <t>QP093A-0114</t>
  </si>
  <si>
    <t>QP093A-0083</t>
  </si>
  <si>
    <t>QP093A-0084</t>
  </si>
  <si>
    <t>QP093A-0099</t>
  </si>
  <si>
    <t>QP093A-0100</t>
  </si>
  <si>
    <t>QP093A-0085</t>
  </si>
  <si>
    <t>QP093A-0086</t>
  </si>
  <si>
    <t>QP093A-0101</t>
  </si>
  <si>
    <t>QP093A-0102</t>
  </si>
  <si>
    <t>QP093A-0087</t>
  </si>
  <si>
    <t>QP093A-0103</t>
  </si>
  <si>
    <t>QP093A-0104</t>
  </si>
  <si>
    <t>Closure verification  (CR254 / CR255 / CR256)</t>
  </si>
  <si>
    <t>rows</t>
  </si>
  <si>
    <t>exact qA matches</t>
  </si>
  <si>
    <t>max |residual|</t>
  </si>
  <si>
    <t>total</t>
  </si>
  <si>
    <t>Special falsifier  QP093A-0088 (anti, positive, p=12, d=0)  -&gt;  qA = 0 exactly (CR256)</t>
  </si>
  <si>
    <t>Pantheon+ SH0ES  -  SN distance-modulus comparison  (DISPLAY ONLY)</t>
  </si>
  <si>
    <t>Raw Pantheon+ rows beside SAM parameter-free mu(z). NOT used in any SAM fit - visual row-by-row comparison only, per design discipline (SN data intentionally excluded from the cosmology chain).</t>
  </si>
  <si>
    <t>Source: Pantheon+SH0ES.dat (1701 SNe), embedded as values. SAM mu(z) from H_0_SAM, Omega_m, Omega_L (Constants).</t>
  </si>
  <si>
    <t>CID</t>
  </si>
  <si>
    <t>z (zHD)</t>
  </si>
  <si>
    <t>mu_obs (SH0ES)</t>
  </si>
  <si>
    <t>sigma_mu</t>
  </si>
  <si>
    <t>calibrator?</t>
  </si>
  <si>
    <t>mu_SAM</t>
  </si>
  <si>
    <t>residual (SAM-obs)</t>
  </si>
  <si>
    <t>Simpson nodes (fractions) -&gt;</t>
  </si>
  <si>
    <t>Simpson weights -&gt;</t>
  </si>
  <si>
    <t>2011fe</t>
  </si>
  <si>
    <t>2012cg</t>
  </si>
  <si>
    <t>1994DRichmond</t>
  </si>
  <si>
    <t>1981B</t>
  </si>
  <si>
    <t>2013aa</t>
  </si>
  <si>
    <t>2017cbv</t>
  </si>
  <si>
    <t>2001el</t>
  </si>
  <si>
    <t>2011by</t>
  </si>
  <si>
    <t>1998aq</t>
  </si>
  <si>
    <t>1990N</t>
  </si>
  <si>
    <t>2021pit</t>
  </si>
  <si>
    <t>2005df</t>
  </si>
  <si>
    <t>2005df_ANU</t>
  </si>
  <si>
    <t>2013dy</t>
  </si>
  <si>
    <t>2012ht</t>
  </si>
  <si>
    <t>1980N</t>
  </si>
  <si>
    <t>2012fr</t>
  </si>
  <si>
    <t>2007on</t>
  </si>
  <si>
    <t>1992A</t>
  </si>
  <si>
    <t>2015F</t>
  </si>
  <si>
    <t>2011B</t>
  </si>
  <si>
    <t>2018aoz</t>
  </si>
  <si>
    <t>2016coj</t>
  </si>
  <si>
    <t>SN2016coj</t>
  </si>
  <si>
    <t>2007sr</t>
  </si>
  <si>
    <t>2007gi</t>
  </si>
  <si>
    <t>1994ae</t>
  </si>
  <si>
    <t>2015bp</t>
  </si>
  <si>
    <t>2018gv</t>
  </si>
  <si>
    <t>1981D</t>
  </si>
  <si>
    <t>2006dd</t>
  </si>
  <si>
    <t>2007af</t>
  </si>
  <si>
    <t>2007le</t>
  </si>
  <si>
    <t>1998dm</t>
  </si>
  <si>
    <t>2014bv</t>
  </si>
  <si>
    <t>2019np</t>
  </si>
  <si>
    <t>1997br</t>
  </si>
  <si>
    <t>2011iv</t>
  </si>
  <si>
    <t>1995al</t>
  </si>
  <si>
    <t>1996X</t>
  </si>
  <si>
    <t>2017erp</t>
  </si>
  <si>
    <t>1992G</t>
  </si>
  <si>
    <t>2005cf</t>
  </si>
  <si>
    <t>2002fk</t>
  </si>
  <si>
    <t>2003du</t>
  </si>
  <si>
    <t>2008Q</t>
  </si>
  <si>
    <t>2003kf</t>
  </si>
  <si>
    <t>1998dh</t>
  </si>
  <si>
    <t>2012hr</t>
  </si>
  <si>
    <t>2009ig</t>
  </si>
  <si>
    <t>1996Z</t>
  </si>
  <si>
    <t>1995D</t>
  </si>
  <si>
    <t>1991M</t>
  </si>
  <si>
    <t>2013gh</t>
  </si>
  <si>
    <t>2001bg</t>
  </si>
  <si>
    <t>2005W</t>
  </si>
  <si>
    <t>ASASSN-15so</t>
  </si>
  <si>
    <t>PSNJ0717457</t>
  </si>
  <si>
    <t>2005am</t>
  </si>
  <si>
    <t>1997bp</t>
  </si>
  <si>
    <t>2019ein</t>
  </si>
  <si>
    <t>2002er</t>
  </si>
  <si>
    <t>2006D</t>
  </si>
  <si>
    <t>2013cs</t>
  </si>
  <si>
    <t>1999cp</t>
  </si>
  <si>
    <t>2002cr</t>
  </si>
  <si>
    <t>2002dj</t>
  </si>
  <si>
    <t>1998es</t>
  </si>
  <si>
    <t>PTF10icb</t>
  </si>
  <si>
    <t>2009Y</t>
  </si>
  <si>
    <t>2013E</t>
  </si>
  <si>
    <t>1999ac</t>
  </si>
  <si>
    <t>2009an</t>
  </si>
  <si>
    <t>2006bh</t>
  </si>
  <si>
    <t>2004S</t>
  </si>
  <si>
    <t>2021hpr</t>
  </si>
  <si>
    <t>2002dp</t>
  </si>
  <si>
    <t>1997do</t>
  </si>
  <si>
    <t>1997bq</t>
  </si>
  <si>
    <t>2008fv_comb</t>
  </si>
  <si>
    <t>ASASSN-16jf</t>
  </si>
  <si>
    <t>iPTF13ebh</t>
  </si>
  <si>
    <t>2010ko</t>
  </si>
  <si>
    <t>2013ex</t>
  </si>
  <si>
    <t>2009ab</t>
  </si>
  <si>
    <t>2011ao</t>
  </si>
  <si>
    <t>2001cz</t>
  </si>
  <si>
    <t>2009kk</t>
  </si>
  <si>
    <t>2010Y</t>
  </si>
  <si>
    <t>2008R</t>
  </si>
  <si>
    <t>2002ha</t>
  </si>
  <si>
    <t>2009kq</t>
  </si>
  <si>
    <t>2001bt</t>
  </si>
  <si>
    <t>2001ep</t>
  </si>
  <si>
    <t>2013gy</t>
  </si>
  <si>
    <t>AT2017cfd</t>
  </si>
  <si>
    <t>2017cfd</t>
  </si>
  <si>
    <t>1999dq</t>
  </si>
  <si>
    <t>2007hj</t>
  </si>
  <si>
    <t>2008hv</t>
  </si>
  <si>
    <t>1997E</t>
  </si>
  <si>
    <t>2007cv</t>
  </si>
  <si>
    <t>1992al</t>
  </si>
  <si>
    <t>1999dk</t>
  </si>
  <si>
    <t>ASASSN-16dn</t>
  </si>
  <si>
    <t>ASASSN-16la</t>
  </si>
  <si>
    <t>2005kc</t>
  </si>
  <si>
    <t>2007ca</t>
  </si>
  <si>
    <t>2006N</t>
  </si>
  <si>
    <t>2006td</t>
  </si>
  <si>
    <t>2013gq</t>
  </si>
  <si>
    <t>2004eo</t>
  </si>
  <si>
    <t>2003gt</t>
  </si>
  <si>
    <t>2005bo</t>
  </si>
  <si>
    <t>2001fe</t>
  </si>
  <si>
    <t>2013fa</t>
  </si>
  <si>
    <t>2000dm</t>
  </si>
  <si>
    <t>PSNJ2043531</t>
  </si>
  <si>
    <t>2011df</t>
  </si>
  <si>
    <t>2005el</t>
  </si>
  <si>
    <t>2001cn</t>
  </si>
  <si>
    <t>2005de</t>
  </si>
  <si>
    <t>SN2017jl</t>
  </si>
  <si>
    <t>ASASSN-16ad</t>
  </si>
  <si>
    <t>ATLAS16cxr</t>
  </si>
  <si>
    <t>iPTF16auf</t>
  </si>
  <si>
    <t>2008bc</t>
  </si>
  <si>
    <t>2011im</t>
  </si>
  <si>
    <t>1999ej</t>
  </si>
  <si>
    <t>2001en</t>
  </si>
  <si>
    <t>2001V</t>
  </si>
  <si>
    <t>2008ec</t>
  </si>
  <si>
    <t>2008eo</t>
  </si>
  <si>
    <t>2009nq</t>
  </si>
  <si>
    <t>2005al</t>
  </si>
  <si>
    <t>2013hn</t>
  </si>
  <si>
    <t>2001bf</t>
  </si>
  <si>
    <t>ASASSN-15oh</t>
  </si>
  <si>
    <t>1994S</t>
  </si>
  <si>
    <t>1999aa</t>
  </si>
  <si>
    <t>2002cs</t>
  </si>
  <si>
    <t>iPTF14bdn</t>
  </si>
  <si>
    <t>2007ss</t>
  </si>
  <si>
    <t>2010kg</t>
  </si>
  <si>
    <t>2013fw</t>
  </si>
  <si>
    <t>2013Q</t>
  </si>
  <si>
    <t>iPTF13dge</t>
  </si>
  <si>
    <t>2007fs</t>
  </si>
  <si>
    <t>SN2016gfr</t>
  </si>
  <si>
    <t>ASASSN-16ip</t>
  </si>
  <si>
    <t>2007A</t>
  </si>
  <si>
    <t>PSNJ0107203</t>
  </si>
  <si>
    <t>1998ef</t>
  </si>
  <si>
    <t>ASASSN-15ti</t>
  </si>
  <si>
    <t>ASASSN-15od</t>
  </si>
  <si>
    <t>1996bv</t>
  </si>
  <si>
    <t>1997Y</t>
  </si>
  <si>
    <t>2001da</t>
  </si>
  <si>
    <t>ASASSN-15kx</t>
  </si>
  <si>
    <t>2000dk</t>
  </si>
  <si>
    <t>2007fb</t>
  </si>
  <si>
    <t>2006ef</t>
  </si>
  <si>
    <t>2008C</t>
  </si>
  <si>
    <t>2004fz</t>
  </si>
  <si>
    <t>2006ax</t>
  </si>
  <si>
    <t>1998V</t>
  </si>
  <si>
    <t>2013gs</t>
  </si>
  <si>
    <t>2008L</t>
  </si>
  <si>
    <t>2009le</t>
  </si>
  <si>
    <t>2000dr</t>
  </si>
  <si>
    <t>2007as</t>
  </si>
  <si>
    <t>1992bo</t>
  </si>
  <si>
    <t>2010ai</t>
  </si>
  <si>
    <t>ASASSN-17co</t>
  </si>
  <si>
    <t>PS15coh</t>
  </si>
  <si>
    <t>2009gf</t>
  </si>
  <si>
    <t>2016ffh</t>
  </si>
  <si>
    <t>ATLAS16cpu</t>
  </si>
  <si>
    <t>2000cu</t>
  </si>
  <si>
    <t>2011fs</t>
  </si>
  <si>
    <t>ASASSN-16cs</t>
  </si>
  <si>
    <t>2006kf</t>
  </si>
  <si>
    <t>2008hs</t>
  </si>
  <si>
    <t>2007au</t>
  </si>
  <si>
    <t>2016W</t>
  </si>
  <si>
    <t>2002kf</t>
  </si>
  <si>
    <t>1992bc</t>
  </si>
  <si>
    <t>2009ds</t>
  </si>
  <si>
    <t>2006ej</t>
  </si>
  <si>
    <t>2002jy</t>
  </si>
  <si>
    <t>2016hpw</t>
  </si>
  <si>
    <t>ATLAS16dqf</t>
  </si>
  <si>
    <t>2005ki</t>
  </si>
  <si>
    <t>ASASSN-15lg</t>
  </si>
  <si>
    <t>2001dl</t>
  </si>
  <si>
    <t>PSNJ1602512</t>
  </si>
  <si>
    <t>2007st</t>
  </si>
  <si>
    <t>ASASSN-17bs</t>
  </si>
  <si>
    <t>2010A</t>
  </si>
  <si>
    <t>2003W</t>
  </si>
  <si>
    <t>2001br</t>
  </si>
  <si>
    <t>ASASSN-16lc</t>
  </si>
  <si>
    <t>AT2016eoa</t>
  </si>
  <si>
    <t>ASASSN-16lg</t>
  </si>
  <si>
    <t>2004bw</t>
  </si>
  <si>
    <t>2008Z</t>
  </si>
  <si>
    <t>2007bc</t>
  </si>
  <si>
    <t>SN2016ajf</t>
  </si>
  <si>
    <t>2009dc</t>
  </si>
  <si>
    <t>2018fop</t>
  </si>
  <si>
    <t>ASASSN-15uv</t>
  </si>
  <si>
    <t>ASASSN-18da</t>
  </si>
  <si>
    <t>2006et</t>
  </si>
  <si>
    <t>1999dg</t>
  </si>
  <si>
    <t>2001cp</t>
  </si>
  <si>
    <t>1995ak</t>
  </si>
  <si>
    <t>2009na</t>
  </si>
  <si>
    <t>ASASSN-18iu</t>
  </si>
  <si>
    <t>ATLAS16dpb</t>
  </si>
  <si>
    <t>SNF20080514-002</t>
  </si>
  <si>
    <t>2006dm</t>
  </si>
  <si>
    <t>2008ia</t>
  </si>
  <si>
    <t>2004bg</t>
  </si>
  <si>
    <t>2002cu</t>
  </si>
  <si>
    <t>2006cp</t>
  </si>
  <si>
    <t>2000fa</t>
  </si>
  <si>
    <t>ASASSN-16bn</t>
  </si>
  <si>
    <t>ASASSN-17aj</t>
  </si>
  <si>
    <t>AT2017cfb</t>
  </si>
  <si>
    <t>2006bq</t>
  </si>
  <si>
    <t>2002ef</t>
  </si>
  <si>
    <t>2010cr</t>
  </si>
  <si>
    <t>ASASSN-15il</t>
  </si>
  <si>
    <t>2000cn</t>
  </si>
  <si>
    <t>2017hoq</t>
  </si>
  <si>
    <t>2009jb</t>
  </si>
  <si>
    <t>2014ai</t>
  </si>
  <si>
    <t>ASASSN-14fa</t>
  </si>
  <si>
    <t>2004at</t>
  </si>
  <si>
    <t>PS15cku</t>
  </si>
  <si>
    <t>2007ci</t>
  </si>
  <si>
    <t>2009al</t>
  </si>
  <si>
    <t>2009cz</t>
  </si>
  <si>
    <t>ASASSN-15nr</t>
  </si>
  <si>
    <t>2004bk</t>
  </si>
  <si>
    <t>2018enc</t>
  </si>
  <si>
    <t>2007qe</t>
  </si>
  <si>
    <t>ATLAS17bas</t>
  </si>
  <si>
    <t>ASASSN-15tz</t>
  </si>
  <si>
    <t>2010ao</t>
  </si>
  <si>
    <t>2006sr</t>
  </si>
  <si>
    <t>ASASSN-15jt</t>
  </si>
  <si>
    <t>ASASSN-16em</t>
  </si>
  <si>
    <t>2000ca</t>
  </si>
  <si>
    <t>1998eg</t>
  </si>
  <si>
    <t>PS1-14xw</t>
  </si>
  <si>
    <t>2010gp</t>
  </si>
  <si>
    <t>2000bh</t>
  </si>
  <si>
    <t>2007F</t>
  </si>
  <si>
    <t>1993H</t>
  </si>
  <si>
    <t>AT2016bln</t>
  </si>
  <si>
    <t>2006ac</t>
  </si>
  <si>
    <t>ASASSN-15sf</t>
  </si>
  <si>
    <t>2005bg</t>
  </si>
  <si>
    <t>2009D</t>
  </si>
  <si>
    <t>PS16ccn</t>
  </si>
  <si>
    <t>2008bf</t>
  </si>
  <si>
    <t>1994M</t>
  </si>
  <si>
    <t>2004br</t>
  </si>
  <si>
    <t>ASASSN-16hz</t>
  </si>
  <si>
    <t>2003he</t>
  </si>
  <si>
    <t>2001cj</t>
  </si>
  <si>
    <t>Gaia16agf</t>
  </si>
  <si>
    <t>2007cq</t>
  </si>
  <si>
    <t>2003it</t>
  </si>
  <si>
    <t>AT2017cfc</t>
  </si>
  <si>
    <t>2011dn</t>
  </si>
  <si>
    <t>2007sw</t>
  </si>
  <si>
    <t>2012bh</t>
  </si>
  <si>
    <t>2002he</t>
  </si>
  <si>
    <t>2018jjd</t>
  </si>
  <si>
    <t>2002bf</t>
  </si>
  <si>
    <t>ASASSN-16bq</t>
  </si>
  <si>
    <t>PS15ahs</t>
  </si>
  <si>
    <t>PSNJ0153424</t>
  </si>
  <si>
    <t>SN2017hn</t>
  </si>
  <si>
    <t>1992ag</t>
  </si>
  <si>
    <t>SN2017ms</t>
  </si>
  <si>
    <t>PSNJ2352371</t>
  </si>
  <si>
    <t>2005M</t>
  </si>
  <si>
    <t>SN2017mf</t>
  </si>
  <si>
    <t>2005mc</t>
  </si>
  <si>
    <t>ASASSN-15uu</t>
  </si>
  <si>
    <t>2005ms</t>
  </si>
  <si>
    <t>1999gp</t>
  </si>
  <si>
    <t>ASASSN-15mf</t>
  </si>
  <si>
    <t>ASASSN-17at</t>
  </si>
  <si>
    <t>SNF20071021-000</t>
  </si>
  <si>
    <t>2013fn</t>
  </si>
  <si>
    <t>2002eb</t>
  </si>
  <si>
    <t>2007co</t>
  </si>
  <si>
    <t>1992P</t>
  </si>
  <si>
    <t>2007su</t>
  </si>
  <si>
    <t>ASASSN-15fa</t>
  </si>
  <si>
    <t>2005na</t>
  </si>
  <si>
    <t>ASASSN-16av</t>
  </si>
  <si>
    <t>2006gj</t>
  </si>
  <si>
    <t>2010ii</t>
  </si>
  <si>
    <t>2006ev</t>
  </si>
  <si>
    <t>PSNJ0252467</t>
  </si>
  <si>
    <t>2009aa</t>
  </si>
  <si>
    <t>2011hb</t>
  </si>
  <si>
    <t>2005eq</t>
  </si>
  <si>
    <t>2003U</t>
  </si>
  <si>
    <t>2009ad</t>
  </si>
  <si>
    <t>2002el</t>
  </si>
  <si>
    <t>2008ar</t>
  </si>
  <si>
    <t>AT2017ns</t>
  </si>
  <si>
    <t>2004gs</t>
  </si>
  <si>
    <t>SN2017ckx</t>
  </si>
  <si>
    <t>2007is</t>
  </si>
  <si>
    <t>2013bs</t>
  </si>
  <si>
    <t>1998ab</t>
  </si>
  <si>
    <t>1993ah</t>
  </si>
  <si>
    <t>2006qo</t>
  </si>
  <si>
    <t>ASASSN-15la</t>
  </si>
  <si>
    <t>1996C</t>
  </si>
  <si>
    <t>PS16cvc</t>
  </si>
  <si>
    <t>ASASSN-15fs</t>
  </si>
  <si>
    <t>2003ch</t>
  </si>
  <si>
    <t>ASASSN-16ay</t>
  </si>
  <si>
    <t>PSNJ0859349</t>
  </si>
  <si>
    <t>ASASSN-16fs</t>
  </si>
  <si>
    <t>LSQ12gdj</t>
  </si>
  <si>
    <t>2000cw</t>
  </si>
  <si>
    <t>2002de</t>
  </si>
  <si>
    <t>ASASSN-16aj</t>
  </si>
  <si>
    <t>ASASSN-16br</t>
  </si>
  <si>
    <t>AT2017zd</t>
  </si>
  <si>
    <t>ASASSN-16hh</t>
  </si>
  <si>
    <t>ATLAS17ajn</t>
  </si>
  <si>
    <t>Gaia16bba</t>
  </si>
  <si>
    <t>1997dg</t>
  </si>
  <si>
    <t>2004ef</t>
  </si>
  <si>
    <t>ASASSN-15nq</t>
  </si>
  <si>
    <t>AT2017lm</t>
  </si>
  <si>
    <t>ASASSN-16fo</t>
  </si>
  <si>
    <t>ASASSN-16es</t>
  </si>
  <si>
    <t>AT2016cyt</t>
  </si>
  <si>
    <t>2013fy</t>
  </si>
  <si>
    <t>ASASSN-15uw</t>
  </si>
  <si>
    <t>ASASSN-16hr</t>
  </si>
  <si>
    <t>PS15cwx</t>
  </si>
  <si>
    <t>1990O</t>
  </si>
  <si>
    <t>2001ba</t>
  </si>
  <si>
    <t>2009eu</t>
  </si>
  <si>
    <t>2009fv</t>
  </si>
  <si>
    <t>SNF20080909-030</t>
  </si>
  <si>
    <t>2008gg</t>
  </si>
  <si>
    <t>1999cc</t>
  </si>
  <si>
    <t>AT2017wb</t>
  </si>
  <si>
    <t>MASTEROTJ08</t>
  </si>
  <si>
    <t>2007bd</t>
  </si>
  <si>
    <t>2006bt</t>
  </si>
  <si>
    <t>2006bw</t>
  </si>
  <si>
    <t>ASASSN-15hg</t>
  </si>
  <si>
    <t>ATLAS17axb</t>
  </si>
  <si>
    <t>2010gn</t>
  </si>
  <si>
    <t>CSS160428</t>
  </si>
  <si>
    <t>2000dn</t>
  </si>
  <si>
    <t>2006en</t>
  </si>
  <si>
    <t>2008bq</t>
  </si>
  <si>
    <t>ASASSN-16oz</t>
  </si>
  <si>
    <t>2006az</t>
  </si>
  <si>
    <t>AT2017po</t>
  </si>
  <si>
    <t>2007ai</t>
  </si>
  <si>
    <t>2007ux</t>
  </si>
  <si>
    <t>ASASSN-15pr</t>
  </si>
  <si>
    <t>2008gl</t>
  </si>
  <si>
    <t>SN2016hpx</t>
  </si>
  <si>
    <t>SN2017cii</t>
  </si>
  <si>
    <t>2006te</t>
  </si>
  <si>
    <t>2006os</t>
  </si>
  <si>
    <t>2004as</t>
  </si>
  <si>
    <t>ASASSN-16bc</t>
  </si>
  <si>
    <t>2008gp</t>
  </si>
  <si>
    <t>2010ag</t>
  </si>
  <si>
    <t>2005iq</t>
  </si>
  <si>
    <t>PS15bsq</t>
  </si>
  <si>
    <t>2004L</t>
  </si>
  <si>
    <t>2003gn</t>
  </si>
  <si>
    <t>2003cq</t>
  </si>
  <si>
    <t>2006S</t>
  </si>
  <si>
    <t>2011dl</t>
  </si>
  <si>
    <t>2006gr</t>
  </si>
  <si>
    <t>ASASSN-16dw</t>
  </si>
  <si>
    <t>2007ba</t>
  </si>
  <si>
    <t>ATLAS17ajs</t>
  </si>
  <si>
    <t>1996bl</t>
  </si>
  <si>
    <t>2003kc</t>
  </si>
  <si>
    <t>2003iv</t>
  </si>
  <si>
    <t>ASASSN-15jl</t>
  </si>
  <si>
    <t>1992bg</t>
  </si>
  <si>
    <t>2005eu</t>
  </si>
  <si>
    <t>2008at</t>
  </si>
  <si>
    <t>ASASSN-15tg</t>
  </si>
  <si>
    <t>2007hu</t>
  </si>
  <si>
    <t>PTSS-16efw</t>
  </si>
  <si>
    <t>2016fbk</t>
  </si>
  <si>
    <t>AT2016fbk</t>
  </si>
  <si>
    <t>1994T</t>
  </si>
  <si>
    <t>ASASSN-15mi</t>
  </si>
  <si>
    <t>ASASSN-15ss</t>
  </si>
  <si>
    <t>2001ck</t>
  </si>
  <si>
    <t>PS15bbn</t>
  </si>
  <si>
    <t>ASASSN-15lu</t>
  </si>
  <si>
    <t>2008hj</t>
  </si>
  <si>
    <t>2000dg</t>
  </si>
  <si>
    <t>2002G</t>
  </si>
  <si>
    <t>2006mo</t>
  </si>
  <si>
    <t>2008ei</t>
  </si>
  <si>
    <t>2002hu</t>
  </si>
  <si>
    <t>2000cf</t>
  </si>
  <si>
    <t>2001eh</t>
  </si>
  <si>
    <t>ASASSN-16db</t>
  </si>
  <si>
    <t>AT2016hns</t>
  </si>
  <si>
    <t>ASASSN-15bc</t>
  </si>
  <si>
    <t>2007jg</t>
  </si>
  <si>
    <t>AT2016cvw</t>
  </si>
  <si>
    <t>2002eu</t>
  </si>
  <si>
    <t>2008gb</t>
  </si>
  <si>
    <t>2007O</t>
  </si>
  <si>
    <t>2008fr</t>
  </si>
  <si>
    <t>SN2017ciy</t>
  </si>
  <si>
    <t>2008O</t>
  </si>
  <si>
    <t>2009bv</t>
  </si>
  <si>
    <t>ASASSN-15np</t>
  </si>
  <si>
    <t>2010dw</t>
  </si>
  <si>
    <t>ASASSN-15pn</t>
  </si>
  <si>
    <t>1999aw</t>
  </si>
  <si>
    <t>2008dr</t>
  </si>
  <si>
    <t>PS15cze</t>
  </si>
  <si>
    <t>2003fa</t>
  </si>
  <si>
    <t>SN2016glz</t>
  </si>
  <si>
    <t>PS16axi</t>
  </si>
  <si>
    <t>SN2017coa</t>
  </si>
  <si>
    <t>2009do</t>
  </si>
  <si>
    <t>2001az</t>
  </si>
  <si>
    <t>2007jh</t>
  </si>
  <si>
    <t>1992bl</t>
  </si>
  <si>
    <t>2014bj</t>
  </si>
  <si>
    <t>2006cf</t>
  </si>
  <si>
    <t>2006cz</t>
  </si>
  <si>
    <t>2007kk</t>
  </si>
  <si>
    <t>AT2016htm</t>
  </si>
  <si>
    <t>ASASSN-16ct</t>
  </si>
  <si>
    <t>SN2016ayg</t>
  </si>
  <si>
    <t>2007nq</t>
  </si>
  <si>
    <t>MASTERJ0134</t>
  </si>
  <si>
    <t>ASASSN-15mg</t>
  </si>
  <si>
    <t>AT2016cvv</t>
  </si>
  <si>
    <t>2005ku</t>
  </si>
  <si>
    <t>1992bh</t>
  </si>
  <si>
    <t>2006gt</t>
  </si>
  <si>
    <t>2006hx</t>
  </si>
  <si>
    <t>PS16cqa</t>
  </si>
  <si>
    <t>PSNJ1204051</t>
  </si>
  <si>
    <t>2005hc</t>
  </si>
  <si>
    <t>SN2016esh</t>
  </si>
  <si>
    <t>PS17tn</t>
  </si>
  <si>
    <t>AT2016ews</t>
  </si>
  <si>
    <t>2005lz</t>
  </si>
  <si>
    <t>2004gu</t>
  </si>
  <si>
    <t>2008cf</t>
  </si>
  <si>
    <t>AT2017yk</t>
  </si>
  <si>
    <t>2016afk</t>
  </si>
  <si>
    <t>PS16fa</t>
  </si>
  <si>
    <t>PS15aii</t>
  </si>
  <si>
    <t>PS17akj</t>
  </si>
  <si>
    <t>ATLAS16agv</t>
  </si>
  <si>
    <t>ASASSN-15pm</t>
  </si>
  <si>
    <t>1995ac</t>
  </si>
  <si>
    <t>AT2016gmg</t>
  </si>
  <si>
    <t>1990af</t>
  </si>
  <si>
    <t>PS16el</t>
  </si>
  <si>
    <t>2006cq</t>
  </si>
  <si>
    <t>1993ag</t>
  </si>
  <si>
    <t>PS15asb</t>
  </si>
  <si>
    <t>1998dx</t>
  </si>
  <si>
    <t>PS16dnp</t>
  </si>
  <si>
    <t>2007kh</t>
  </si>
  <si>
    <t>ASASSN-17eb</t>
  </si>
  <si>
    <t>PS15brr</t>
  </si>
  <si>
    <t>2008hu</t>
  </si>
  <si>
    <t>AT2016cor</t>
  </si>
  <si>
    <t>PS16fbb</t>
  </si>
  <si>
    <t>2003ic</t>
  </si>
  <si>
    <t>ASASSN-16hc</t>
  </si>
  <si>
    <t>1993O</t>
  </si>
  <si>
    <t>2006ot</t>
  </si>
  <si>
    <t>AT2016htn</t>
  </si>
  <si>
    <t>PS16evk</t>
  </si>
  <si>
    <t>PS16n</t>
  </si>
  <si>
    <t>2010dt</t>
  </si>
  <si>
    <t>2006lu</t>
  </si>
  <si>
    <t>PS16bby</t>
  </si>
  <si>
    <t>PS16ayd</t>
  </si>
  <si>
    <t>SN2017cpu</t>
  </si>
  <si>
    <t>AT2017oz</t>
  </si>
  <si>
    <t>2006py</t>
  </si>
  <si>
    <t>PS16aer</t>
  </si>
  <si>
    <t>2005hj</t>
  </si>
  <si>
    <t>2008eq</t>
  </si>
  <si>
    <t>2006ob</t>
  </si>
  <si>
    <t>SN2016gmb</t>
  </si>
  <si>
    <t>2001ah</t>
  </si>
  <si>
    <t>LSQ13crf</t>
  </si>
  <si>
    <t>SN2017cjv</t>
  </si>
  <si>
    <t>2008bz</t>
  </si>
  <si>
    <t>SN2016hhv</t>
  </si>
  <si>
    <t>2008go</t>
  </si>
  <si>
    <t>2006oa</t>
  </si>
  <si>
    <t>1992bs</t>
  </si>
  <si>
    <t>SN2016aqb</t>
  </si>
  <si>
    <t>PS16bnz</t>
  </si>
  <si>
    <t>2007ae</t>
  </si>
  <si>
    <t>PS15cms</t>
  </si>
  <si>
    <t>SN2016ixf</t>
  </si>
  <si>
    <t>AT2016aj</t>
  </si>
  <si>
    <t>PS15bjg</t>
  </si>
  <si>
    <t>CSS160129</t>
  </si>
  <si>
    <t>2006al</t>
  </si>
  <si>
    <t>PTSS17-niq</t>
  </si>
  <si>
    <t>1993B</t>
  </si>
  <si>
    <t>2008Y</t>
  </si>
  <si>
    <t>PS17yt</t>
  </si>
  <si>
    <t>PS16em</t>
  </si>
  <si>
    <t>2006on</t>
  </si>
  <si>
    <t>ATLAS16bwu</t>
  </si>
  <si>
    <t>PS15bdr</t>
  </si>
  <si>
    <t>PS15bwh</t>
  </si>
  <si>
    <t>PS15mt</t>
  </si>
  <si>
    <t>2007jd</t>
  </si>
  <si>
    <t>PS15atx</t>
  </si>
  <si>
    <t>Gaia16aki</t>
  </si>
  <si>
    <t>1992ae</t>
  </si>
  <si>
    <t>PS17bii</t>
  </si>
  <si>
    <t>2005ir</t>
  </si>
  <si>
    <t>2010hs</t>
  </si>
  <si>
    <t>AT2016gsu</t>
  </si>
  <si>
    <t>PS15bif</t>
  </si>
  <si>
    <t>Gaia16acv</t>
  </si>
  <si>
    <t>2007hx</t>
  </si>
  <si>
    <t>PS15bzz</t>
  </si>
  <si>
    <t>2005ag</t>
  </si>
  <si>
    <t>SN2016glp</t>
  </si>
  <si>
    <t>SN2016grz</t>
  </si>
  <si>
    <t>iPTF17dz</t>
  </si>
  <si>
    <t>05D3mq</t>
  </si>
  <si>
    <t>04D3ez</t>
  </si>
  <si>
    <t>06D3fp</t>
  </si>
  <si>
    <t>06D3dt</t>
  </si>
  <si>
    <t>05D2ab</t>
  </si>
  <si>
    <t>03D1fc</t>
  </si>
  <si>
    <t>04D3kr</t>
  </si>
  <si>
    <t>04D3nh</t>
  </si>
  <si>
    <t>03D1bp</t>
  </si>
  <si>
    <t>04D2mc</t>
  </si>
  <si>
    <t>05D2ie</t>
  </si>
  <si>
    <t>05D2hc</t>
  </si>
  <si>
    <t>05D2mp</t>
  </si>
  <si>
    <t>04D3fk</t>
  </si>
  <si>
    <t>04D2fs</t>
  </si>
  <si>
    <t>04D1hd</t>
  </si>
  <si>
    <t>04D2cf</t>
  </si>
  <si>
    <t>05D4bm</t>
  </si>
  <si>
    <t>05D3jr</t>
  </si>
  <si>
    <t>05D4fo</t>
  </si>
  <si>
    <t>05D4cw</t>
  </si>
  <si>
    <t>05D4ff</t>
  </si>
  <si>
    <t>06D3ed</t>
  </si>
  <si>
    <t>05D4dt</t>
  </si>
  <si>
    <t>06D4cq</t>
  </si>
  <si>
    <t>04D2fp</t>
  </si>
  <si>
    <t>05D2dw</t>
  </si>
  <si>
    <t>05D3cf</t>
  </si>
  <si>
    <t>04D4gg</t>
  </si>
  <si>
    <t>05D2cb</t>
  </si>
  <si>
    <t>04D1rh</t>
  </si>
  <si>
    <t>06D4co</t>
  </si>
  <si>
    <t>06D3df</t>
  </si>
  <si>
    <t>06D2gb</t>
  </si>
  <si>
    <t>04D2gb</t>
  </si>
  <si>
    <t>04D3gt</t>
  </si>
  <si>
    <t>05D3lc</t>
  </si>
  <si>
    <t>03D4au</t>
  </si>
  <si>
    <t>04D4jr</t>
  </si>
  <si>
    <t>04D4ju</t>
  </si>
  <si>
    <t>05D3mx</t>
  </si>
  <si>
    <t>05D2bv</t>
  </si>
  <si>
    <t>05D3dd</t>
  </si>
  <si>
    <t>05D2ac</t>
  </si>
  <si>
    <t>05D1ix</t>
  </si>
  <si>
    <t>03D1ax</t>
  </si>
  <si>
    <t>05D4af</t>
  </si>
  <si>
    <t>06D2bk</t>
  </si>
  <si>
    <t>03D1au</t>
  </si>
  <si>
    <t>05D4av</t>
  </si>
  <si>
    <t>05D2dy</t>
  </si>
  <si>
    <t>04D1pg</t>
  </si>
  <si>
    <t>04D4in</t>
  </si>
  <si>
    <t>04D2mj</t>
  </si>
  <si>
    <t>06D3el</t>
  </si>
  <si>
    <t>04D2gc</t>
  </si>
  <si>
    <t>06D2ca</t>
  </si>
  <si>
    <t>06D2cc</t>
  </si>
  <si>
    <t>05D4ek</t>
  </si>
  <si>
    <t>05D4be</t>
  </si>
  <si>
    <t>05D2eb</t>
  </si>
  <si>
    <t>04D4bq</t>
  </si>
  <si>
    <t>06D4bo</t>
  </si>
  <si>
    <t>04D3hn</t>
  </si>
  <si>
    <t>06D2ck</t>
  </si>
  <si>
    <t>05D1ee</t>
  </si>
  <si>
    <t>05D1kl</t>
  </si>
  <si>
    <t>04D1hx</t>
  </si>
  <si>
    <t>05D1cc</t>
  </si>
  <si>
    <t>05D1dn</t>
  </si>
  <si>
    <t>05D2dt</t>
  </si>
  <si>
    <t>06D3et</t>
  </si>
  <si>
    <t>03D4gf</t>
  </si>
  <si>
    <t>05D1dx</t>
  </si>
  <si>
    <t>05D3jq</t>
  </si>
  <si>
    <t>05D3gp</t>
  </si>
  <si>
    <t>03D1aw</t>
  </si>
  <si>
    <t>04D1jg</t>
  </si>
  <si>
    <t>05D4ej</t>
  </si>
  <si>
    <t>04D1kj</t>
  </si>
  <si>
    <t>04D1sa</t>
  </si>
  <si>
    <t>05D1hm</t>
  </si>
  <si>
    <t>05D4bf</t>
  </si>
  <si>
    <t>04D1oh</t>
  </si>
  <si>
    <t>03D4gg</t>
  </si>
  <si>
    <t>04D2mh</t>
  </si>
  <si>
    <t>05D3lr</t>
  </si>
  <si>
    <t>05D4ef</t>
  </si>
  <si>
    <t>03D4dy</t>
  </si>
  <si>
    <t>05D2he</t>
  </si>
  <si>
    <t>04D3do</t>
  </si>
  <si>
    <t>04D4an</t>
  </si>
  <si>
    <t>05D1ck</t>
  </si>
  <si>
    <t>04D3co</t>
  </si>
  <si>
    <t>04D2an</t>
  </si>
  <si>
    <t>03D4dh</t>
  </si>
  <si>
    <t>04D4fx</t>
  </si>
  <si>
    <t>05D1cb</t>
  </si>
  <si>
    <t>05D2ci</t>
  </si>
  <si>
    <t>03D4at</t>
  </si>
  <si>
    <t>04D1pu</t>
  </si>
  <si>
    <t>05D4ag</t>
  </si>
  <si>
    <t>05D2ec</t>
  </si>
  <si>
    <t>04D3cy</t>
  </si>
  <si>
    <t>05D3ax</t>
  </si>
  <si>
    <t>05D3lb</t>
  </si>
  <si>
    <t>05D3kt</t>
  </si>
  <si>
    <t>04D1sk</t>
  </si>
  <si>
    <t>05D3hs</t>
  </si>
  <si>
    <t>05D3mh</t>
  </si>
  <si>
    <t>03D1co</t>
  </si>
  <si>
    <t>05D2bt</t>
  </si>
  <si>
    <t>06D3cc</t>
  </si>
  <si>
    <t>04D4ic</t>
  </si>
  <si>
    <t>05D1ke</t>
  </si>
  <si>
    <t>06D3em</t>
  </si>
  <si>
    <t>03D4cz</t>
  </si>
  <si>
    <t>04D4ib</t>
  </si>
  <si>
    <t>06D4ba</t>
  </si>
  <si>
    <t>05D4bj</t>
  </si>
  <si>
    <t>05D4cq</t>
  </si>
  <si>
    <t>05D2ck</t>
  </si>
  <si>
    <t>04D1si</t>
  </si>
  <si>
    <t>04D4hu</t>
  </si>
  <si>
    <t>04D2iu</t>
  </si>
  <si>
    <t>05D2le</t>
  </si>
  <si>
    <t>05D3gv</t>
  </si>
  <si>
    <t>05D3jh</t>
  </si>
  <si>
    <t>04D1aj</t>
  </si>
  <si>
    <t>05D4ev</t>
  </si>
  <si>
    <t>06D3gh</t>
  </si>
  <si>
    <t>06D3do</t>
  </si>
  <si>
    <t>06D3bz</t>
  </si>
  <si>
    <t>06D4bw</t>
  </si>
  <si>
    <t>04D1pp</t>
  </si>
  <si>
    <t>04D2gp</t>
  </si>
  <si>
    <t>05D2fq</t>
  </si>
  <si>
    <t>05D1eo</t>
  </si>
  <si>
    <t>05D2ct</t>
  </si>
  <si>
    <t>05D3jk</t>
  </si>
  <si>
    <t>04D2ja</t>
  </si>
  <si>
    <t>04D3fq</t>
  </si>
  <si>
    <t>05D3jb</t>
  </si>
  <si>
    <t>04D2kr</t>
  </si>
  <si>
    <t>04D4im</t>
  </si>
  <si>
    <t>04D3ks</t>
  </si>
  <si>
    <t>05D2nt</t>
  </si>
  <si>
    <t>05D3mn</t>
  </si>
  <si>
    <t>05D4cn</t>
  </si>
  <si>
    <t>05D1if</t>
  </si>
  <si>
    <t>04D1qd</t>
  </si>
  <si>
    <t>04D1de</t>
  </si>
  <si>
    <t>05D3hh</t>
  </si>
  <si>
    <t>04D4id</t>
  </si>
  <si>
    <t>04D1pc</t>
  </si>
  <si>
    <t>05D4bi</t>
  </si>
  <si>
    <t>05D4cs</t>
  </si>
  <si>
    <t>03D4fd</t>
  </si>
  <si>
    <t>04D1ks</t>
  </si>
  <si>
    <t>03D1fq</t>
  </si>
  <si>
    <t>Elvis</t>
  </si>
  <si>
    <t>Spock</t>
  </si>
  <si>
    <t>Manipogo</t>
  </si>
  <si>
    <t>Vilas</t>
  </si>
  <si>
    <t>Ombo</t>
  </si>
  <si>
    <t>SCP05D0</t>
  </si>
  <si>
    <t>Eagle</t>
  </si>
  <si>
    <t>Ferguson</t>
  </si>
  <si>
    <t>Strolger</t>
  </si>
  <si>
    <t>SCP06U4</t>
  </si>
  <si>
    <t>Gabi</t>
  </si>
  <si>
    <t>SCP06H5</t>
  </si>
  <si>
    <t>Lancaster</t>
  </si>
  <si>
    <t>Aphrodite</t>
  </si>
  <si>
    <t>Thoth</t>
  </si>
  <si>
    <t>Inanna</t>
  </si>
  <si>
    <t>SCP05D6</t>
  </si>
  <si>
    <t>washington</t>
  </si>
  <si>
    <t>Borg</t>
  </si>
  <si>
    <t>SCP06G4</t>
  </si>
  <si>
    <t>Mcguire</t>
  </si>
  <si>
    <t>Sasquatch</t>
  </si>
  <si>
    <t>SCP06K0</t>
  </si>
  <si>
    <t>carter</t>
  </si>
  <si>
    <t>Primo</t>
  </si>
  <si>
    <t>rutledge</t>
  </si>
  <si>
    <t>geta</t>
  </si>
  <si>
    <t>stone</t>
  </si>
  <si>
    <t>wilson</t>
  </si>
  <si>
    <t>colfax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</si>
</sst>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##############"/>
    <numFmt numFmtId="165" formatCode="0.000000000000000E+00"/>
    <numFmt numFmtId="166" formatCode="0.000000E+00"/>
    <numFmt numFmtId="167" formatCode="0.0000000000"/>
    <numFmt numFmtId="168" formatCode="0.0000"/>
    <numFmt numFmtId="169" formatCode="0.00000000"/>
    <numFmt numFmtId="170" formatCode="0.0"/>
    <numFmt numFmtId="171" formatCode="0.000"/>
    <numFmt numFmtId="172" formatCode="\+0.000%;\ \-0.000%"/>
    <numFmt numFmtId="173" formatCode="0.######"/>
    <numFmt numFmtId="174" formatCode="0.000000000000E+00"/>
    <numFmt numFmtId="175" formatCode="0.####"/>
    <numFmt numFmtId="176" formatCode="0.000000"/>
    <numFmt numFmtId="177" formatCode="0.000E+00"/>
    <numFmt numFmtId="178" formatCode="0.000000000"/>
    <numFmt numFmtId="179" formatCode="0.############"/>
    <numFmt numFmtId="180" formatCode="0.##"/>
    <numFmt numFmtId="181" formatCode="0.######E+00"/>
    <numFmt numFmtId="182" formatCode="0.00000"/>
  </numFmts>
  <fonts count="12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E2EFD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165" fontId="0" fillId="7" borderId="1" xfId="0" applyNumberForma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6" fontId="0" fillId="4" borderId="1" xfId="0" applyNumberFormat="1" applyFill="1" applyBorder="1"/>
    <xf numFmtId="166" fontId="0" fillId="6" borderId="1" xfId="0" applyNumberFormat="1" applyFill="1" applyBorder="1"/>
    <xf numFmtId="167" fontId="0" fillId="5" borderId="1" xfId="0" applyNumberFormat="1" applyFill="1" applyBorder="1"/>
    <xf numFmtId="166" fontId="0" fillId="0" borderId="1" xfId="0" applyNumberFormat="1" applyBorder="1"/>
    <xf numFmtId="168" fontId="0" fillId="6" borderId="1" xfId="0" applyNumberFormat="1" applyFill="1" applyBorder="1"/>
    <xf numFmtId="168" fontId="0" fillId="4" borderId="1" xfId="0" applyNumberFormat="1" applyFill="1" applyBorder="1"/>
    <xf numFmtId="169" fontId="0" fillId="6" borderId="1" xfId="0" applyNumberFormat="1" applyFill="1" applyBorder="1"/>
    <xf numFmtId="2" fontId="0" fillId="6" borderId="1" xfId="0" applyNumberFormat="1" applyFill="1" applyBorder="1"/>
    <xf numFmtId="170" fontId="0" fillId="6" borderId="1" xfId="0" applyNumberFormat="1" applyFill="1" applyBorder="1"/>
    <xf numFmtId="171" fontId="0" fillId="6" borderId="1" xfId="0" applyNumberFormat="1" applyFill="1" applyBorder="1"/>
    <xf numFmtId="168" fontId="0" fillId="7" borderId="1" xfId="0" applyNumberFormat="1" applyFill="1" applyBorder="1"/>
    <xf numFmtId="172" fontId="0" fillId="6" borderId="1" xfId="0" applyNumberFormat="1" applyFill="1" applyBorder="1"/>
    <xf numFmtId="173" fontId="0" fillId="6" borderId="1" xfId="0" applyNumberFormat="1" applyFill="1" applyBorder="1"/>
    <xf numFmtId="174" fontId="0" fillId="6" borderId="1" xfId="0" applyNumberFormat="1" applyFill="1" applyBorder="1"/>
    <xf numFmtId="168" fontId="0" fillId="0" borderId="1" xfId="0" applyNumberFormat="1" applyBorder="1"/>
    <xf numFmtId="175" fontId="0" fillId="7" borderId="1" xfId="0" applyNumberFormat="1" applyFill="1" applyBorder="1"/>
    <xf numFmtId="166" fontId="0" fillId="7" borderId="1" xfId="0" applyNumberFormat="1" applyFill="1" applyBorder="1"/>
    <xf numFmtId="176" fontId="0" fillId="6" borderId="1" xfId="0" applyNumberFormat="1" applyFill="1" applyBorder="1"/>
    <xf numFmtId="177" fontId="0" fillId="6" borderId="1" xfId="0" applyNumberFormat="1" applyFill="1" applyBorder="1"/>
    <xf numFmtId="179" fontId="0" fillId="6" borderId="1" xfId="0" applyNumberFormat="1" applyFill="1" applyBorder="1"/>
    <xf numFmtId="173" fontId="0" fillId="5" borderId="1" xfId="0" applyNumberFormat="1" applyFill="1" applyBorder="1"/>
    <xf numFmtId="175" fontId="0" fillId="6" borderId="1" xfId="0" applyNumberFormat="1" applyFill="1" applyBorder="1"/>
    <xf numFmtId="180" fontId="0" fillId="6" borderId="1" xfId="0" applyNumberFormat="1" applyFill="1" applyBorder="1"/>
    <xf numFmtId="179" fontId="0" fillId="5" borderId="1" xfId="0" applyNumberFormat="1" applyFill="1" applyBorder="1"/>
    <xf numFmtId="181" fontId="0" fillId="4" borderId="1" xfId="0" applyNumberFormat="1" applyFill="1" applyBorder="1"/>
    <xf numFmtId="0" fontId="4" fillId="3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/>
    <xf numFmtId="0" fontId="1" fillId="0" borderId="0" xfId="0" applyFont="1"/>
    <xf numFmtId="0" fontId="0" fillId="7" borderId="1" xfId="0" applyFill="1" applyBorder="1"/>
    <xf numFmtId="0" fontId="0" fillId="0" borderId="2" xfId="0" applyBorder="1"/>
    <xf numFmtId="0" fontId="0" fillId="0" borderId="3" xfId="0" applyBorder="1"/>
    <xf numFmtId="0" fontId="5" fillId="7" borderId="1" xfId="0" applyFont="1" applyFill="1" applyBorder="1"/>
    <xf numFmtId="0" fontId="4" fillId="3" borderId="1" xfId="0" applyFont="1" applyFill="1" applyBorder="1"/>
    <xf numFmtId="0" fontId="0" fillId="8" borderId="1" xfId="0" applyFill="1" applyBorder="1"/>
    <xf numFmtId="0" fontId="7" fillId="0" borderId="0" xfId="0" applyFont="1"/>
    <xf numFmtId="0" fontId="3" fillId="2" borderId="0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8" fillId="9" borderId="0" xfId="0" applyFont="1" applyFill="1"/>
    <xf numFmtId="0" fontId="5" fillId="10" borderId="1" xfId="0" applyFont="1" applyFill="1" applyBorder="1"/>
    <xf numFmtId="0" fontId="0" fillId="10" borderId="2" xfId="0" applyFill="1" applyBorder="1"/>
    <xf numFmtId="0" fontId="0" fillId="10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0" fillId="10" borderId="0" xfId="0" applyFill="1" applyBorder="1"/>
    <xf numFmtId="0" fontId="0" fillId="8" borderId="0" xfId="0" applyFill="1"/>
    <xf numFmtId="168" fontId="0" fillId="8" borderId="1" xfId="0" applyNumberFormat="1" applyFill="1" applyBorder="1"/>
    <xf numFmtId="168" fontId="0" fillId="10" borderId="2" xfId="0" applyNumberFormat="1" applyFill="1" applyBorder="1"/>
    <xf numFmtId="168" fontId="0" fillId="8" borderId="2" xfId="0" applyNumberFormat="1" applyFill="1" applyBorder="1"/>
    <xf numFmtId="168" fontId="0" fillId="8" borderId="3" xfId="0" applyNumberFormat="1" applyFill="1" applyBorder="1"/>
    <xf numFmtId="168" fontId="3" fillId="10" borderId="1" xfId="0" applyNumberFormat="1" applyFont="1" applyFill="1" applyBorder="1" applyAlignment="1">
      <alignment horizontal="center" vertical="center" wrapText="1"/>
    </xf>
    <xf numFmtId="168" fontId="3" fillId="8" borderId="1" xfId="0" applyNumberFormat="1" applyFont="1" applyFill="1" applyBorder="1" applyAlignment="1">
      <alignment horizontal="center" vertical="center" wrapText="1"/>
    </xf>
    <xf numFmtId="168" fontId="0" fillId="10" borderId="1" xfId="0" applyNumberFormat="1" applyFill="1" applyBorder="1"/>
    <xf numFmtId="168" fontId="0" fillId="10" borderId="0" xfId="0" applyNumberFormat="1" applyFill="1" applyBorder="1"/>
    <xf numFmtId="168" fontId="0" fillId="8" borderId="0" xfId="0" applyNumberFormat="1" applyFill="1"/>
    <xf numFmtId="170" fontId="0" fillId="8" borderId="0" xfId="0" applyNumberFormat="1" applyFill="1"/>
    <xf numFmtId="171" fontId="5" fillId="10" borderId="1" xfId="0" applyNumberFormat="1" applyFont="1" applyFill="1" applyBorder="1"/>
    <xf numFmtId="171" fontId="0" fillId="10" borderId="1" xfId="0" applyNumberFormat="1" applyFill="1" applyBorder="1"/>
    <xf numFmtId="171" fontId="3" fillId="10" borderId="1" xfId="0" applyNumberFormat="1" applyFont="1" applyFill="1" applyBorder="1" applyAlignment="1">
      <alignment horizontal="center" vertical="center" wrapText="1"/>
    </xf>
    <xf numFmtId="171" fontId="0" fillId="10" borderId="5" xfId="0" applyNumberFormat="1" applyFill="1" applyBorder="1"/>
    <xf numFmtId="171" fontId="0" fillId="0" borderId="0" xfId="0" applyNumberFormat="1"/>
    <xf numFmtId="1" fontId="0" fillId="0" borderId="0" xfId="0" applyNumberFormat="1"/>
    <xf numFmtId="0" fontId="0" fillId="10" borderId="0" xfId="0" applyFill="1"/>
    <xf numFmtId="178" fontId="0" fillId="8" borderId="1" xfId="0" applyNumberFormat="1" applyFill="1" applyBorder="1"/>
    <xf numFmtId="177" fontId="0" fillId="11" borderId="1" xfId="0" applyNumberFormat="1" applyFill="1" applyBorder="1"/>
    <xf numFmtId="0" fontId="0" fillId="11" borderId="1" xfId="0" applyFill="1" applyBorder="1"/>
    <xf numFmtId="178" fontId="0" fillId="10" borderId="1" xfId="0" applyNumberFormat="1" applyFill="1" applyBorder="1"/>
    <xf numFmtId="178" fontId="0" fillId="10" borderId="0" xfId="0" applyNumberFormat="1" applyFill="1"/>
    <xf numFmtId="1" fontId="0" fillId="10" borderId="1" xfId="0" applyNumberFormat="1" applyFill="1" applyBorder="1"/>
    <xf numFmtId="1" fontId="0" fillId="10" borderId="0" xfId="0" applyNumberFormat="1" applyFill="1"/>
    <xf numFmtId="0" fontId="6" fillId="10" borderId="0" xfId="0" applyFont="1" applyFill="1"/>
    <xf numFmtId="0" fontId="6" fillId="0" borderId="0" xfId="0" applyFont="1"/>
    <xf numFmtId="0" fontId="11" fillId="0" borderId="0" xfId="0" applyFont="1"/>
    <xf numFmtId="182" fontId="0" fillId="10" borderId="0" xfId="0" applyNumberFormat="1" applyFill="1"/>
    <xf numFmtId="171" fontId="0" fillId="10" borderId="0" xfId="0" applyNumberFormat="1" applyFill="1"/>
    <xf numFmtId="171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B45487-CD4C-4CA4-ACFF-3CB2BA0F54F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2ce9185-f99b-433d-878f-b873fd6f2f79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workbookViewId="0">
      <pane ySplit="4" topLeftCell="A5" activePane="bottomLeft" state="frozen"/>
      <selection pane="bottomLeft" sqref="A1:F1"/>
    </sheetView>
  </sheetViews>
  <sheetFormatPr defaultRowHeight="14.2" x14ac:dyDescent="0.6"/>
  <cols>
    <col min="1" max="1" width="18" customWidth="1"/>
    <col min="2" max="2" width="50" customWidth="1"/>
    <col min="3" max="3" width="32" customWidth="1"/>
    <col min="4" max="4" width="14" customWidth="1"/>
    <col min="5" max="5" width="30" customWidth="1"/>
    <col min="6" max="6" width="42" customWidth="1"/>
  </cols>
  <sheetData>
    <row r="1" spans="1:6" ht="22.05" customHeight="1" x14ac:dyDescent="0.85">
      <c r="A1" s="42" t="s">
        <v>0</v>
      </c>
      <c r="B1" s="40"/>
      <c r="C1" s="40"/>
      <c r="D1" s="40"/>
      <c r="E1" s="40"/>
      <c r="F1" s="40"/>
    </row>
    <row r="2" spans="1:6" x14ac:dyDescent="0.6">
      <c r="A2" s="41" t="s">
        <v>1</v>
      </c>
      <c r="B2" s="40"/>
      <c r="C2" s="40"/>
      <c r="D2" s="40"/>
      <c r="E2" s="40"/>
      <c r="F2" s="40"/>
    </row>
    <row r="3" spans="1:6" x14ac:dyDescent="0.6">
      <c r="A3" s="41" t="s">
        <v>2</v>
      </c>
      <c r="B3" s="40"/>
      <c r="C3" s="40"/>
      <c r="D3" s="40"/>
      <c r="E3" s="40"/>
      <c r="F3" s="40"/>
    </row>
    <row r="4" spans="1:6" x14ac:dyDescent="0.6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15.55" x14ac:dyDescent="0.6">
      <c r="A5" s="39" t="s">
        <v>9</v>
      </c>
      <c r="B5" s="40"/>
      <c r="C5" s="40"/>
      <c r="D5" s="40"/>
      <c r="E5" s="40"/>
      <c r="F5" s="40"/>
    </row>
    <row r="6" spans="1:6" x14ac:dyDescent="0.6">
      <c r="A6" s="2" t="s">
        <v>10</v>
      </c>
      <c r="B6" s="2" t="s">
        <v>11</v>
      </c>
      <c r="C6" s="3">
        <v>2</v>
      </c>
      <c r="D6" s="2"/>
      <c r="E6" s="2" t="s">
        <v>12</v>
      </c>
      <c r="F6" s="2" t="s">
        <v>13</v>
      </c>
    </row>
    <row r="7" spans="1:6" x14ac:dyDescent="0.6">
      <c r="A7" s="2" t="s">
        <v>14</v>
      </c>
      <c r="B7" s="2" t="s">
        <v>15</v>
      </c>
      <c r="C7" s="3">
        <v>3</v>
      </c>
      <c r="D7" s="2"/>
      <c r="E7" s="2" t="s">
        <v>16</v>
      </c>
      <c r="F7" s="2" t="s">
        <v>17</v>
      </c>
    </row>
    <row r="8" spans="1:6" x14ac:dyDescent="0.6">
      <c r="A8" s="2" t="s">
        <v>18</v>
      </c>
      <c r="B8" s="2" t="s">
        <v>19</v>
      </c>
      <c r="C8" s="3">
        <f>PI()</f>
        <v>3.1415926535897931</v>
      </c>
      <c r="D8" s="2"/>
      <c r="E8" s="2" t="s">
        <v>20</v>
      </c>
      <c r="F8" s="2" t="s">
        <v>21</v>
      </c>
    </row>
    <row r="9" spans="1:6" x14ac:dyDescent="0.6">
      <c r="A9" s="4" t="s">
        <v>22</v>
      </c>
      <c r="B9" s="4" t="s">
        <v>23</v>
      </c>
      <c r="C9" s="5">
        <f>d_hat^(d_hat-1) - h_hat^d_hat - 1</f>
        <v>0</v>
      </c>
      <c r="D9" s="4"/>
      <c r="E9" s="4" t="s">
        <v>24</v>
      </c>
      <c r="F9" s="4" t="s">
        <v>25</v>
      </c>
    </row>
    <row r="10" spans="1:6" ht="15.55" x14ac:dyDescent="0.6">
      <c r="A10" s="39" t="s">
        <v>26</v>
      </c>
      <c r="B10" s="40"/>
      <c r="C10" s="40"/>
      <c r="D10" s="40"/>
      <c r="E10" s="40"/>
      <c r="F10" s="40"/>
    </row>
    <row r="11" spans="1:6" x14ac:dyDescent="0.6">
      <c r="A11" s="6" t="s">
        <v>27</v>
      </c>
      <c r="B11" s="6" t="s">
        <v>28</v>
      </c>
      <c r="C11" s="7">
        <f>h_hat^d_hat</f>
        <v>8</v>
      </c>
      <c r="D11" s="6"/>
      <c r="E11" s="6" t="s">
        <v>29</v>
      </c>
      <c r="F11" s="6">
        <f>8</f>
        <v>8</v>
      </c>
    </row>
    <row r="12" spans="1:6" x14ac:dyDescent="0.6">
      <c r="A12" s="6" t="s">
        <v>30</v>
      </c>
      <c r="B12" s="6" t="s">
        <v>31</v>
      </c>
      <c r="C12" s="7">
        <f>d_hat^d_hat</f>
        <v>27</v>
      </c>
      <c r="D12" s="6"/>
      <c r="E12" s="6" t="s">
        <v>29</v>
      </c>
      <c r="F12" s="6">
        <f>27</f>
        <v>27</v>
      </c>
    </row>
    <row r="13" spans="1:6" x14ac:dyDescent="0.6">
      <c r="A13" s="6" t="s">
        <v>32</v>
      </c>
      <c r="B13" s="6" t="s">
        <v>33</v>
      </c>
      <c r="C13" s="7">
        <f>d_hat^(d_hat+1)</f>
        <v>81</v>
      </c>
      <c r="D13" s="6"/>
      <c r="E13" s="6" t="s">
        <v>29</v>
      </c>
      <c r="F13" s="6">
        <f>81</f>
        <v>81</v>
      </c>
    </row>
    <row r="14" spans="1:6" x14ac:dyDescent="0.6">
      <c r="A14" s="6" t="s">
        <v>34</v>
      </c>
      <c r="B14" s="6" t="s">
        <v>35</v>
      </c>
      <c r="C14" s="7">
        <f>h_hat^2 * d_hat</f>
        <v>12</v>
      </c>
      <c r="D14" s="6"/>
      <c r="E14" s="6" t="s">
        <v>29</v>
      </c>
      <c r="F14" s="6">
        <f>12</f>
        <v>12</v>
      </c>
    </row>
    <row r="15" spans="1:6" x14ac:dyDescent="0.6">
      <c r="A15" s="6" t="s">
        <v>36</v>
      </c>
      <c r="B15" s="6" t="s">
        <v>37</v>
      </c>
      <c r="C15" s="7">
        <f>R_radix^2</f>
        <v>144</v>
      </c>
      <c r="D15" s="6"/>
      <c r="E15" s="6" t="s">
        <v>38</v>
      </c>
      <c r="F15" s="6">
        <f>144</f>
        <v>144</v>
      </c>
    </row>
    <row r="16" spans="1:6" x14ac:dyDescent="0.6">
      <c r="A16" s="6" t="s">
        <v>39</v>
      </c>
      <c r="B16" s="6" t="s">
        <v>40</v>
      </c>
      <c r="C16" s="7">
        <f>h_hat * d_hat^2</f>
        <v>18</v>
      </c>
      <c r="D16" s="6"/>
      <c r="E16" s="6" t="s">
        <v>38</v>
      </c>
      <c r="F16" s="6">
        <f>18</f>
        <v>18</v>
      </c>
    </row>
    <row r="17" spans="1:6" x14ac:dyDescent="0.6">
      <c r="A17" s="6" t="s">
        <v>41</v>
      </c>
      <c r="B17" s="6" t="s">
        <v>42</v>
      </c>
      <c r="C17" s="7">
        <f>h_hat * F_face</f>
        <v>162</v>
      </c>
      <c r="D17" s="6"/>
      <c r="E17" s="6" t="s">
        <v>43</v>
      </c>
      <c r="F17" s="6"/>
    </row>
    <row r="18" spans="1:6" x14ac:dyDescent="0.6">
      <c r="A18" s="6" t="s">
        <v>44</v>
      </c>
      <c r="B18" s="6" t="s">
        <v>45</v>
      </c>
      <c r="C18" s="7">
        <f>R_sq - Theta_bridge</f>
        <v>126</v>
      </c>
      <c r="D18" s="6"/>
      <c r="E18" s="6" t="s">
        <v>46</v>
      </c>
      <c r="F18" s="6">
        <f>126</f>
        <v>126</v>
      </c>
    </row>
    <row r="19" spans="1:6" x14ac:dyDescent="0.6">
      <c r="A19" s="6" t="s">
        <v>47</v>
      </c>
      <c r="B19" s="6" t="s">
        <v>48</v>
      </c>
      <c r="C19" s="7">
        <f>d_hat^2</f>
        <v>9</v>
      </c>
      <c r="D19" s="6"/>
      <c r="E19" s="6" t="s">
        <v>29</v>
      </c>
      <c r="F19" s="6">
        <f>9</f>
        <v>9</v>
      </c>
    </row>
    <row r="20" spans="1:6" ht="15.55" x14ac:dyDescent="0.6">
      <c r="A20" s="39" t="s">
        <v>49</v>
      </c>
      <c r="B20" s="40"/>
      <c r="C20" s="40"/>
      <c r="D20" s="40"/>
      <c r="E20" s="40"/>
      <c r="F20" s="40"/>
    </row>
    <row r="21" spans="1:6" x14ac:dyDescent="0.6">
      <c r="A21" s="6" t="s">
        <v>50</v>
      </c>
      <c r="B21" s="6" t="s">
        <v>51</v>
      </c>
      <c r="C21" s="7">
        <f>h_hat * d_hat</f>
        <v>6</v>
      </c>
      <c r="D21" s="6"/>
      <c r="E21" s="6" t="s">
        <v>52</v>
      </c>
      <c r="F21" s="6"/>
    </row>
    <row r="22" spans="1:6" x14ac:dyDescent="0.6">
      <c r="A22" s="4" t="s">
        <v>53</v>
      </c>
      <c r="B22" s="4" t="s">
        <v>54</v>
      </c>
      <c r="C22" s="5">
        <f>R_radix/2 - six_id</f>
        <v>0</v>
      </c>
      <c r="D22" s="4"/>
      <c r="E22" s="4" t="s">
        <v>55</v>
      </c>
      <c r="F22" s="4" t="s">
        <v>56</v>
      </c>
    </row>
    <row r="23" spans="1:6" x14ac:dyDescent="0.6">
      <c r="A23" s="4" t="s">
        <v>57</v>
      </c>
      <c r="B23" s="4" t="s">
        <v>58</v>
      </c>
      <c r="C23" s="5">
        <f>Theta_bridge/d_hat - six_id</f>
        <v>0</v>
      </c>
      <c r="D23" s="4"/>
      <c r="E23" s="4" t="s">
        <v>55</v>
      </c>
      <c r="F23" s="4" t="s">
        <v>56</v>
      </c>
    </row>
    <row r="24" spans="1:6" x14ac:dyDescent="0.6">
      <c r="A24" s="4" t="s">
        <v>59</v>
      </c>
      <c r="B24" s="4" t="s">
        <v>60</v>
      </c>
      <c r="C24" s="5">
        <f>L_ledger/V_cell - six_id</f>
        <v>0</v>
      </c>
      <c r="D24" s="4"/>
      <c r="E24" s="4" t="s">
        <v>55</v>
      </c>
      <c r="F24" s="4" t="s">
        <v>56</v>
      </c>
    </row>
    <row r="25" spans="1:6" x14ac:dyDescent="0.6">
      <c r="A25" s="4" t="s">
        <v>61</v>
      </c>
      <c r="B25" s="4" t="s">
        <v>62</v>
      </c>
      <c r="C25" s="5">
        <f>R_sq + Theta_bridge</f>
        <v>162</v>
      </c>
      <c r="D25" s="4"/>
      <c r="E25" s="4" t="s">
        <v>63</v>
      </c>
      <c r="F25" s="4">
        <f>162</f>
        <v>162</v>
      </c>
    </row>
    <row r="26" spans="1:6" x14ac:dyDescent="0.6">
      <c r="A26" s="4" t="s">
        <v>64</v>
      </c>
      <c r="B26" s="4" t="s">
        <v>65</v>
      </c>
      <c r="C26" s="5">
        <f>R_sq - Theta_bridge</f>
        <v>126</v>
      </c>
      <c r="D26" s="4"/>
      <c r="E26" s="4" t="s">
        <v>63</v>
      </c>
      <c r="F26" s="4">
        <f>126</f>
        <v>126</v>
      </c>
    </row>
    <row r="27" spans="1:6" x14ac:dyDescent="0.6">
      <c r="A27" s="4" t="s">
        <v>66</v>
      </c>
      <c r="B27" s="4" t="s">
        <v>67</v>
      </c>
      <c r="C27" s="5">
        <f>2 * Theta_bridge</f>
        <v>36</v>
      </c>
      <c r="D27" s="4"/>
      <c r="E27" s="4" t="s">
        <v>63</v>
      </c>
      <c r="F27" s="4">
        <f>36</f>
        <v>36</v>
      </c>
    </row>
    <row r="28" spans="1:6" x14ac:dyDescent="0.6">
      <c r="A28" s="6" t="s">
        <v>68</v>
      </c>
      <c r="B28" s="6" t="s">
        <v>69</v>
      </c>
      <c r="C28" s="7">
        <f>M_mass / R_sq</f>
        <v>0.875</v>
      </c>
      <c r="D28" s="6"/>
      <c r="E28" s="6" t="s">
        <v>63</v>
      </c>
      <c r="F28" s="6"/>
    </row>
    <row r="29" spans="1:6" x14ac:dyDescent="0.6">
      <c r="A29" s="6" t="s">
        <v>70</v>
      </c>
      <c r="B29" s="6" t="s">
        <v>71</v>
      </c>
      <c r="C29" s="7">
        <f>Theta_bridge / R_sq</f>
        <v>0.125</v>
      </c>
      <c r="D29" s="6"/>
      <c r="E29" s="6" t="s">
        <v>63</v>
      </c>
      <c r="F29" s="6"/>
    </row>
    <row r="30" spans="1:6" x14ac:dyDescent="0.6">
      <c r="A30" s="6" t="s">
        <v>72</v>
      </c>
      <c r="B30" s="6" t="s">
        <v>73</v>
      </c>
      <c r="C30" s="7">
        <f>d_sq * (h_hat + d_hat)</f>
        <v>45</v>
      </c>
      <c r="D30" s="6"/>
      <c r="E30" s="6" t="s">
        <v>74</v>
      </c>
      <c r="F30" s="6">
        <f>45</f>
        <v>45</v>
      </c>
    </row>
    <row r="31" spans="1:6" ht="15.55" x14ac:dyDescent="0.6">
      <c r="A31" s="39" t="s">
        <v>75</v>
      </c>
      <c r="B31" s="40"/>
      <c r="C31" s="40"/>
      <c r="D31" s="40"/>
      <c r="E31" s="40"/>
      <c r="F31" s="40"/>
    </row>
    <row r="32" spans="1:6" x14ac:dyDescent="0.6">
      <c r="A32" s="6" t="s">
        <v>76</v>
      </c>
      <c r="B32" s="6" t="s">
        <v>77</v>
      </c>
      <c r="C32" s="7">
        <f>1 + 1/h_hat^2</f>
        <v>1.25</v>
      </c>
      <c r="D32" s="6"/>
      <c r="E32" s="6" t="s">
        <v>78</v>
      </c>
      <c r="F32" s="6"/>
    </row>
    <row r="33" spans="1:6" x14ac:dyDescent="0.6">
      <c r="A33" s="6" t="s">
        <v>79</v>
      </c>
      <c r="B33" s="6" t="s">
        <v>80</v>
      </c>
      <c r="C33" s="7">
        <f>1 + 1/h_hat</f>
        <v>1.5</v>
      </c>
      <c r="D33" s="6"/>
      <c r="E33" s="6" t="s">
        <v>78</v>
      </c>
      <c r="F33" s="6"/>
    </row>
    <row r="34" spans="1:6" x14ac:dyDescent="0.6">
      <c r="A34" s="6" t="s">
        <v>81</v>
      </c>
      <c r="B34" s="6" t="s">
        <v>82</v>
      </c>
      <c r="C34" s="7">
        <f>c_plus / c_minus</f>
        <v>0.83333333333333337</v>
      </c>
      <c r="D34" s="6"/>
      <c r="E34" s="6" t="s">
        <v>83</v>
      </c>
      <c r="F34" s="6">
        <f>5/6</f>
        <v>0.83333333333333337</v>
      </c>
    </row>
    <row r="35" spans="1:6" x14ac:dyDescent="0.6">
      <c r="A35" s="6" t="s">
        <v>84</v>
      </c>
      <c r="B35" s="6" t="s">
        <v>85</v>
      </c>
      <c r="C35" s="7">
        <f>c_minus / c_plus</f>
        <v>1.2</v>
      </c>
      <c r="D35" s="6"/>
      <c r="E35" s="6" t="s">
        <v>83</v>
      </c>
      <c r="F35" s="6">
        <f>6/5</f>
        <v>1.2</v>
      </c>
    </row>
    <row r="36" spans="1:6" x14ac:dyDescent="0.6">
      <c r="A36" s="6" t="s">
        <v>86</v>
      </c>
      <c r="B36" s="6" t="s">
        <v>87</v>
      </c>
      <c r="C36" s="7">
        <f>6 + 36/R_sq</f>
        <v>6.25</v>
      </c>
      <c r="D36" s="6"/>
      <c r="E36" s="6" t="s">
        <v>88</v>
      </c>
      <c r="F36" s="6">
        <f>25/4</f>
        <v>6.25</v>
      </c>
    </row>
    <row r="37" spans="1:6" x14ac:dyDescent="0.6">
      <c r="A37" s="6" t="s">
        <v>89</v>
      </c>
      <c r="B37" s="6" t="s">
        <v>90</v>
      </c>
      <c r="C37" s="7">
        <f>12 + 144/R_sq</f>
        <v>13</v>
      </c>
      <c r="D37" s="6"/>
      <c r="E37" s="6" t="s">
        <v>88</v>
      </c>
      <c r="F37" s="6"/>
    </row>
    <row r="38" spans="1:6" ht="15.55" x14ac:dyDescent="0.6">
      <c r="A38" s="39" t="s">
        <v>91</v>
      </c>
      <c r="B38" s="40"/>
      <c r="C38" s="40"/>
      <c r="D38" s="40"/>
      <c r="E38" s="40"/>
      <c r="F38" s="40"/>
    </row>
    <row r="39" spans="1:6" x14ac:dyDescent="0.6">
      <c r="A39" s="6" t="s">
        <v>92</v>
      </c>
      <c r="B39" s="6" t="s">
        <v>93</v>
      </c>
      <c r="C39" s="7">
        <f>1/(pi_val * R_radix)</f>
        <v>2.6525823848649224E-2</v>
      </c>
      <c r="D39" s="6"/>
      <c r="E39" s="6" t="s">
        <v>94</v>
      </c>
      <c r="F39" s="6"/>
    </row>
    <row r="40" spans="1:6" x14ac:dyDescent="0.6">
      <c r="A40" s="6" t="s">
        <v>95</v>
      </c>
      <c r="B40" s="6" t="s">
        <v>96</v>
      </c>
      <c r="C40" s="7">
        <f>pi_val * A_0</f>
        <v>8.3333333333333329E-2</v>
      </c>
      <c r="D40" s="6"/>
      <c r="E40" s="6" t="s">
        <v>97</v>
      </c>
      <c r="F40" s="6">
        <f>1/12</f>
        <v>8.3333333333333329E-2</v>
      </c>
    </row>
    <row r="41" spans="1:6" x14ac:dyDescent="0.6">
      <c r="A41" s="6" t="s">
        <v>98</v>
      </c>
      <c r="B41" s="6" t="s">
        <v>99</v>
      </c>
      <c r="C41" s="7">
        <f>A_share / 2</f>
        <v>4.1666666666666664E-2</v>
      </c>
      <c r="D41" s="6"/>
      <c r="E41" s="6" t="s">
        <v>97</v>
      </c>
      <c r="F41" s="6">
        <f>1/24</f>
        <v>4.1666666666666664E-2</v>
      </c>
    </row>
    <row r="42" spans="1:6" x14ac:dyDescent="0.6">
      <c r="A42" s="6" t="s">
        <v>100</v>
      </c>
      <c r="B42" s="6" t="s">
        <v>101</v>
      </c>
      <c r="C42" s="7">
        <f>(S_split/d_hat) * A_0</f>
        <v>7.0735530263064589E-2</v>
      </c>
      <c r="D42" s="6"/>
      <c r="E42" s="6" t="s">
        <v>102</v>
      </c>
      <c r="F42" s="6"/>
    </row>
    <row r="43" spans="1:6" x14ac:dyDescent="0.6">
      <c r="A43" s="6" t="s">
        <v>103</v>
      </c>
      <c r="B43" s="6" t="s">
        <v>104</v>
      </c>
      <c r="C43" s="7">
        <f>R_radix * A_0</f>
        <v>0.31830988618379069</v>
      </c>
      <c r="D43" s="6"/>
      <c r="E43" s="6" t="s">
        <v>105</v>
      </c>
      <c r="F43" s="6" t="s">
        <v>106</v>
      </c>
    </row>
    <row r="44" spans="1:6" x14ac:dyDescent="0.6">
      <c r="A44" s="6" t="s">
        <v>107</v>
      </c>
      <c r="B44" s="6" t="s">
        <v>108</v>
      </c>
      <c r="C44" s="7">
        <f>2 * A_0 * (1 - chi)</f>
        <v>4.9299011266100756E-2</v>
      </c>
      <c r="D44" s="6"/>
      <c r="E44" s="6" t="s">
        <v>109</v>
      </c>
      <c r="F44" s="6" t="s">
        <v>110</v>
      </c>
    </row>
    <row r="45" spans="1:6" x14ac:dyDescent="0.6">
      <c r="A45" s="6" t="s">
        <v>111</v>
      </c>
      <c r="B45" s="6" t="s">
        <v>112</v>
      </c>
      <c r="C45" s="7">
        <f>Omega_m - Omega_b</f>
        <v>0.26901087491768993</v>
      </c>
      <c r="D45" s="6"/>
      <c r="E45" s="6" t="s">
        <v>113</v>
      </c>
      <c r="F45" s="6" t="s">
        <v>114</v>
      </c>
    </row>
    <row r="46" spans="1:6" x14ac:dyDescent="0.6">
      <c r="A46" s="6" t="s">
        <v>115</v>
      </c>
      <c r="B46" s="6" t="s">
        <v>116</v>
      </c>
      <c r="C46" s="7">
        <f>(pi_val - 1)/pi_val</f>
        <v>0.68169011381620936</v>
      </c>
      <c r="D46" s="6"/>
      <c r="E46" s="6" t="s">
        <v>117</v>
      </c>
      <c r="F46" s="6" t="s">
        <v>118</v>
      </c>
    </row>
    <row r="47" spans="1:6" x14ac:dyDescent="0.6">
      <c r="A47" s="6" t="s">
        <v>119</v>
      </c>
      <c r="B47" s="6" t="s">
        <v>120</v>
      </c>
      <c r="C47" s="7">
        <f>(R_radix - h_hat) * Omega_m</f>
        <v>3.183098861837907</v>
      </c>
      <c r="D47" s="6"/>
      <c r="E47" s="6" t="s">
        <v>121</v>
      </c>
      <c r="F47" s="6" t="s">
        <v>122</v>
      </c>
    </row>
    <row r="48" spans="1:6" ht="15.55" x14ac:dyDescent="0.6">
      <c r="A48" s="39" t="s">
        <v>123</v>
      </c>
      <c r="B48" s="40"/>
      <c r="C48" s="40"/>
      <c r="D48" s="40"/>
      <c r="E48" s="40"/>
      <c r="F48" s="40"/>
    </row>
    <row r="49" spans="1:6" x14ac:dyDescent="0.6">
      <c r="A49" s="8" t="s">
        <v>124</v>
      </c>
      <c r="B49" s="8" t="s">
        <v>125</v>
      </c>
      <c r="C49" s="9">
        <v>2.7254999999999998</v>
      </c>
      <c r="D49" s="8" t="s">
        <v>126</v>
      </c>
      <c r="E49" s="8" t="s">
        <v>127</v>
      </c>
      <c r="F49" s="8" t="s">
        <v>128</v>
      </c>
    </row>
    <row r="50" spans="1:6" x14ac:dyDescent="0.6">
      <c r="A50" s="8" t="s">
        <v>129</v>
      </c>
      <c r="B50" s="8" t="s">
        <v>130</v>
      </c>
      <c r="C50" s="10">
        <v>299792458</v>
      </c>
      <c r="D50" s="8" t="s">
        <v>131</v>
      </c>
      <c r="E50" s="8" t="s">
        <v>132</v>
      </c>
      <c r="F50" s="8" t="s">
        <v>133</v>
      </c>
    </row>
    <row r="51" spans="1:6" x14ac:dyDescent="0.6">
      <c r="A51" s="8" t="s">
        <v>134</v>
      </c>
      <c r="B51" s="8" t="s">
        <v>135</v>
      </c>
      <c r="C51" s="10">
        <v>6.6260701499999998E-34</v>
      </c>
      <c r="D51" s="8" t="s">
        <v>136</v>
      </c>
      <c r="E51" s="8" t="s">
        <v>137</v>
      </c>
      <c r="F51" s="8" t="s">
        <v>138</v>
      </c>
    </row>
    <row r="52" spans="1:6" x14ac:dyDescent="0.6">
      <c r="A52" s="6" t="s">
        <v>139</v>
      </c>
      <c r="B52" s="6" t="s">
        <v>140</v>
      </c>
      <c r="C52" s="7">
        <f>h_planck / (2 * pi_val)</f>
        <v>1.0545718176461565E-34</v>
      </c>
      <c r="D52" s="6" t="s">
        <v>136</v>
      </c>
      <c r="E52" s="6" t="s">
        <v>141</v>
      </c>
      <c r="F52" s="6" t="s">
        <v>142</v>
      </c>
    </row>
    <row r="53" spans="1:6" x14ac:dyDescent="0.6">
      <c r="A53" s="8" t="s">
        <v>143</v>
      </c>
      <c r="B53" s="8" t="s">
        <v>144</v>
      </c>
      <c r="C53" s="10">
        <v>1.3806490000000001E-23</v>
      </c>
      <c r="D53" s="8" t="s">
        <v>145</v>
      </c>
      <c r="E53" s="8" t="s">
        <v>137</v>
      </c>
      <c r="F53" s="8" t="s">
        <v>138</v>
      </c>
    </row>
    <row r="54" spans="1:6" x14ac:dyDescent="0.6">
      <c r="A54" s="8" t="s">
        <v>146</v>
      </c>
      <c r="B54" s="8" t="s">
        <v>147</v>
      </c>
      <c r="C54" s="10">
        <v>6.6742999999999994E-11</v>
      </c>
      <c r="D54" s="8" t="s">
        <v>148</v>
      </c>
      <c r="E54" s="8" t="s">
        <v>149</v>
      </c>
      <c r="F54" s="8" t="s">
        <v>150</v>
      </c>
    </row>
    <row r="55" spans="1:6" x14ac:dyDescent="0.6">
      <c r="A55" s="8" t="s">
        <v>151</v>
      </c>
      <c r="B55" s="8" t="s">
        <v>152</v>
      </c>
      <c r="C55" s="10">
        <v>3.0856775814999999E+22</v>
      </c>
      <c r="D55" s="8" t="s">
        <v>153</v>
      </c>
      <c r="E55" s="8" t="s">
        <v>154</v>
      </c>
      <c r="F55" s="8" t="s">
        <v>155</v>
      </c>
    </row>
    <row r="56" spans="1:6" x14ac:dyDescent="0.6">
      <c r="A56" s="8" t="s">
        <v>156</v>
      </c>
      <c r="B56" s="8" t="s">
        <v>157</v>
      </c>
      <c r="C56" s="10">
        <v>1.6726219236900001E-27</v>
      </c>
      <c r="D56" s="8" t="s">
        <v>158</v>
      </c>
      <c r="E56" s="8" t="s">
        <v>149</v>
      </c>
      <c r="F56" s="8" t="s">
        <v>159</v>
      </c>
    </row>
    <row r="57" spans="1:6" x14ac:dyDescent="0.6">
      <c r="A57" s="8" t="s">
        <v>160</v>
      </c>
      <c r="B57" s="8" t="s">
        <v>161</v>
      </c>
      <c r="C57" s="9">
        <v>1.202056903159594</v>
      </c>
      <c r="D57" s="8"/>
      <c r="E57" s="8" t="s">
        <v>162</v>
      </c>
      <c r="F57" s="8" t="s">
        <v>163</v>
      </c>
    </row>
    <row r="58" spans="1:6" x14ac:dyDescent="0.6">
      <c r="A58" s="8" t="s">
        <v>164</v>
      </c>
      <c r="B58" s="8" t="s">
        <v>165</v>
      </c>
      <c r="C58" s="9">
        <v>3.0459999999999998</v>
      </c>
      <c r="D58" s="8"/>
      <c r="E58" s="8" t="s">
        <v>166</v>
      </c>
      <c r="F58" s="8" t="s">
        <v>167</v>
      </c>
    </row>
    <row r="59" spans="1:6" x14ac:dyDescent="0.6">
      <c r="A59" s="8" t="s">
        <v>168</v>
      </c>
      <c r="B59" s="8" t="s">
        <v>169</v>
      </c>
      <c r="C59" s="9">
        <v>0.05</v>
      </c>
      <c r="D59" s="8" t="s">
        <v>170</v>
      </c>
      <c r="E59" s="8" t="s">
        <v>171</v>
      </c>
      <c r="F59" s="8" t="s">
        <v>172</v>
      </c>
    </row>
    <row r="60" spans="1:6" ht="15.55" x14ac:dyDescent="0.6">
      <c r="A60" s="39" t="s">
        <v>173</v>
      </c>
      <c r="B60" s="40"/>
      <c r="C60" s="40"/>
      <c r="D60" s="40"/>
      <c r="E60" s="40"/>
      <c r="F60" s="40"/>
    </row>
    <row r="61" spans="1:6" x14ac:dyDescent="0.6">
      <c r="A61" s="6" t="s">
        <v>174</v>
      </c>
      <c r="B61" s="6" t="s">
        <v>175</v>
      </c>
      <c r="C61" s="7">
        <f>(M_mass/(h_hat^2 * Theta_bridge)) * A_0^(L_ledger/V_cell)</f>
        <v>6.0960895244841988E-10</v>
      </c>
      <c r="D61" s="6"/>
      <c r="E61" s="6" t="s">
        <v>176</v>
      </c>
      <c r="F61" s="6" t="s">
        <v>177</v>
      </c>
    </row>
    <row r="62" spans="1:6" x14ac:dyDescent="0.6">
      <c r="A62" s="4" t="s">
        <v>178</v>
      </c>
      <c r="B62" s="4" t="s">
        <v>179</v>
      </c>
      <c r="C62" s="5">
        <f>(7/4) * A_0^6 - eta_SAM</f>
        <v>0</v>
      </c>
      <c r="D62" s="4"/>
      <c r="E62" s="4" t="s">
        <v>55</v>
      </c>
      <c r="F62" s="4" t="s">
        <v>56</v>
      </c>
    </row>
    <row r="63" spans="1:6" x14ac:dyDescent="0.6">
      <c r="A63" s="6" t="s">
        <v>180</v>
      </c>
      <c r="B63" s="6" t="s">
        <v>181</v>
      </c>
      <c r="C63" s="7">
        <f>100*1000 / Mpc_m</f>
        <v>3.2407792894352986E-18</v>
      </c>
      <c r="D63" s="6" t="s">
        <v>182</v>
      </c>
      <c r="E63" s="6" t="s">
        <v>183</v>
      </c>
      <c r="F63" s="6"/>
    </row>
    <row r="64" spans="1:6" x14ac:dyDescent="0.6">
      <c r="A64" s="6" t="s">
        <v>184</v>
      </c>
      <c r="B64" s="6" t="s">
        <v>185</v>
      </c>
      <c r="C64" s="7">
        <f>3 * H_100_si^2 / (8 * pi_val * G_newton)</f>
        <v>1.8783416169226582E-26</v>
      </c>
      <c r="D64" s="6" t="s">
        <v>186</v>
      </c>
      <c r="E64" s="6" t="s">
        <v>187</v>
      </c>
      <c r="F64" s="6" t="s">
        <v>188</v>
      </c>
    </row>
    <row r="65" spans="1:6" x14ac:dyDescent="0.6">
      <c r="A65" s="6" t="s">
        <v>189</v>
      </c>
      <c r="B65" s="6" t="s">
        <v>190</v>
      </c>
      <c r="C65" s="7">
        <f>(2 * zeta_3 / pi_val^2) * (k_B * T_CMB / (hbar * c_light))^3</f>
        <v>410726847.92484492</v>
      </c>
      <c r="D65" s="6" t="s">
        <v>191</v>
      </c>
      <c r="E65" s="6" t="s">
        <v>192</v>
      </c>
      <c r="F65" s="6" t="s">
        <v>193</v>
      </c>
    </row>
    <row r="66" spans="1:6" x14ac:dyDescent="0.6">
      <c r="A66" s="6" t="s">
        <v>194</v>
      </c>
      <c r="B66" s="6" t="s">
        <v>195</v>
      </c>
      <c r="C66" s="7">
        <f>rho_crit_h1 / (m_p * n_gamma)</f>
        <v>2.7341586044263207E-8</v>
      </c>
      <c r="D66" s="6"/>
      <c r="E66" s="6" t="s">
        <v>196</v>
      </c>
      <c r="F66" s="6" t="s">
        <v>197</v>
      </c>
    </row>
    <row r="67" spans="1:6" x14ac:dyDescent="0.6">
      <c r="A67" s="6" t="s">
        <v>198</v>
      </c>
      <c r="B67" s="6" t="s">
        <v>199</v>
      </c>
      <c r="C67" s="7">
        <f>eta_SAM / K_eta_omegab</f>
        <v>2.2296034745809035E-2</v>
      </c>
      <c r="D67" s="6"/>
      <c r="E67" s="6" t="s">
        <v>200</v>
      </c>
      <c r="F67" s="6" t="s">
        <v>201</v>
      </c>
    </row>
    <row r="68" spans="1:6" x14ac:dyDescent="0.6">
      <c r="A68" s="6" t="s">
        <v>202</v>
      </c>
      <c r="B68" s="6" t="s">
        <v>203</v>
      </c>
      <c r="C68" s="7">
        <f>omega_b_SAM / Omega_b</f>
        <v>0.45226129638710122</v>
      </c>
      <c r="D68" s="6"/>
      <c r="E68" s="6" t="s">
        <v>200</v>
      </c>
      <c r="F68" s="6"/>
    </row>
    <row r="69" spans="1:6" x14ac:dyDescent="0.6">
      <c r="A69" s="6" t="s">
        <v>204</v>
      </c>
      <c r="B69" s="6" t="s">
        <v>205</v>
      </c>
      <c r="C69" s="7">
        <f>SQRT(h_SAM_sq)</f>
        <v>0.67250375195020373</v>
      </c>
      <c r="D69" s="6"/>
      <c r="E69" s="6" t="s">
        <v>200</v>
      </c>
      <c r="F69" s="6" t="s">
        <v>206</v>
      </c>
    </row>
    <row r="70" spans="1:6" x14ac:dyDescent="0.6">
      <c r="A70" s="6" t="s">
        <v>207</v>
      </c>
      <c r="B70" s="6" t="s">
        <v>208</v>
      </c>
      <c r="C70" s="7">
        <f>100 * h_SAM</f>
        <v>67.250375195020368</v>
      </c>
      <c r="D70" s="6" t="s">
        <v>209</v>
      </c>
      <c r="E70" s="6" t="s">
        <v>200</v>
      </c>
      <c r="F70" s="6" t="s">
        <v>210</v>
      </c>
    </row>
    <row r="71" spans="1:6" x14ac:dyDescent="0.6">
      <c r="A71" s="6" t="s">
        <v>211</v>
      </c>
      <c r="B71" s="6" t="s">
        <v>212</v>
      </c>
      <c r="C71" s="7">
        <f>Omega_c * h_SAM_sq</f>
        <v>0.12166320703250279</v>
      </c>
      <c r="D71" s="6"/>
      <c r="E71" s="6" t="s">
        <v>213</v>
      </c>
      <c r="F71" s="6" t="s">
        <v>214</v>
      </c>
    </row>
    <row r="72" spans="1:6" x14ac:dyDescent="0.6">
      <c r="A72" s="6" t="s">
        <v>215</v>
      </c>
      <c r="B72" s="6" t="s">
        <v>216</v>
      </c>
      <c r="C72" s="7">
        <f>eta_SAM * SQRT(R_radix)</f>
        <v>2.1117473567790059E-9</v>
      </c>
      <c r="D72" s="6"/>
      <c r="E72" s="6" t="s">
        <v>217</v>
      </c>
      <c r="F72" s="6" t="s">
        <v>218</v>
      </c>
    </row>
    <row r="73" spans="1:6" x14ac:dyDescent="0.6">
      <c r="A73" s="6" t="s">
        <v>219</v>
      </c>
      <c r="B73" s="6" t="s">
        <v>220</v>
      </c>
      <c r="C73" s="7">
        <f>1 - chi/2</f>
        <v>0.96463223486846772</v>
      </c>
      <c r="D73" s="6"/>
      <c r="E73" s="6" t="s">
        <v>217</v>
      </c>
      <c r="F73" s="6" t="s">
        <v>221</v>
      </c>
    </row>
    <row r="74" spans="1:6" x14ac:dyDescent="0.6">
      <c r="A74" s="6" t="s">
        <v>222</v>
      </c>
      <c r="B74" s="6" t="s">
        <v>223</v>
      </c>
      <c r="C74" s="7">
        <f>2 * A_0</f>
        <v>5.3051647697298449E-2</v>
      </c>
      <c r="D74" s="6"/>
      <c r="E74" s="6" t="s">
        <v>217</v>
      </c>
      <c r="F74" s="6" t="s">
        <v>224</v>
      </c>
    </row>
    <row r="75" spans="1:6" ht="15.55" x14ac:dyDescent="0.6">
      <c r="A75" s="39" t="s">
        <v>225</v>
      </c>
      <c r="B75" s="40"/>
      <c r="C75" s="40"/>
      <c r="D75" s="40"/>
      <c r="E75" s="40"/>
      <c r="F75" s="40"/>
    </row>
    <row r="76" spans="1:6" x14ac:dyDescent="0.6">
      <c r="A76" s="6" t="s">
        <v>226</v>
      </c>
      <c r="B76" s="6" t="s">
        <v>227</v>
      </c>
      <c r="C76" s="7">
        <f>(R_radix-1)*(F_face*S_split-1)/(d_hat * h_hat^S_split)</f>
        <v>9.2669270833333339</v>
      </c>
      <c r="D76" s="6"/>
      <c r="E76" s="6" t="s">
        <v>228</v>
      </c>
      <c r="F76" s="6"/>
    </row>
    <row r="77" spans="1:6" x14ac:dyDescent="0.6">
      <c r="A77" s="6" t="s">
        <v>229</v>
      </c>
      <c r="B77" s="6" t="s">
        <v>230</v>
      </c>
      <c r="C77" s="7">
        <f>1/S_split^2</f>
        <v>1.5625E-2</v>
      </c>
      <c r="D77" s="6"/>
      <c r="E77" s="6" t="s">
        <v>231</v>
      </c>
      <c r="F77" s="6" t="b">
        <f>1/64 = 0.015625</f>
        <v>1</v>
      </c>
    </row>
    <row r="78" spans="1:6" x14ac:dyDescent="0.6">
      <c r="A78" s="6" t="s">
        <v>232</v>
      </c>
      <c r="B78" s="6" t="s">
        <v>233</v>
      </c>
      <c r="C78" s="7">
        <f>4 * kappa_floor</f>
        <v>37.067708333333336</v>
      </c>
      <c r="D78" s="6"/>
      <c r="E78" s="6" t="s">
        <v>234</v>
      </c>
      <c r="F78" s="6">
        <f>7117/192</f>
        <v>37.067708333333336</v>
      </c>
    </row>
    <row r="79" spans="1:6" x14ac:dyDescent="0.6">
      <c r="A79" s="6" t="s">
        <v>235</v>
      </c>
      <c r="B79" s="6" t="s">
        <v>236</v>
      </c>
      <c r="C79" s="7">
        <f>4 * kappa_floor - S_split * g_const</f>
        <v>36.942708333333336</v>
      </c>
      <c r="D79" s="6"/>
      <c r="E79" s="6" t="s">
        <v>237</v>
      </c>
      <c r="F79" s="6">
        <f>7093/192</f>
        <v>36.942708333333336</v>
      </c>
    </row>
    <row r="80" spans="1:6" ht="15.55" x14ac:dyDescent="0.6">
      <c r="A80" s="39" t="s">
        <v>238</v>
      </c>
      <c r="B80" s="40"/>
      <c r="C80" s="40"/>
      <c r="D80" s="40"/>
      <c r="E80" s="40"/>
      <c r="F80" s="40"/>
    </row>
    <row r="81" spans="1:6" x14ac:dyDescent="0.6">
      <c r="A81" s="8" t="s">
        <v>239</v>
      </c>
      <c r="B81" s="8" t="s">
        <v>240</v>
      </c>
      <c r="C81" s="9">
        <v>0.06</v>
      </c>
      <c r="D81" s="8" t="s">
        <v>241</v>
      </c>
      <c r="E81" s="8" t="s">
        <v>242</v>
      </c>
      <c r="F81" s="8" t="s">
        <v>243</v>
      </c>
    </row>
    <row r="82" spans="1:6" x14ac:dyDescent="0.6">
      <c r="A82" s="8" t="s">
        <v>244</v>
      </c>
      <c r="B82" s="8" t="s">
        <v>245</v>
      </c>
      <c r="C82" s="9">
        <v>0.2271</v>
      </c>
      <c r="D82" s="8"/>
      <c r="E82" s="8" t="s">
        <v>246</v>
      </c>
      <c r="F82" s="8" t="s">
        <v>247</v>
      </c>
    </row>
    <row r="83" spans="1:6" ht="15.55" x14ac:dyDescent="0.6">
      <c r="A83" s="39" t="s">
        <v>248</v>
      </c>
      <c r="B83" s="40"/>
      <c r="C83" s="40"/>
      <c r="D83" s="40"/>
      <c r="E83" s="40"/>
      <c r="F83" s="40"/>
    </row>
    <row r="84" spans="1:6" x14ac:dyDescent="0.6">
      <c r="A84" s="6" t="s">
        <v>249</v>
      </c>
      <c r="B84" s="6" t="s">
        <v>250</v>
      </c>
      <c r="C84" s="7">
        <f>((h_hat*d_hat)^2 - 1)/(h_hat - 1)</f>
        <v>35</v>
      </c>
      <c r="D84" s="6"/>
      <c r="E84" s="6" t="s">
        <v>251</v>
      </c>
      <c r="F84" s="6"/>
    </row>
    <row r="85" spans="1:6" x14ac:dyDescent="0.6">
      <c r="A85" s="8" t="s">
        <v>252</v>
      </c>
      <c r="B85" s="8" t="s">
        <v>253</v>
      </c>
      <c r="C85" s="9">
        <v>2.5149999999999999E-3</v>
      </c>
      <c r="D85" s="8" t="s">
        <v>254</v>
      </c>
      <c r="E85" s="8" t="s">
        <v>255</v>
      </c>
      <c r="F85" s="8" t="s">
        <v>256</v>
      </c>
    </row>
    <row r="86" spans="1:6" x14ac:dyDescent="0.6">
      <c r="A86" s="6" t="s">
        <v>257</v>
      </c>
      <c r="B86" s="6" t="s">
        <v>258</v>
      </c>
      <c r="C86" s="7">
        <f>SQRT(dm31_sq / nu_ratio)</f>
        <v>8.4768592566553114E-3</v>
      </c>
      <c r="D86" s="6" t="s">
        <v>241</v>
      </c>
      <c r="E86" s="6" t="s">
        <v>259</v>
      </c>
      <c r="F86" s="6" t="s">
        <v>260</v>
      </c>
    </row>
    <row r="87" spans="1:6" x14ac:dyDescent="0.6">
      <c r="A87" s="6" t="s">
        <v>261</v>
      </c>
      <c r="B87" s="6" t="s">
        <v>262</v>
      </c>
      <c r="C87" s="7">
        <f>m_nu_1 * SQRT(h_hat)</f>
        <v>1.1988089327089856E-2</v>
      </c>
      <c r="D87" s="6" t="s">
        <v>241</v>
      </c>
      <c r="E87" s="6" t="s">
        <v>259</v>
      </c>
      <c r="F87" s="6" t="s">
        <v>263</v>
      </c>
    </row>
    <row r="88" spans="1:6" x14ac:dyDescent="0.6">
      <c r="A88" s="6" t="s">
        <v>264</v>
      </c>
      <c r="B88" s="6" t="s">
        <v>265</v>
      </c>
      <c r="C88" s="7">
        <f>m_nu_1 * h_hat * d_hat</f>
        <v>5.0861155539931868E-2</v>
      </c>
      <c r="D88" s="6" t="s">
        <v>241</v>
      </c>
      <c r="E88" s="6" t="s">
        <v>259</v>
      </c>
      <c r="F88" s="6" t="s">
        <v>266</v>
      </c>
    </row>
    <row r="89" spans="1:6" x14ac:dyDescent="0.6">
      <c r="A89" s="6" t="s">
        <v>267</v>
      </c>
      <c r="B89" s="6" t="s">
        <v>268</v>
      </c>
      <c r="C89" s="7">
        <f>m_nu_1 + m_nu_2 + m_nu_3</f>
        <v>7.1326104123677042E-2</v>
      </c>
      <c r="D89" s="6" t="s">
        <v>241</v>
      </c>
      <c r="E89" s="6" t="s">
        <v>269</v>
      </c>
      <c r="F89" s="6" t="s">
        <v>270</v>
      </c>
    </row>
    <row r="90" spans="1:6" ht="15.55" x14ac:dyDescent="0.6">
      <c r="A90" s="39" t="s">
        <v>271</v>
      </c>
      <c r="B90" s="40"/>
      <c r="C90" s="40"/>
      <c r="D90" s="40"/>
      <c r="E90" s="40"/>
      <c r="F90" s="40"/>
    </row>
    <row r="91" spans="1:6" x14ac:dyDescent="0.6">
      <c r="A91" s="11" t="s">
        <v>272</v>
      </c>
      <c r="B91" s="11" t="s">
        <v>273</v>
      </c>
      <c r="C91" s="11"/>
      <c r="D91" s="11" t="s">
        <v>153</v>
      </c>
      <c r="E91" s="11" t="s">
        <v>274</v>
      </c>
      <c r="F91" s="11" t="s">
        <v>275</v>
      </c>
    </row>
    <row r="92" spans="1:6" x14ac:dyDescent="0.6">
      <c r="A92" s="11" t="s">
        <v>276</v>
      </c>
      <c r="B92" s="11" t="s">
        <v>277</v>
      </c>
      <c r="C92" s="11"/>
      <c r="D92" s="11"/>
      <c r="E92" s="11" t="s">
        <v>278</v>
      </c>
      <c r="F92" s="11" t="s">
        <v>279</v>
      </c>
    </row>
    <row r="93" spans="1:6" x14ac:dyDescent="0.6">
      <c r="A93" s="11" t="s">
        <v>280</v>
      </c>
      <c r="B93" s="11" t="s">
        <v>281</v>
      </c>
      <c r="C93" s="11"/>
      <c r="D93" s="11" t="s">
        <v>209</v>
      </c>
      <c r="E93" s="11" t="s">
        <v>282</v>
      </c>
      <c r="F93" s="11" t="s">
        <v>283</v>
      </c>
    </row>
    <row r="94" spans="1:6" x14ac:dyDescent="0.6">
      <c r="A94" s="11" t="s">
        <v>284</v>
      </c>
      <c r="B94" s="11" t="s">
        <v>285</v>
      </c>
      <c r="C94" s="11"/>
      <c r="D94" s="11" t="s">
        <v>158</v>
      </c>
      <c r="E94" s="11" t="s">
        <v>286</v>
      </c>
      <c r="F94" s="11" t="s">
        <v>287</v>
      </c>
    </row>
    <row r="95" spans="1:6" x14ac:dyDescent="0.6">
      <c r="A95" s="11" t="s">
        <v>288</v>
      </c>
      <c r="B95" s="11" t="s">
        <v>289</v>
      </c>
      <c r="C95" s="11"/>
      <c r="D95" s="11"/>
      <c r="E95" s="11" t="s">
        <v>290</v>
      </c>
      <c r="F95" s="11" t="s">
        <v>291</v>
      </c>
    </row>
  </sheetData>
  <mergeCells count="14">
    <mergeCell ref="A1:F1"/>
    <mergeCell ref="A5:F5"/>
    <mergeCell ref="A75:F75"/>
    <mergeCell ref="A80:F80"/>
    <mergeCell ref="A31:F31"/>
    <mergeCell ref="A48:F48"/>
    <mergeCell ref="A3:F3"/>
    <mergeCell ref="A20:F20"/>
    <mergeCell ref="A38:F38"/>
    <mergeCell ref="A2:F2"/>
    <mergeCell ref="A10:F10"/>
    <mergeCell ref="A60:F60"/>
    <mergeCell ref="A90:F90"/>
    <mergeCell ref="A83:F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4" topLeftCell="A5" activePane="bottomLeft" state="frozen"/>
      <selection pane="bottomLeft" sqref="A1:G1"/>
    </sheetView>
  </sheetViews>
  <sheetFormatPr defaultRowHeight="14.2" x14ac:dyDescent="0.6"/>
  <cols>
    <col min="1" max="1" width="24" customWidth="1"/>
    <col min="2" max="2" width="30" customWidth="1"/>
    <col min="3" max="3" width="22" customWidth="1"/>
    <col min="4" max="4" width="10" customWidth="1"/>
    <col min="5" max="5" width="50" customWidth="1"/>
  </cols>
  <sheetData>
    <row r="1" spans="1:7" ht="22.05" customHeight="1" x14ac:dyDescent="0.85">
      <c r="A1" s="42" t="s">
        <v>292</v>
      </c>
      <c r="B1" s="40"/>
      <c r="C1" s="40"/>
      <c r="D1" s="40"/>
      <c r="E1" s="40"/>
      <c r="F1" s="40"/>
      <c r="G1" s="40"/>
    </row>
    <row r="2" spans="1:7" x14ac:dyDescent="0.6">
      <c r="A2" s="41" t="s">
        <v>293</v>
      </c>
      <c r="B2" s="40"/>
      <c r="C2" s="40"/>
      <c r="D2" s="40"/>
      <c r="E2" s="40"/>
      <c r="F2" s="40"/>
      <c r="G2" s="40"/>
    </row>
    <row r="3" spans="1:7" x14ac:dyDescent="0.6">
      <c r="A3" s="41" t="s">
        <v>294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296</v>
      </c>
      <c r="C4" s="12" t="s">
        <v>5</v>
      </c>
      <c r="D4" s="12" t="s">
        <v>6</v>
      </c>
      <c r="E4" s="12" t="s">
        <v>8</v>
      </c>
    </row>
    <row r="5" spans="1:7" x14ac:dyDescent="0.6">
      <c r="A5" s="13" t="s">
        <v>297</v>
      </c>
      <c r="B5" s="11" t="s">
        <v>298</v>
      </c>
      <c r="C5" s="14">
        <v>1.9889199999999999E+30</v>
      </c>
      <c r="D5" s="11" t="s">
        <v>158</v>
      </c>
      <c r="E5" s="11" t="s">
        <v>299</v>
      </c>
    </row>
    <row r="6" spans="1:7" x14ac:dyDescent="0.6">
      <c r="A6" s="13" t="s">
        <v>300</v>
      </c>
      <c r="B6" s="11" t="s">
        <v>301</v>
      </c>
      <c r="C6" s="14">
        <v>149597870700</v>
      </c>
      <c r="D6" s="11" t="s">
        <v>153</v>
      </c>
      <c r="E6" s="11" t="s">
        <v>302</v>
      </c>
    </row>
    <row r="7" spans="1:7" x14ac:dyDescent="0.6">
      <c r="A7" s="11" t="s">
        <v>272</v>
      </c>
      <c r="B7" s="11" t="s">
        <v>303</v>
      </c>
      <c r="C7" s="15">
        <f>2*G_newton*C5/c_light^2</f>
        <v>2954.007736491099</v>
      </c>
      <c r="D7" s="11" t="s">
        <v>153</v>
      </c>
      <c r="E7" s="11" t="s">
        <v>304</v>
      </c>
    </row>
    <row r="8" spans="1:7" x14ac:dyDescent="0.6">
      <c r="A8" s="11" t="s">
        <v>276</v>
      </c>
      <c r="B8" s="11" t="s">
        <v>305</v>
      </c>
      <c r="C8" s="15">
        <f>C7/C6</f>
        <v>1.9746322074429758E-8</v>
      </c>
      <c r="E8" s="11" t="s">
        <v>306</v>
      </c>
    </row>
    <row r="9" spans="1:7" x14ac:dyDescent="0.6">
      <c r="A9" s="11" t="s">
        <v>307</v>
      </c>
      <c r="B9" s="11"/>
      <c r="C9" s="16">
        <f>C7/C7</f>
        <v>1</v>
      </c>
      <c r="E9" s="11" t="s">
        <v>308</v>
      </c>
    </row>
    <row r="10" spans="1:7" x14ac:dyDescent="0.6">
      <c r="A10" s="11" t="s">
        <v>309</v>
      </c>
      <c r="B10" s="11"/>
      <c r="C10" s="16">
        <f>C7/(1.5*C7)</f>
        <v>0.66666666666666674</v>
      </c>
      <c r="E10" s="11" t="s">
        <v>310</v>
      </c>
    </row>
    <row r="11" spans="1:7" x14ac:dyDescent="0.6">
      <c r="A11" s="11" t="s">
        <v>311</v>
      </c>
      <c r="B11" s="11"/>
      <c r="C11" s="16">
        <f>C7/(3*C7)</f>
        <v>0.33333333333333337</v>
      </c>
      <c r="E11" s="11" t="s">
        <v>312</v>
      </c>
    </row>
    <row r="13" spans="1:7" x14ac:dyDescent="0.6">
      <c r="A13" s="13" t="s">
        <v>313</v>
      </c>
    </row>
    <row r="14" spans="1:7" x14ac:dyDescent="0.6">
      <c r="A14" s="11" t="s">
        <v>314</v>
      </c>
      <c r="C14" s="17">
        <v>1.9889199999999999E+30</v>
      </c>
    </row>
    <row r="15" spans="1:7" x14ac:dyDescent="0.6">
      <c r="A15" s="11" t="s">
        <v>315</v>
      </c>
      <c r="C15" s="17">
        <v>5.9722000000000002E+24</v>
      </c>
    </row>
    <row r="16" spans="1:7" x14ac:dyDescent="0.6">
      <c r="A16" s="11" t="s">
        <v>316</v>
      </c>
      <c r="C16" s="17">
        <v>1.89813E+27</v>
      </c>
    </row>
    <row r="17" spans="1:3" x14ac:dyDescent="0.6">
      <c r="A17" s="11" t="s">
        <v>317</v>
      </c>
      <c r="C17" s="17">
        <v>1.9889199999999999E+30</v>
      </c>
    </row>
    <row r="18" spans="1:3" x14ac:dyDescent="0.6">
      <c r="A18" s="11" t="s">
        <v>318</v>
      </c>
      <c r="C18" s="17">
        <v>8.5400000000000001E+36</v>
      </c>
    </row>
    <row r="19" spans="1:3" x14ac:dyDescent="0.6">
      <c r="A19" s="11" t="s">
        <v>319</v>
      </c>
      <c r="C19" s="17">
        <v>1.3E+40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4" topLeftCell="A5" activePane="bottomLeft" state="frozen"/>
      <selection pane="bottomLeft" activeCell="C8" sqref="C8"/>
    </sheetView>
  </sheetViews>
  <sheetFormatPr defaultRowHeight="14.2" x14ac:dyDescent="0.6"/>
  <cols>
    <col min="1" max="1" width="22" customWidth="1"/>
    <col min="2" max="2" width="36" customWidth="1"/>
    <col min="3" max="3" width="22" customWidth="1"/>
    <col min="4" max="4" width="10" customWidth="1"/>
    <col min="5" max="5" width="50" customWidth="1"/>
  </cols>
  <sheetData>
    <row r="1" spans="1:7" ht="22.05" customHeight="1" x14ac:dyDescent="0.85">
      <c r="A1" s="42" t="s">
        <v>320</v>
      </c>
      <c r="B1" s="40"/>
      <c r="C1" s="40"/>
      <c r="D1" s="40"/>
      <c r="E1" s="40"/>
      <c r="F1" s="40"/>
      <c r="G1" s="40"/>
    </row>
    <row r="2" spans="1:7" x14ac:dyDescent="0.6">
      <c r="A2" s="41" t="s">
        <v>321</v>
      </c>
      <c r="B2" s="40"/>
      <c r="C2" s="40"/>
      <c r="D2" s="40"/>
      <c r="E2" s="40"/>
      <c r="F2" s="40"/>
      <c r="G2" s="40"/>
    </row>
    <row r="3" spans="1:7" x14ac:dyDescent="0.6">
      <c r="A3" s="41" t="s">
        <v>322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296</v>
      </c>
      <c r="C4" s="12" t="s">
        <v>5</v>
      </c>
      <c r="D4" s="12" t="s">
        <v>6</v>
      </c>
      <c r="E4" s="12" t="s">
        <v>8</v>
      </c>
    </row>
    <row r="5" spans="1:7" x14ac:dyDescent="0.6">
      <c r="A5" s="13" t="s">
        <v>323</v>
      </c>
      <c r="B5" s="11" t="s">
        <v>324</v>
      </c>
      <c r="C5" s="14">
        <v>5.9722000000000002E+24</v>
      </c>
      <c r="D5" s="11" t="s">
        <v>158</v>
      </c>
    </row>
    <row r="6" spans="1:7" x14ac:dyDescent="0.6">
      <c r="A6" s="13" t="s">
        <v>325</v>
      </c>
      <c r="B6" s="11" t="s">
        <v>326</v>
      </c>
      <c r="C6" s="14">
        <v>6371000</v>
      </c>
      <c r="D6" s="11" t="s">
        <v>153</v>
      </c>
    </row>
    <row r="7" spans="1:7" x14ac:dyDescent="0.6">
      <c r="A7" s="13" t="s">
        <v>327</v>
      </c>
      <c r="B7" s="11" t="s">
        <v>328</v>
      </c>
      <c r="C7" s="14">
        <v>26571000</v>
      </c>
      <c r="D7" s="11" t="s">
        <v>153</v>
      </c>
    </row>
    <row r="8" spans="1:7" x14ac:dyDescent="0.6">
      <c r="A8" s="13" t="s">
        <v>329</v>
      </c>
      <c r="B8" s="11" t="s">
        <v>330</v>
      </c>
      <c r="C8" s="2">
        <v>3874</v>
      </c>
      <c r="D8" s="11" t="s">
        <v>131</v>
      </c>
    </row>
    <row r="9" spans="1:7" x14ac:dyDescent="0.6">
      <c r="A9" s="11" t="s">
        <v>331</v>
      </c>
      <c r="B9" s="11" t="s">
        <v>332</v>
      </c>
      <c r="C9" s="15">
        <f>2*G_newton*C5/c_light^2</f>
        <v>8.8701028718461E-3</v>
      </c>
      <c r="D9" s="11" t="s">
        <v>153</v>
      </c>
      <c r="E9" s="11" t="s">
        <v>333</v>
      </c>
    </row>
    <row r="10" spans="1:7" x14ac:dyDescent="0.6">
      <c r="A10" s="11" t="s">
        <v>334</v>
      </c>
      <c r="B10" s="11" t="s">
        <v>335</v>
      </c>
      <c r="C10" s="15">
        <f>C9/C6</f>
        <v>1.3922622621010988E-9</v>
      </c>
    </row>
    <row r="11" spans="1:7" x14ac:dyDescent="0.6">
      <c r="A11" s="11" t="s">
        <v>336</v>
      </c>
      <c r="B11" s="11" t="s">
        <v>337</v>
      </c>
      <c r="C11" s="15">
        <f>C9/C7</f>
        <v>3.338264601199089E-10</v>
      </c>
    </row>
    <row r="12" spans="1:7" x14ac:dyDescent="0.6">
      <c r="A12" s="11" t="s">
        <v>338</v>
      </c>
      <c r="B12" s="11" t="s">
        <v>339</v>
      </c>
      <c r="C12" s="15">
        <f>0.5*(C10 - C11)</f>
        <v>5.2921790099059491E-10</v>
      </c>
      <c r="E12" s="11" t="s">
        <v>340</v>
      </c>
    </row>
    <row r="13" spans="1:7" x14ac:dyDescent="0.6">
      <c r="A13" s="11" t="s">
        <v>341</v>
      </c>
      <c r="B13" s="11" t="s">
        <v>342</v>
      </c>
      <c r="C13" s="15">
        <f>-0.5*C8^2/c_light^2</f>
        <v>-8.3492570363228783E-11</v>
      </c>
      <c r="E13" s="11" t="s">
        <v>343</v>
      </c>
    </row>
    <row r="14" spans="1:7" x14ac:dyDescent="0.6">
      <c r="A14" s="11" t="s">
        <v>344</v>
      </c>
      <c r="B14" s="13" t="s">
        <v>345</v>
      </c>
      <c r="C14" s="15">
        <f>C12 + C13</f>
        <v>4.4572533062736614E-10</v>
      </c>
      <c r="E14" s="11" t="s">
        <v>346</v>
      </c>
    </row>
    <row r="15" spans="1:7" x14ac:dyDescent="0.6">
      <c r="A15" s="11" t="s">
        <v>347</v>
      </c>
      <c r="B15" s="11" t="s">
        <v>348</v>
      </c>
      <c r="C15" s="18">
        <f>C14 * 86400 * 1000000</f>
        <v>38.510668566204437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pane ySplit="4" topLeftCell="A5" activePane="bottomLeft" state="frozen"/>
      <selection pane="bottomLeft" activeCell="F19" sqref="F19"/>
    </sheetView>
  </sheetViews>
  <sheetFormatPr defaultRowHeight="14.2" x14ac:dyDescent="0.6"/>
  <cols>
    <col min="1" max="1" width="12" customWidth="1"/>
    <col min="2" max="3" width="16" customWidth="1"/>
    <col min="4" max="4" width="22" customWidth="1"/>
    <col min="5" max="5" width="18" customWidth="1"/>
    <col min="6" max="7" width="14" customWidth="1"/>
  </cols>
  <sheetData>
    <row r="1" spans="1:7" ht="22.05" customHeight="1" x14ac:dyDescent="0.85">
      <c r="A1" s="42" t="s">
        <v>349</v>
      </c>
      <c r="B1" s="40"/>
      <c r="C1" s="40"/>
      <c r="D1" s="40"/>
      <c r="E1" s="40"/>
      <c r="F1" s="40"/>
      <c r="G1" s="40"/>
    </row>
    <row r="2" spans="1:7" x14ac:dyDescent="0.6">
      <c r="A2" s="41" t="s">
        <v>350</v>
      </c>
      <c r="B2" s="40"/>
      <c r="C2" s="40"/>
      <c r="D2" s="40"/>
      <c r="E2" s="40"/>
      <c r="F2" s="40"/>
      <c r="G2" s="40"/>
    </row>
    <row r="3" spans="1:7" x14ac:dyDescent="0.6">
      <c r="A3" s="41" t="s">
        <v>351</v>
      </c>
      <c r="B3" s="40"/>
      <c r="C3" s="40"/>
      <c r="D3" s="40"/>
      <c r="E3" s="40"/>
      <c r="F3" s="40"/>
      <c r="G3" s="40"/>
    </row>
    <row r="4" spans="1:7" ht="28.4" x14ac:dyDescent="0.6">
      <c r="A4" s="12" t="s">
        <v>352</v>
      </c>
      <c r="B4" s="12" t="s">
        <v>353</v>
      </c>
      <c r="C4" s="12" t="s">
        <v>354</v>
      </c>
      <c r="D4" s="12" t="s">
        <v>355</v>
      </c>
      <c r="E4" s="12" t="s">
        <v>356</v>
      </c>
      <c r="F4" s="12" t="s">
        <v>357</v>
      </c>
      <c r="G4" s="12" t="s">
        <v>358</v>
      </c>
    </row>
    <row r="5" spans="1:7" x14ac:dyDescent="0.6">
      <c r="A5" s="19">
        <v>0</v>
      </c>
      <c r="B5" s="18">
        <f t="shared" ref="B5:B19" si="0">H_0_SAM*SQRT(Omega_m*(1+A5)^3 + Omega_L)</f>
        <v>67.250375195020368</v>
      </c>
      <c r="C5" s="15">
        <f t="shared" ref="C5:C19" si="1">B5*1000/Mpc_m</f>
        <v>2.1794362313877535E-18</v>
      </c>
      <c r="D5" s="20">
        <f t="shared" ref="D5:D19" si="2">1/B5</f>
        <v>1.4869805515583891E-2</v>
      </c>
      <c r="E5" s="21">
        <v>0</v>
      </c>
      <c r="F5" s="22">
        <f t="shared" ref="F5:F19" si="3">E5/(1+A5)</f>
        <v>0</v>
      </c>
      <c r="G5" s="22">
        <f t="shared" ref="G5:G19" si="4">E5*(1+A5)</f>
        <v>0</v>
      </c>
    </row>
    <row r="6" spans="1:7" x14ac:dyDescent="0.6">
      <c r="A6" s="19">
        <v>1E-3</v>
      </c>
      <c r="B6" s="18">
        <f t="shared" si="0"/>
        <v>67.282509327024997</v>
      </c>
      <c r="C6" s="15">
        <f t="shared" si="1"/>
        <v>2.1804776276825989E-18</v>
      </c>
      <c r="D6" s="20">
        <f t="shared" si="2"/>
        <v>1.4862703695243059E-2</v>
      </c>
      <c r="E6" s="22">
        <f t="shared" ref="E6:E19" si="5">E5 + 0.5*(A6-A5)*(D6+D5)*(c_light/1000)</f>
        <v>4.4567910094107255</v>
      </c>
      <c r="F6" s="22">
        <f t="shared" si="3"/>
        <v>4.4523386707399863</v>
      </c>
      <c r="G6" s="22">
        <f t="shared" si="4"/>
        <v>4.4612478004201357</v>
      </c>
    </row>
    <row r="7" spans="1:7" x14ac:dyDescent="0.6">
      <c r="A7" s="19">
        <v>0.01</v>
      </c>
      <c r="B7" s="18">
        <f t="shared" si="0"/>
        <v>67.573915483137839</v>
      </c>
      <c r="C7" s="15">
        <f t="shared" si="1"/>
        <v>2.1899214580380438E-18</v>
      </c>
      <c r="D7" s="20">
        <f t="shared" si="2"/>
        <v>1.4798609683192571E-2</v>
      </c>
      <c r="E7" s="22">
        <f t="shared" si="5"/>
        <v>44.471862212943492</v>
      </c>
      <c r="F7" s="22">
        <f t="shared" si="3"/>
        <v>44.031546745488605</v>
      </c>
      <c r="G7" s="22">
        <f t="shared" si="4"/>
        <v>44.916580835072928</v>
      </c>
    </row>
    <row r="8" spans="1:7" x14ac:dyDescent="0.6">
      <c r="A8" s="19">
        <v>0.05</v>
      </c>
      <c r="B8" s="18">
        <f t="shared" si="0"/>
        <v>68.916824641912186</v>
      </c>
      <c r="C8" s="15">
        <f t="shared" si="1"/>
        <v>2.2334421799315322E-18</v>
      </c>
      <c r="D8" s="20">
        <f t="shared" si="2"/>
        <v>1.4510244852341092E-2</v>
      </c>
      <c r="E8" s="22">
        <f t="shared" si="5"/>
        <v>220.20333306038521</v>
      </c>
      <c r="F8" s="22">
        <f t="shared" si="3"/>
        <v>209.7174600575097</v>
      </c>
      <c r="G8" s="22">
        <f t="shared" si="4"/>
        <v>231.21349971340447</v>
      </c>
    </row>
    <row r="9" spans="1:7" x14ac:dyDescent="0.6">
      <c r="A9" s="19">
        <v>0.1</v>
      </c>
      <c r="B9" s="18">
        <f t="shared" si="0"/>
        <v>70.704441544765942</v>
      </c>
      <c r="C9" s="15">
        <f t="shared" si="1"/>
        <v>2.2913748982936617E-18</v>
      </c>
      <c r="D9" s="20">
        <f t="shared" si="2"/>
        <v>1.4143383048529676E-2</v>
      </c>
      <c r="E9" s="22">
        <f t="shared" si="5"/>
        <v>434.9568715358709</v>
      </c>
      <c r="F9" s="22">
        <f t="shared" si="3"/>
        <v>395.41533775988262</v>
      </c>
      <c r="G9" s="22">
        <f t="shared" si="4"/>
        <v>478.45255868945804</v>
      </c>
    </row>
    <row r="10" spans="1:7" x14ac:dyDescent="0.6">
      <c r="A10" s="19">
        <v>0.2</v>
      </c>
      <c r="B10" s="18">
        <f t="shared" si="0"/>
        <v>74.636695023407356</v>
      </c>
      <c r="C10" s="15">
        <f t="shared" si="1"/>
        <v>2.4188105546375718E-18</v>
      </c>
      <c r="D10" s="20">
        <f t="shared" si="2"/>
        <v>1.339823527403488E-2</v>
      </c>
      <c r="E10" s="22">
        <f t="shared" si="5"/>
        <v>847.79534424684414</v>
      </c>
      <c r="F10" s="22">
        <f t="shared" si="3"/>
        <v>706.49612020570351</v>
      </c>
      <c r="G10" s="22">
        <f t="shared" si="4"/>
        <v>1017.354413096213</v>
      </c>
    </row>
    <row r="11" spans="1:7" x14ac:dyDescent="0.6">
      <c r="A11" s="19">
        <v>0.3</v>
      </c>
      <c r="B11" s="18">
        <f t="shared" si="0"/>
        <v>79.030406097636899</v>
      </c>
      <c r="C11" s="15">
        <f t="shared" si="1"/>
        <v>2.5612010331688275E-18</v>
      </c>
      <c r="D11" s="20">
        <f t="shared" si="2"/>
        <v>1.2653357731258086E-2</v>
      </c>
      <c r="E11" s="22">
        <f t="shared" si="5"/>
        <v>1238.2988993404633</v>
      </c>
      <c r="F11" s="22">
        <f t="shared" si="3"/>
        <v>952.53761487727945</v>
      </c>
      <c r="G11" s="22">
        <f t="shared" si="4"/>
        <v>1609.7885691426025</v>
      </c>
    </row>
    <row r="12" spans="1:7" x14ac:dyDescent="0.6">
      <c r="A12" s="19">
        <v>0.5</v>
      </c>
      <c r="B12" s="18">
        <f t="shared" si="0"/>
        <v>89.115907424577784</v>
      </c>
      <c r="C12" s="15">
        <f t="shared" si="1"/>
        <v>2.8880498714080506E-18</v>
      </c>
      <c r="D12" s="20">
        <f t="shared" si="2"/>
        <v>1.1221341160065484E-2</v>
      </c>
      <c r="E12" s="22">
        <f t="shared" si="5"/>
        <v>1954.0443658044401</v>
      </c>
      <c r="F12" s="22">
        <f t="shared" si="3"/>
        <v>1302.6962438696266</v>
      </c>
      <c r="G12" s="22">
        <f t="shared" si="4"/>
        <v>2931.0665487066599</v>
      </c>
    </row>
    <row r="13" spans="1:7" x14ac:dyDescent="0.6">
      <c r="A13" s="19">
        <v>0.7</v>
      </c>
      <c r="B13" s="18">
        <f t="shared" si="0"/>
        <v>100.77568205999079</v>
      </c>
      <c r="C13" s="15">
        <f t="shared" si="1"/>
        <v>3.2659174329873446E-18</v>
      </c>
      <c r="D13" s="20">
        <f t="shared" si="2"/>
        <v>9.923028845438225E-3</v>
      </c>
      <c r="E13" s="22">
        <f t="shared" si="5"/>
        <v>2587.9366314855829</v>
      </c>
      <c r="F13" s="22">
        <f t="shared" si="3"/>
        <v>1522.3156655797548</v>
      </c>
      <c r="G13" s="22">
        <f t="shared" si="4"/>
        <v>4399.4922735254904</v>
      </c>
    </row>
    <row r="14" spans="1:7" x14ac:dyDescent="0.6">
      <c r="A14" s="19">
        <v>1</v>
      </c>
      <c r="B14" s="18">
        <f t="shared" si="0"/>
        <v>120.82946614279497</v>
      </c>
      <c r="C14" s="15">
        <f t="shared" si="1"/>
        <v>3.9158163142909356E-18</v>
      </c>
      <c r="D14" s="20">
        <f t="shared" si="2"/>
        <v>8.2761269409086912E-3</v>
      </c>
      <c r="E14" s="22">
        <f t="shared" si="5"/>
        <v>3406.3320784926627</v>
      </c>
      <c r="F14" s="22">
        <f t="shared" si="3"/>
        <v>1703.1660392463314</v>
      </c>
      <c r="G14" s="22">
        <f t="shared" si="4"/>
        <v>6812.6641569853255</v>
      </c>
    </row>
    <row r="15" spans="1:7" x14ac:dyDescent="0.6">
      <c r="A15" s="19">
        <v>1.3</v>
      </c>
      <c r="B15" s="18">
        <f t="shared" si="0"/>
        <v>143.52191990513185</v>
      </c>
      <c r="C15" s="15">
        <f t="shared" si="1"/>
        <v>4.6512286560854303E-18</v>
      </c>
      <c r="D15" s="20">
        <f t="shared" si="2"/>
        <v>6.96757680402409E-3</v>
      </c>
      <c r="E15" s="22">
        <f t="shared" si="5"/>
        <v>4091.8241907002434</v>
      </c>
      <c r="F15" s="22">
        <f t="shared" si="3"/>
        <v>1779.0539959566277</v>
      </c>
      <c r="G15" s="22">
        <f t="shared" si="4"/>
        <v>9411.1956386105594</v>
      </c>
    </row>
    <row r="16" spans="1:7" x14ac:dyDescent="0.6">
      <c r="A16" s="19">
        <v>1.6</v>
      </c>
      <c r="B16" s="18">
        <f t="shared" si="0"/>
        <v>168.4793663361896</v>
      </c>
      <c r="C16" s="15">
        <f t="shared" si="1"/>
        <v>5.4600444111950583E-18</v>
      </c>
      <c r="D16" s="20">
        <f t="shared" si="2"/>
        <v>5.9354449256686136E-3</v>
      </c>
      <c r="E16" s="22">
        <f t="shared" si="5"/>
        <v>4672.0584806960414</v>
      </c>
      <c r="F16" s="22">
        <f t="shared" si="3"/>
        <v>1796.9455694984774</v>
      </c>
      <c r="G16" s="22">
        <f t="shared" si="4"/>
        <v>12147.352049809708</v>
      </c>
    </row>
    <row r="17" spans="1:7" x14ac:dyDescent="0.6">
      <c r="A17" s="19">
        <v>2</v>
      </c>
      <c r="B17" s="18">
        <f t="shared" si="0"/>
        <v>204.82191246600561</v>
      </c>
      <c r="C17" s="15">
        <f t="shared" si="1"/>
        <v>6.6378261194236062E-18</v>
      </c>
      <c r="D17" s="20">
        <f t="shared" si="2"/>
        <v>4.8822901219905878E-3</v>
      </c>
      <c r="E17" s="22">
        <f t="shared" si="5"/>
        <v>5320.6735566821408</v>
      </c>
      <c r="F17" s="22">
        <f t="shared" si="3"/>
        <v>1773.5578522273802</v>
      </c>
      <c r="G17" s="22">
        <f t="shared" si="4"/>
        <v>15962.020670046422</v>
      </c>
    </row>
    <row r="18" spans="1:7" x14ac:dyDescent="0.6">
      <c r="A18" s="19">
        <v>2.5</v>
      </c>
      <c r="B18" s="18">
        <f t="shared" si="0"/>
        <v>254.56933330340294</v>
      </c>
      <c r="C18" s="15">
        <f t="shared" si="1"/>
        <v>8.2500302309501981E-18</v>
      </c>
      <c r="D18" s="20">
        <f t="shared" si="2"/>
        <v>3.9282029261873885E-3</v>
      </c>
      <c r="E18" s="22">
        <f t="shared" si="5"/>
        <v>5981.0033984584379</v>
      </c>
      <c r="F18" s="22">
        <f t="shared" si="3"/>
        <v>1708.858113845268</v>
      </c>
      <c r="G18" s="22">
        <f t="shared" si="4"/>
        <v>20933.511894604533</v>
      </c>
    </row>
    <row r="19" spans="1:7" x14ac:dyDescent="0.6">
      <c r="A19" s="19">
        <v>3</v>
      </c>
      <c r="B19" s="18">
        <f t="shared" si="0"/>
        <v>308.57241497614046</v>
      </c>
      <c r="C19" s="15">
        <f t="shared" si="1"/>
        <v>1.0000150917457106E-17</v>
      </c>
      <c r="D19" s="20">
        <f t="shared" si="2"/>
        <v>3.2407303811564695E-3</v>
      </c>
      <c r="E19" s="22">
        <f t="shared" si="5"/>
        <v>6518.3014328201089</v>
      </c>
      <c r="F19" s="22">
        <f t="shared" si="3"/>
        <v>1629.5753582050272</v>
      </c>
      <c r="G19" s="22">
        <f t="shared" si="4"/>
        <v>26073.205731280435</v>
      </c>
    </row>
    <row r="21" spans="1:7" x14ac:dyDescent="0.6">
      <c r="A21" s="13" t="s">
        <v>359</v>
      </c>
    </row>
    <row r="22" spans="1:7" x14ac:dyDescent="0.6">
      <c r="A22" s="11" t="s">
        <v>360</v>
      </c>
    </row>
    <row r="23" spans="1:7" x14ac:dyDescent="0.6">
      <c r="A23" s="11" t="s">
        <v>361</v>
      </c>
    </row>
    <row r="24" spans="1:7" x14ac:dyDescent="0.6">
      <c r="A24" s="11" t="s">
        <v>362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"/>
  <sheetViews>
    <sheetView workbookViewId="0">
      <pane ySplit="4" topLeftCell="A5" activePane="bottomLeft" state="frozen"/>
      <selection pane="bottomLeft" sqref="A1:G1"/>
    </sheetView>
  </sheetViews>
  <sheetFormatPr defaultRowHeight="14.2" outlineLevelCol="1" x14ac:dyDescent="0.6"/>
  <cols>
    <col min="1" max="1" width="12" customWidth="1"/>
    <col min="2" max="2" width="14" customWidth="1"/>
    <col min="3" max="3" width="28" customWidth="1"/>
    <col min="4" max="4" width="14" customWidth="1"/>
    <col min="5" max="5" width="12" customWidth="1"/>
    <col min="6" max="6" width="18" customWidth="1"/>
    <col min="7" max="8" width="14" customWidth="1"/>
    <col min="14" max="34" width="8.796875" outlineLevel="1"/>
  </cols>
  <sheetData>
    <row r="1" spans="1:34" ht="22.05" customHeight="1" x14ac:dyDescent="0.75">
      <c r="A1" s="49" t="s">
        <v>657</v>
      </c>
      <c r="B1" s="40"/>
      <c r="C1" s="40"/>
      <c r="D1" s="40"/>
      <c r="E1" s="40"/>
      <c r="F1" s="40"/>
      <c r="G1" s="40"/>
    </row>
    <row r="2" spans="1:34" x14ac:dyDescent="0.6">
      <c r="A2" s="41" t="s">
        <v>658</v>
      </c>
      <c r="B2" s="40"/>
      <c r="C2" s="40"/>
      <c r="D2" s="40"/>
      <c r="E2" s="40"/>
      <c r="F2" s="40"/>
      <c r="G2" s="40"/>
    </row>
    <row r="3" spans="1:34" x14ac:dyDescent="0.6">
      <c r="A3" s="41" t="s">
        <v>659</v>
      </c>
      <c r="B3" s="40"/>
      <c r="C3" s="40"/>
      <c r="D3" s="40"/>
      <c r="E3" s="40"/>
      <c r="F3" s="40"/>
      <c r="G3" s="40"/>
    </row>
    <row r="4" spans="1:34" ht="198.55" x14ac:dyDescent="0.6">
      <c r="A4" s="51" t="s">
        <v>363</v>
      </c>
      <c r="B4" s="51" t="s">
        <v>364</v>
      </c>
      <c r="C4" s="51" t="s">
        <v>365</v>
      </c>
      <c r="D4" s="51" t="s">
        <v>366</v>
      </c>
      <c r="E4" s="51" t="s">
        <v>660</v>
      </c>
      <c r="F4" s="51" t="s">
        <v>661</v>
      </c>
      <c r="G4" s="51" t="s">
        <v>367</v>
      </c>
      <c r="H4" s="51" t="s">
        <v>662</v>
      </c>
      <c r="I4" s="53"/>
      <c r="J4" s="52" t="s">
        <v>663</v>
      </c>
      <c r="K4" s="52" t="s">
        <v>664</v>
      </c>
      <c r="L4" s="52" t="s">
        <v>665</v>
      </c>
      <c r="N4" s="50" t="s">
        <v>666</v>
      </c>
    </row>
    <row r="5" spans="1:34" x14ac:dyDescent="0.6">
      <c r="A5" s="70">
        <v>0.29499999999999998</v>
      </c>
      <c r="B5" s="55" t="s">
        <v>667</v>
      </c>
      <c r="C5" s="55" t="s">
        <v>668</v>
      </c>
      <c r="D5" s="61">
        <v>7.9416799999999999</v>
      </c>
      <c r="E5" s="61">
        <v>7.6092000000000007E-2</v>
      </c>
      <c r="F5" s="62">
        <f>IF(C5="DM_rd",J5,IF(C5="DV_rd",L5,K5))/$C$13</f>
        <v>8.0266279893705939</v>
      </c>
      <c r="G5" s="62">
        <f>F5-D5</f>
        <v>8.4947989370594001E-2</v>
      </c>
      <c r="H5" s="63">
        <f>G5/E5</f>
        <v>1.1163852884743994</v>
      </c>
      <c r="I5" s="59"/>
      <c r="J5" s="69" cm="1">
        <f t="array" ref="J5">(c_light/1000/H_0_SAM)*(A5/60)*SUMPRODUCT($N$6:$AH$6,1/SQRT(Omega_m*(1+$N$5:$AH$5*A5)^3+Omega_L))</f>
        <v>1219.3170771782939</v>
      </c>
      <c r="K5" s="69">
        <f>c_light/1000/(H_0_SAM*SQRT(Omega_m*(1+A5)^3+Omega_L))</f>
        <v>3804.469263505046</v>
      </c>
      <c r="L5" s="69">
        <f>(A5*J5^2*K5)^(1/3)</f>
        <v>1186.0867913613033</v>
      </c>
      <c r="N5">
        <v>0</v>
      </c>
      <c r="O5">
        <v>0.05</v>
      </c>
      <c r="P5">
        <v>0.1</v>
      </c>
      <c r="Q5">
        <v>0.15</v>
      </c>
      <c r="R5">
        <v>0.2</v>
      </c>
      <c r="S5">
        <v>0.25</v>
      </c>
      <c r="T5">
        <v>0.3</v>
      </c>
      <c r="U5">
        <v>0.35</v>
      </c>
      <c r="V5">
        <v>0.4</v>
      </c>
      <c r="W5">
        <v>0.45</v>
      </c>
      <c r="X5">
        <v>0.5</v>
      </c>
      <c r="Y5">
        <v>0.55000000000000004</v>
      </c>
      <c r="Z5">
        <v>0.6</v>
      </c>
      <c r="AA5">
        <v>0.65</v>
      </c>
      <c r="AB5">
        <v>0.7</v>
      </c>
      <c r="AC5">
        <v>0.75</v>
      </c>
      <c r="AD5">
        <v>0.8</v>
      </c>
      <c r="AE5">
        <v>0.85</v>
      </c>
      <c r="AF5">
        <v>0.9</v>
      </c>
      <c r="AG5">
        <v>0.95</v>
      </c>
      <c r="AH5">
        <v>1</v>
      </c>
    </row>
    <row r="6" spans="1:34" x14ac:dyDescent="0.6">
      <c r="A6" s="71">
        <v>0.51</v>
      </c>
      <c r="B6" s="55" t="s">
        <v>669</v>
      </c>
      <c r="C6" s="55" t="s">
        <v>670</v>
      </c>
      <c r="D6" s="61">
        <v>13.5876</v>
      </c>
      <c r="E6" s="61">
        <v>0.16836699999999999</v>
      </c>
      <c r="F6" s="62">
        <f t="shared" ref="F6:F11" si="0">IF(C6="DM_rd",J6,IF(C6="DV_rd",L6,K6))/$C$13</f>
        <v>13.447085609346528</v>
      </c>
      <c r="G6" s="62">
        <f t="shared" ref="G6:G11" si="1">F6-D6</f>
        <v>-0.14051439065347182</v>
      </c>
      <c r="H6" s="63">
        <f t="shared" ref="H6:H11" si="2">G6/E6</f>
        <v>-0.83457203996906659</v>
      </c>
      <c r="I6" s="59"/>
      <c r="J6" s="69" cm="1">
        <f t="array" ref="J6">(c_light/1000/H_0_SAM)*(A6/60)*SUMPRODUCT($N$6:$AH$6,1/SQRT(Omega_m*(1+$N$5:$AH$5*A6)^3+Omega_L))</f>
        <v>1987.0623934075272</v>
      </c>
      <c r="K6" s="69">
        <f>c_light/1000/(H_0_SAM*SQRT(Omega_m*(1+A6)^3+Omega_L))</f>
        <v>3343.5443066005196</v>
      </c>
      <c r="L6" s="69">
        <f t="shared" ref="L6:L11" si="3">(A6*J6^2*K6)^(1/3)</f>
        <v>1888.2815754926171</v>
      </c>
      <c r="N6">
        <v>1</v>
      </c>
      <c r="O6">
        <v>4</v>
      </c>
      <c r="P6">
        <v>2</v>
      </c>
      <c r="Q6">
        <v>4</v>
      </c>
      <c r="R6">
        <v>2</v>
      </c>
      <c r="S6">
        <v>4</v>
      </c>
      <c r="T6">
        <v>2</v>
      </c>
      <c r="U6">
        <v>4</v>
      </c>
      <c r="V6">
        <v>2</v>
      </c>
      <c r="W6">
        <v>4</v>
      </c>
      <c r="X6">
        <v>2</v>
      </c>
      <c r="Y6">
        <v>4</v>
      </c>
      <c r="Z6">
        <v>2</v>
      </c>
      <c r="AA6">
        <v>4</v>
      </c>
      <c r="AB6">
        <v>2</v>
      </c>
      <c r="AC6">
        <v>4</v>
      </c>
      <c r="AD6">
        <v>2</v>
      </c>
      <c r="AE6">
        <v>4</v>
      </c>
      <c r="AF6">
        <v>2</v>
      </c>
      <c r="AG6">
        <v>4</v>
      </c>
      <c r="AH6">
        <v>1</v>
      </c>
    </row>
    <row r="7" spans="1:34" x14ac:dyDescent="0.6">
      <c r="A7" s="71">
        <v>0.70599999999999996</v>
      </c>
      <c r="B7" s="55" t="s">
        <v>671</v>
      </c>
      <c r="C7" s="55" t="s">
        <v>670</v>
      </c>
      <c r="D7" s="61">
        <v>17.3507</v>
      </c>
      <c r="E7" s="61">
        <v>0.17993100000000001</v>
      </c>
      <c r="F7" s="62">
        <f t="shared" si="0"/>
        <v>17.625230493994302</v>
      </c>
      <c r="G7" s="62">
        <f t="shared" si="1"/>
        <v>0.27453049399430185</v>
      </c>
      <c r="H7" s="63">
        <f t="shared" si="2"/>
        <v>1.5257542835548172</v>
      </c>
      <c r="I7" s="59"/>
      <c r="J7" s="69" cm="1">
        <f t="array" ref="J7">(c_light/1000/H_0_SAM)*(A7/60)*SUMPRODUCT($N$6:$AH$6,1/SQRT(Omega_m*(1+$N$5:$AH$5*A7)^3+Omega_L))</f>
        <v>2604.4626848670441</v>
      </c>
      <c r="K7" s="69">
        <f>c_light/1000/(H_0_SAM*SQRT(Omega_m*(1+A7)^3+Omega_L))</f>
        <v>2963.9030159204312</v>
      </c>
      <c r="L7" s="69">
        <f t="shared" si="3"/>
        <v>2421.2241083921085</v>
      </c>
    </row>
    <row r="8" spans="1:34" x14ac:dyDescent="0.6">
      <c r="A8" s="71">
        <v>0.93400000000000005</v>
      </c>
      <c r="B8" s="55" t="s">
        <v>672</v>
      </c>
      <c r="C8" s="55" t="s">
        <v>670</v>
      </c>
      <c r="D8" s="61">
        <v>21.575600000000001</v>
      </c>
      <c r="E8" s="61">
        <v>0.16178200000000001</v>
      </c>
      <c r="F8" s="62">
        <f t="shared" si="0"/>
        <v>21.894476386484701</v>
      </c>
      <c r="G8" s="62">
        <f t="shared" si="1"/>
        <v>0.31887638648469974</v>
      </c>
      <c r="H8" s="63">
        <f t="shared" si="2"/>
        <v>1.971025123219516</v>
      </c>
      <c r="I8" s="59"/>
      <c r="J8" s="69" cm="1">
        <f t="array" ref="J8">(c_light/1000/H_0_SAM)*(A8/60)*SUMPRODUCT($N$6:$AH$6,1/SQRT(Omega_m*(1+$N$5:$AH$5*A8)^3+Omega_L))</f>
        <v>3235.3248811544581</v>
      </c>
      <c r="K8" s="69">
        <f>c_light/1000/(H_0_SAM*SQRT(Omega_m*(1+A8)^3+Omega_L))</f>
        <v>2580.5071777868093</v>
      </c>
      <c r="L8" s="69">
        <f t="shared" si="3"/>
        <v>2932.890942446104</v>
      </c>
    </row>
    <row r="9" spans="1:34" x14ac:dyDescent="0.6">
      <c r="A9" s="72">
        <v>1.321</v>
      </c>
      <c r="B9" s="57" t="s">
        <v>673</v>
      </c>
      <c r="C9" s="57" t="s">
        <v>670</v>
      </c>
      <c r="D9" s="64">
        <v>27.600899999999999</v>
      </c>
      <c r="E9" s="64">
        <v>0.32455600000000001</v>
      </c>
      <c r="F9" s="65">
        <f t="shared" si="0"/>
        <v>27.943013305607405</v>
      </c>
      <c r="G9" s="65">
        <f t="shared" si="1"/>
        <v>0.34211330560740549</v>
      </c>
      <c r="H9" s="65">
        <f t="shared" si="2"/>
        <v>1.0540963827734058</v>
      </c>
      <c r="I9" s="59"/>
      <c r="J9" s="69" cm="1">
        <f t="array" ref="J9">(c_light/1000/H_0_SAM)*(A9/60)*SUMPRODUCT($N$6:$AH$6,1/SQRT(Omega_m*(1+$N$5:$AH$5*A9)^3+Omega_L))</f>
        <v>4129.1111331563006</v>
      </c>
      <c r="K9" s="69">
        <f>c_light/1000/(H_0_SAM*SQRT(Omega_m*(1+A9)^3+Omega_L))</f>
        <v>2064.7025906539952</v>
      </c>
      <c r="L9" s="69">
        <f t="shared" si="3"/>
        <v>3596.039785744229</v>
      </c>
    </row>
    <row r="10" spans="1:34" x14ac:dyDescent="0.6">
      <c r="A10" s="71">
        <v>1.484</v>
      </c>
      <c r="B10" s="56" t="s">
        <v>674</v>
      </c>
      <c r="C10" s="56" t="s">
        <v>670</v>
      </c>
      <c r="D10" s="66">
        <v>30.511900000000001</v>
      </c>
      <c r="E10" s="66">
        <v>0.76355799999999996</v>
      </c>
      <c r="F10" s="60">
        <f t="shared" si="0"/>
        <v>30.12237878404494</v>
      </c>
      <c r="G10" s="60">
        <f t="shared" si="1"/>
        <v>-0.38952121595506028</v>
      </c>
      <c r="H10" s="60">
        <f t="shared" si="2"/>
        <v>-0.51013965665353556</v>
      </c>
      <c r="I10" s="59"/>
      <c r="J10" s="69" cm="1">
        <f t="array" ref="J10">(c_light/1000/H_0_SAM)*(A10/60)*SUMPRODUCT($N$6:$AH$6,1/SQRT(Omega_m*(1+$N$5:$AH$5*A10)^3+Omega_L))</f>
        <v>4451.1537905395371</v>
      </c>
      <c r="K10" s="69">
        <f>c_light/1000/(H_0_SAM*SQRT(Omega_m*(1+A10)^3+Omega_L))</f>
        <v>1890.4840350735903</v>
      </c>
      <c r="L10" s="69">
        <f t="shared" si="3"/>
        <v>3816.3720351046213</v>
      </c>
    </row>
    <row r="11" spans="1:34" x14ac:dyDescent="0.6">
      <c r="A11" s="73">
        <v>2.33</v>
      </c>
      <c r="B11" s="58" t="s">
        <v>675</v>
      </c>
      <c r="C11" s="58" t="s">
        <v>670</v>
      </c>
      <c r="D11" s="67">
        <v>38.988999999999997</v>
      </c>
      <c r="E11" s="67">
        <v>0.53168199999999999</v>
      </c>
      <c r="F11" s="68">
        <f t="shared" si="0"/>
        <v>38.96748787835206</v>
      </c>
      <c r="G11" s="68">
        <f t="shared" si="1"/>
        <v>-2.1512121647937477E-2</v>
      </c>
      <c r="H11" s="68">
        <f t="shared" si="2"/>
        <v>-4.0460503925161047E-2</v>
      </c>
      <c r="I11" s="59"/>
      <c r="J11" s="69" cm="1">
        <f t="array" ref="J11">(c_light/1000/H_0_SAM)*(A11/60)*SUMPRODUCT($N$6:$AH$6,1/SQRT(Omega_m*(1+$N$5:$AH$5*A11)^3+Omega_L))</f>
        <v>5758.1867162962062</v>
      </c>
      <c r="K11" s="69">
        <f>c_light/1000/(H_0_SAM*SQRT(Omega_m*(1+A11)^3+Omega_L))</f>
        <v>1264.1319169157948</v>
      </c>
      <c r="L11" s="69">
        <f t="shared" si="3"/>
        <v>4605.1092185070947</v>
      </c>
    </row>
    <row r="13" spans="1:34" x14ac:dyDescent="0.6">
      <c r="B13" t="s">
        <v>676</v>
      </c>
      <c r="C13" s="74">
        <f>CMB!C9</f>
        <v>147.76900000000001</v>
      </c>
    </row>
    <row r="14" spans="1:34" x14ac:dyDescent="0.6">
      <c r="B14" t="s">
        <v>677</v>
      </c>
      <c r="C14" s="74">
        <f>SUMPRODUCT(H5:H11,H5:H11)</f>
        <v>9.5286914782130214</v>
      </c>
    </row>
    <row r="15" spans="1:34" x14ac:dyDescent="0.6">
      <c r="B15" t="s">
        <v>369</v>
      </c>
      <c r="C15" s="75">
        <v>7</v>
      </c>
    </row>
    <row r="16" spans="1:34" x14ac:dyDescent="0.6">
      <c r="B16" t="s">
        <v>678</v>
      </c>
      <c r="C16" s="74">
        <f>C14/C15</f>
        <v>1.3612416397447173</v>
      </c>
    </row>
    <row r="25" spans="1:5" x14ac:dyDescent="0.6">
      <c r="A25" s="13"/>
      <c r="C25" s="23"/>
      <c r="D25" s="11"/>
      <c r="E25" s="11"/>
    </row>
    <row r="26" spans="1:5" x14ac:dyDescent="0.6">
      <c r="A26" s="13"/>
      <c r="C26" s="21"/>
    </row>
    <row r="27" spans="1:5" x14ac:dyDescent="0.6">
      <c r="A27" s="11"/>
      <c r="C27" s="11"/>
    </row>
    <row r="28" spans="1:5" x14ac:dyDescent="0.6">
      <c r="A28" s="11"/>
      <c r="C28" s="23"/>
    </row>
  </sheetData>
  <mergeCells count="3">
    <mergeCell ref="A1:G1"/>
    <mergeCell ref="A3:G3"/>
    <mergeCell ref="A2:G2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pane ySplit="4" topLeftCell="A5" activePane="bottomLeft" state="frozen"/>
      <selection pane="bottomLeft" sqref="A1:G1"/>
    </sheetView>
  </sheetViews>
  <sheetFormatPr defaultRowHeight="14.2" x14ac:dyDescent="0.6"/>
  <cols>
    <col min="1" max="1" width="16" customWidth="1"/>
    <col min="2" max="2" width="34" customWidth="1"/>
    <col min="3" max="3" width="14" customWidth="1"/>
    <col min="4" max="4" width="16" customWidth="1"/>
    <col min="5" max="5" width="14" customWidth="1"/>
    <col min="6" max="6" width="36" customWidth="1"/>
  </cols>
  <sheetData>
    <row r="1" spans="1:7" ht="22.05" customHeight="1" x14ac:dyDescent="0.85">
      <c r="A1" s="42" t="s">
        <v>370</v>
      </c>
      <c r="B1" s="40"/>
      <c r="C1" s="40"/>
      <c r="D1" s="40"/>
      <c r="E1" s="40"/>
      <c r="F1" s="40"/>
      <c r="G1" s="40"/>
    </row>
    <row r="2" spans="1:7" x14ac:dyDescent="0.6">
      <c r="A2" s="41" t="s">
        <v>371</v>
      </c>
      <c r="B2" s="40"/>
      <c r="C2" s="40"/>
      <c r="D2" s="40"/>
      <c r="E2" s="40"/>
      <c r="F2" s="40"/>
      <c r="G2" s="40"/>
    </row>
    <row r="3" spans="1:7" x14ac:dyDescent="0.6">
      <c r="A3" s="41" t="s">
        <v>372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296</v>
      </c>
      <c r="C4" s="12" t="s">
        <v>5</v>
      </c>
      <c r="D4" s="12" t="s">
        <v>373</v>
      </c>
      <c r="E4" s="12" t="s">
        <v>374</v>
      </c>
      <c r="F4" s="12" t="s">
        <v>8</v>
      </c>
    </row>
    <row r="5" spans="1:7" x14ac:dyDescent="0.6">
      <c r="A5" s="13" t="s">
        <v>375</v>
      </c>
      <c r="B5" s="11" t="s">
        <v>376</v>
      </c>
      <c r="C5" s="18">
        <v>1091.22</v>
      </c>
      <c r="D5" s="11"/>
      <c r="E5" s="11"/>
      <c r="F5" s="11" t="s">
        <v>377</v>
      </c>
    </row>
    <row r="6" spans="1:7" x14ac:dyDescent="0.6">
      <c r="A6" s="13" t="s">
        <v>378</v>
      </c>
      <c r="B6" s="11" t="s">
        <v>379</v>
      </c>
      <c r="C6" s="18">
        <v>1023.34</v>
      </c>
      <c r="D6" s="11"/>
      <c r="E6" s="11"/>
      <c r="F6" s="11" t="s">
        <v>380</v>
      </c>
    </row>
    <row r="7" spans="1:7" x14ac:dyDescent="0.6">
      <c r="A7" s="13" t="s">
        <v>381</v>
      </c>
      <c r="B7" s="11" t="s">
        <v>382</v>
      </c>
      <c r="C7" s="18">
        <v>3596.43</v>
      </c>
      <c r="D7" s="11"/>
      <c r="E7" s="11"/>
      <c r="F7" s="11" t="s">
        <v>383</v>
      </c>
    </row>
    <row r="8" spans="1:7" x14ac:dyDescent="0.6">
      <c r="A8" s="13" t="s">
        <v>384</v>
      </c>
      <c r="B8" s="11" t="s">
        <v>382</v>
      </c>
      <c r="C8" s="18">
        <v>141.77799999999999</v>
      </c>
      <c r="D8" s="11"/>
      <c r="E8" s="11"/>
      <c r="F8" s="11" t="s">
        <v>151</v>
      </c>
    </row>
    <row r="9" spans="1:7" x14ac:dyDescent="0.6">
      <c r="A9" s="13" t="s">
        <v>385</v>
      </c>
      <c r="B9" s="11" t="s">
        <v>382</v>
      </c>
      <c r="C9" s="18">
        <v>147.76900000000001</v>
      </c>
      <c r="D9" s="24">
        <v>147.09</v>
      </c>
      <c r="E9" s="25">
        <f>100*(C9-D9)/D9</f>
        <v>0.46162213610714664</v>
      </c>
      <c r="F9" s="11" t="s">
        <v>386</v>
      </c>
    </row>
    <row r="10" spans="1:7" x14ac:dyDescent="0.6">
      <c r="A10" s="13" t="s">
        <v>387</v>
      </c>
      <c r="B10" s="11" t="s">
        <v>382</v>
      </c>
      <c r="C10" s="18">
        <v>13536.18</v>
      </c>
      <c r="D10" s="11"/>
      <c r="E10" s="11"/>
      <c r="F10" s="11" t="s">
        <v>151</v>
      </c>
    </row>
    <row r="11" spans="1:7" x14ac:dyDescent="0.6">
      <c r="A11" s="13" t="s">
        <v>388</v>
      </c>
      <c r="B11" s="11" t="s">
        <v>389</v>
      </c>
      <c r="C11" s="18">
        <f>100*C8/C10</f>
        <v>1.0474003744040046</v>
      </c>
      <c r="D11" s="24">
        <v>1.0410999999999999</v>
      </c>
      <c r="E11" s="25">
        <f>100*(C11-D11)/D11</f>
        <v>0.60516515262747683</v>
      </c>
      <c r="F11" s="11" t="s">
        <v>390</v>
      </c>
    </row>
    <row r="12" spans="1:7" x14ac:dyDescent="0.6">
      <c r="A12" s="13" t="s">
        <v>391</v>
      </c>
      <c r="B12" s="11" t="s">
        <v>392</v>
      </c>
      <c r="C12" s="18">
        <f>PI()/(C11/100)</f>
        <v>299.94190668276525</v>
      </c>
      <c r="D12" s="24">
        <v>301.76</v>
      </c>
      <c r="E12" s="25">
        <f>100*(C12-D12)/D12</f>
        <v>-0.60249645984714373</v>
      </c>
      <c r="F12" s="11" t="s">
        <v>393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>
      <pane ySplit="4" topLeftCell="A5" activePane="bottomLeft" state="frozen"/>
      <selection pane="bottomLeft" activeCell="D29" sqref="D29"/>
    </sheetView>
  </sheetViews>
  <sheetFormatPr defaultRowHeight="14.2" x14ac:dyDescent="0.6"/>
  <cols>
    <col min="1" max="1" width="24" customWidth="1"/>
    <col min="2" max="2" width="56" customWidth="1"/>
    <col min="3" max="4" width="30" customWidth="1"/>
    <col min="5" max="6" width="10" customWidth="1"/>
  </cols>
  <sheetData>
    <row r="1" spans="1:7" ht="22.05" customHeight="1" x14ac:dyDescent="0.85">
      <c r="A1" s="42" t="s">
        <v>394</v>
      </c>
      <c r="B1" s="40"/>
      <c r="C1" s="40"/>
      <c r="D1" s="40"/>
      <c r="E1" s="40"/>
      <c r="F1" s="40"/>
      <c r="G1" s="40"/>
    </row>
    <row r="2" spans="1:7" x14ac:dyDescent="0.6">
      <c r="A2" s="41" t="s">
        <v>395</v>
      </c>
      <c r="B2" s="40"/>
      <c r="C2" s="40"/>
      <c r="D2" s="40"/>
      <c r="E2" s="40"/>
      <c r="F2" s="40"/>
      <c r="G2" s="40"/>
    </row>
    <row r="3" spans="1:7" x14ac:dyDescent="0.6">
      <c r="A3" s="41" t="s">
        <v>396</v>
      </c>
      <c r="B3" s="40"/>
      <c r="C3" s="40"/>
      <c r="D3" s="40"/>
      <c r="E3" s="40"/>
      <c r="F3" s="40"/>
      <c r="G3" s="40"/>
    </row>
    <row r="4" spans="1:7" ht="15.55" x14ac:dyDescent="0.65">
      <c r="A4" s="47" t="s">
        <v>397</v>
      </c>
      <c r="B4" s="44"/>
      <c r="C4" s="44"/>
      <c r="D4" s="44"/>
      <c r="E4" s="44"/>
      <c r="F4" s="45"/>
    </row>
    <row r="5" spans="1:7" x14ac:dyDescent="0.6">
      <c r="A5" s="12" t="s">
        <v>3</v>
      </c>
      <c r="B5" s="12" t="s">
        <v>398</v>
      </c>
      <c r="C5" s="12" t="s">
        <v>5</v>
      </c>
      <c r="D5" s="12"/>
      <c r="E5" s="12"/>
      <c r="F5" s="12"/>
    </row>
    <row r="6" spans="1:7" x14ac:dyDescent="0.6">
      <c r="A6" s="13" t="s">
        <v>103</v>
      </c>
      <c r="B6" s="11" t="s">
        <v>399</v>
      </c>
      <c r="C6" s="26">
        <f>Omega_m</f>
        <v>0.31830988618379069</v>
      </c>
    </row>
    <row r="7" spans="1:7" x14ac:dyDescent="0.6">
      <c r="A7" s="13" t="s">
        <v>107</v>
      </c>
      <c r="B7" s="11" t="s">
        <v>399</v>
      </c>
      <c r="C7" s="26">
        <f>Omega_b</f>
        <v>4.9299011266100756E-2</v>
      </c>
    </row>
    <row r="8" spans="1:7" x14ac:dyDescent="0.6">
      <c r="A8" s="13" t="s">
        <v>111</v>
      </c>
      <c r="B8" s="11" t="s">
        <v>112</v>
      </c>
      <c r="C8" s="26">
        <f>Omega_c</f>
        <v>0.26901087491768993</v>
      </c>
    </row>
    <row r="9" spans="1:7" x14ac:dyDescent="0.6">
      <c r="A9" s="13" t="s">
        <v>400</v>
      </c>
      <c r="B9" s="11" t="s">
        <v>401</v>
      </c>
      <c r="C9" s="26">
        <f>H_0_SAM</f>
        <v>67.250375195020368</v>
      </c>
    </row>
    <row r="10" spans="1:7" x14ac:dyDescent="0.6">
      <c r="A10" s="13" t="s">
        <v>402</v>
      </c>
      <c r="B10" s="11" t="s">
        <v>403</v>
      </c>
      <c r="C10" s="27">
        <f>A_s_SAM</f>
        <v>2.1117473567790059E-9</v>
      </c>
    </row>
    <row r="11" spans="1:7" x14ac:dyDescent="0.6">
      <c r="A11" s="13" t="s">
        <v>404</v>
      </c>
      <c r="B11" s="11" t="s">
        <v>405</v>
      </c>
      <c r="C11" s="26">
        <f>n_s_SAM</f>
        <v>0.96463223486846772</v>
      </c>
    </row>
    <row r="12" spans="1:7" x14ac:dyDescent="0.6">
      <c r="A12" s="13" t="s">
        <v>406</v>
      </c>
      <c r="B12" s="11" t="s">
        <v>407</v>
      </c>
      <c r="C12" s="26">
        <f>tau_SAM</f>
        <v>5.3051647697298449E-2</v>
      </c>
    </row>
    <row r="13" spans="1:7" x14ac:dyDescent="0.6">
      <c r="A13" s="13" t="s">
        <v>164</v>
      </c>
      <c r="B13" s="11" t="s">
        <v>166</v>
      </c>
      <c r="C13" s="26">
        <f>N_eff</f>
        <v>3.0459999999999998</v>
      </c>
    </row>
    <row r="14" spans="1:7" x14ac:dyDescent="0.6">
      <c r="A14" s="13" t="s">
        <v>124</v>
      </c>
      <c r="B14" s="11" t="s">
        <v>408</v>
      </c>
      <c r="C14" s="26">
        <f>T_CMB</f>
        <v>2.7254999999999998</v>
      </c>
    </row>
    <row r="15" spans="1:7" x14ac:dyDescent="0.6">
      <c r="A15" s="13" t="s">
        <v>168</v>
      </c>
      <c r="B15" s="11" t="s">
        <v>409</v>
      </c>
      <c r="C15" s="26">
        <f>k_pivot</f>
        <v>0.05</v>
      </c>
    </row>
    <row r="16" spans="1:7" x14ac:dyDescent="0.6">
      <c r="A16" s="13" t="s">
        <v>410</v>
      </c>
      <c r="B16" s="11" t="s">
        <v>411</v>
      </c>
      <c r="C16" s="26">
        <f>m_nu_baseline</f>
        <v>0.06</v>
      </c>
    </row>
    <row r="18" spans="1:6" ht="15.55" x14ac:dyDescent="0.65">
      <c r="A18" s="47" t="s">
        <v>412</v>
      </c>
      <c r="B18" s="44"/>
      <c r="C18" s="44"/>
      <c r="D18" s="44"/>
      <c r="E18" s="44"/>
      <c r="F18" s="45"/>
    </row>
    <row r="19" spans="1:6" x14ac:dyDescent="0.6">
      <c r="A19" s="8" t="s">
        <v>413</v>
      </c>
      <c r="B19" s="8" t="s">
        <v>414</v>
      </c>
      <c r="C19" s="8" t="s">
        <v>415</v>
      </c>
    </row>
    <row r="20" spans="1:6" x14ac:dyDescent="0.6">
      <c r="A20" s="8" t="s">
        <v>416</v>
      </c>
      <c r="B20" s="8" t="s">
        <v>417</v>
      </c>
      <c r="C20" s="8" t="s">
        <v>418</v>
      </c>
    </row>
    <row r="21" spans="1:6" x14ac:dyDescent="0.6">
      <c r="A21" s="8" t="s">
        <v>419</v>
      </c>
      <c r="B21" s="8" t="s">
        <v>420</v>
      </c>
      <c r="C21" s="8" t="s">
        <v>421</v>
      </c>
    </row>
    <row r="23" spans="1:6" ht="15.55" x14ac:dyDescent="0.65">
      <c r="A23" s="47" t="s">
        <v>422</v>
      </c>
      <c r="B23" s="44"/>
      <c r="C23" s="44"/>
      <c r="D23" s="44"/>
      <c r="E23" s="44"/>
      <c r="F23" s="45"/>
    </row>
    <row r="24" spans="1:6" x14ac:dyDescent="0.6">
      <c r="A24" s="12" t="s">
        <v>423</v>
      </c>
      <c r="B24" s="12" t="s">
        <v>5</v>
      </c>
      <c r="C24" s="12" t="s">
        <v>424</v>
      </c>
      <c r="D24" s="12" t="s">
        <v>425</v>
      </c>
      <c r="E24" s="12"/>
      <c r="F24" s="12"/>
    </row>
    <row r="25" spans="1:6" x14ac:dyDescent="0.6">
      <c r="A25" s="11" t="s">
        <v>426</v>
      </c>
      <c r="B25" s="28">
        <v>1.0339</v>
      </c>
      <c r="C25" s="11" t="s">
        <v>427</v>
      </c>
      <c r="D25" s="13" t="s">
        <v>428</v>
      </c>
    </row>
    <row r="26" spans="1:6" x14ac:dyDescent="0.6">
      <c r="A26" s="11" t="s">
        <v>429</v>
      </c>
      <c r="B26" s="28">
        <v>1.0454000000000001</v>
      </c>
      <c r="C26" s="11" t="s">
        <v>430</v>
      </c>
      <c r="D26" s="13" t="s">
        <v>431</v>
      </c>
    </row>
    <row r="27" spans="1:6" x14ac:dyDescent="0.6">
      <c r="A27" s="11" t="s">
        <v>432</v>
      </c>
      <c r="B27" s="28">
        <v>1.0429999999999999</v>
      </c>
      <c r="C27" s="11" t="s">
        <v>430</v>
      </c>
      <c r="D27" s="13" t="s">
        <v>431</v>
      </c>
    </row>
    <row r="28" spans="1:6" x14ac:dyDescent="0.6">
      <c r="A28" s="11" t="s">
        <v>433</v>
      </c>
      <c r="B28" s="28">
        <v>1</v>
      </c>
      <c r="C28" s="11" t="s">
        <v>434</v>
      </c>
      <c r="D28" s="13" t="s">
        <v>428</v>
      </c>
    </row>
    <row r="29" spans="1:6" x14ac:dyDescent="0.6">
      <c r="A29" s="11" t="s">
        <v>435</v>
      </c>
      <c r="B29" s="28">
        <v>15</v>
      </c>
      <c r="C29" s="11" t="s">
        <v>436</v>
      </c>
      <c r="D29" s="13" t="s">
        <v>437</v>
      </c>
    </row>
    <row r="30" spans="1:6" x14ac:dyDescent="0.6">
      <c r="A30" s="11" t="s">
        <v>438</v>
      </c>
      <c r="B30" s="28">
        <v>2</v>
      </c>
      <c r="C30" s="11" t="s">
        <v>436</v>
      </c>
      <c r="D30" s="13" t="s">
        <v>428</v>
      </c>
    </row>
    <row r="31" spans="1:6" x14ac:dyDescent="0.6">
      <c r="A31" s="11" t="s">
        <v>439</v>
      </c>
      <c r="B31" s="11">
        <v>0</v>
      </c>
      <c r="C31" s="11">
        <f>0</f>
        <v>0</v>
      </c>
      <c r="D31" s="13" t="s">
        <v>428</v>
      </c>
    </row>
    <row r="32" spans="1:6" x14ac:dyDescent="0.6">
      <c r="A32" s="11" t="s">
        <v>440</v>
      </c>
      <c r="B32" s="11" t="s">
        <v>441</v>
      </c>
      <c r="C32" s="11" t="b">
        <f>FALSE</f>
        <v>0</v>
      </c>
      <c r="D32" s="13" t="s">
        <v>428</v>
      </c>
    </row>
  </sheetData>
  <mergeCells count="6">
    <mergeCell ref="A1:G1"/>
    <mergeCell ref="A3:G3"/>
    <mergeCell ref="A23:F23"/>
    <mergeCell ref="A2:G2"/>
    <mergeCell ref="A18:F18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pane ySplit="4" topLeftCell="A5" activePane="bottomLeft" state="frozen"/>
      <selection pane="bottomLeft" activeCell="E10" sqref="E10"/>
    </sheetView>
  </sheetViews>
  <sheetFormatPr defaultRowHeight="14.2" x14ac:dyDescent="0.6"/>
  <cols>
    <col min="1" max="1" width="20" customWidth="1"/>
    <col min="2" max="2" width="30" customWidth="1"/>
    <col min="3" max="3" width="22" customWidth="1"/>
    <col min="4" max="4" width="16" customWidth="1"/>
    <col min="5" max="5" width="21.5" customWidth="1"/>
    <col min="6" max="6" width="36" customWidth="1"/>
  </cols>
  <sheetData>
    <row r="1" spans="1:7" ht="22.05" customHeight="1" x14ac:dyDescent="0.85">
      <c r="A1" s="42" t="s">
        <v>442</v>
      </c>
      <c r="B1" s="40"/>
      <c r="C1" s="40"/>
      <c r="D1" s="40"/>
      <c r="E1" s="40"/>
      <c r="F1" s="40"/>
      <c r="G1" s="40"/>
    </row>
    <row r="2" spans="1:7" x14ac:dyDescent="0.6">
      <c r="A2" s="41" t="s">
        <v>443</v>
      </c>
      <c r="B2" s="40"/>
      <c r="C2" s="40"/>
      <c r="D2" s="40"/>
      <c r="E2" s="40"/>
      <c r="F2" s="40"/>
      <c r="G2" s="40"/>
    </row>
    <row r="3" spans="1:7" x14ac:dyDescent="0.6">
      <c r="A3" s="41" t="s">
        <v>444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296</v>
      </c>
      <c r="C4" s="12" t="s">
        <v>5</v>
      </c>
      <c r="D4" s="12" t="s">
        <v>445</v>
      </c>
      <c r="E4" s="12" t="s">
        <v>374</v>
      </c>
      <c r="F4" s="12" t="s">
        <v>8</v>
      </c>
    </row>
    <row r="5" spans="1:7" x14ac:dyDescent="0.6">
      <c r="A5" s="13" t="s">
        <v>92</v>
      </c>
      <c r="B5" s="11" t="s">
        <v>446</v>
      </c>
      <c r="C5" s="26">
        <f>A_0</f>
        <v>2.6525823848649224E-2</v>
      </c>
      <c r="F5" s="11" t="s">
        <v>447</v>
      </c>
    </row>
    <row r="6" spans="1:7" x14ac:dyDescent="0.6">
      <c r="A6" s="13" t="s">
        <v>100</v>
      </c>
      <c r="B6" s="11" t="s">
        <v>448</v>
      </c>
      <c r="C6" s="26">
        <f>chi</f>
        <v>7.0735530263064589E-2</v>
      </c>
      <c r="F6" s="11" t="s">
        <v>449</v>
      </c>
    </row>
    <row r="7" spans="1:7" x14ac:dyDescent="0.6">
      <c r="A7" s="13" t="s">
        <v>450</v>
      </c>
      <c r="B7" s="11"/>
      <c r="C7" s="26">
        <f>1-chi</f>
        <v>0.92926446973693544</v>
      </c>
      <c r="F7" s="11"/>
    </row>
    <row r="8" spans="1:7" x14ac:dyDescent="0.6">
      <c r="A8" s="13" t="s">
        <v>107</v>
      </c>
      <c r="B8" s="11" t="s">
        <v>451</v>
      </c>
      <c r="C8" s="26">
        <f>Omega_b</f>
        <v>4.9299011266100756E-2</v>
      </c>
      <c r="D8" s="29">
        <v>4.9299999999999997E-2</v>
      </c>
      <c r="E8" s="25">
        <f>100*(C8-D8)/D8</f>
        <v>-2.0055454345646417E-3</v>
      </c>
      <c r="F8" s="11" t="s">
        <v>452</v>
      </c>
    </row>
    <row r="9" spans="1:7" x14ac:dyDescent="0.6">
      <c r="A9" s="13" t="s">
        <v>174</v>
      </c>
      <c r="B9" s="11" t="s">
        <v>453</v>
      </c>
      <c r="C9" s="15">
        <f>eta_SAM</f>
        <v>6.0960895244841988E-10</v>
      </c>
      <c r="D9" s="30">
        <v>6.1190000000000003E-10</v>
      </c>
      <c r="E9" s="25">
        <f>100*(C9-D9)/D9</f>
        <v>-0.37441535407422</v>
      </c>
      <c r="F9" s="11" t="s">
        <v>454</v>
      </c>
    </row>
    <row r="10" spans="1:7" x14ac:dyDescent="0.6">
      <c r="A10" s="13" t="s">
        <v>455</v>
      </c>
      <c r="B10" s="11" t="s">
        <v>456</v>
      </c>
      <c r="C10" s="11"/>
      <c r="D10" s="30">
        <v>6.0999999999999996E-10</v>
      </c>
      <c r="E10" s="25">
        <f>100*(C9-D10)/D10</f>
        <v>-6.4106155996735484E-2</v>
      </c>
      <c r="F10" s="11" t="s">
        <v>457</v>
      </c>
    </row>
    <row r="11" spans="1:7" x14ac:dyDescent="0.6">
      <c r="A11" s="13" t="s">
        <v>198</v>
      </c>
      <c r="B11" s="11" t="s">
        <v>458</v>
      </c>
      <c r="C11" s="26">
        <f>omega_b_SAM</f>
        <v>2.2296034745809035E-2</v>
      </c>
      <c r="F11" s="11" t="s">
        <v>459</v>
      </c>
    </row>
    <row r="12" spans="1:7" x14ac:dyDescent="0.6">
      <c r="A12" s="13" t="s">
        <v>103</v>
      </c>
      <c r="B12" s="11" t="s">
        <v>460</v>
      </c>
      <c r="C12" s="26">
        <f>Omega_m</f>
        <v>0.31830988618379069</v>
      </c>
      <c r="D12" s="29">
        <v>0.31580000000000003</v>
      </c>
      <c r="E12" s="25">
        <f>100*(C12-D12)/D12</f>
        <v>0.79477079917373838</v>
      </c>
      <c r="F12" s="11" t="s">
        <v>461</v>
      </c>
    </row>
    <row r="13" spans="1:7" x14ac:dyDescent="0.6">
      <c r="A13" s="13" t="s">
        <v>111</v>
      </c>
      <c r="B13" s="11" t="s">
        <v>112</v>
      </c>
      <c r="C13" s="26">
        <f>Omega_c</f>
        <v>0.26901087491768993</v>
      </c>
      <c r="F13" s="11"/>
    </row>
    <row r="14" spans="1:7" x14ac:dyDescent="0.6">
      <c r="A14" s="13" t="s">
        <v>115</v>
      </c>
      <c r="B14" s="11" t="s">
        <v>462</v>
      </c>
      <c r="C14" s="26">
        <f>Omega_L</f>
        <v>0.68169011381620936</v>
      </c>
      <c r="D14" s="29">
        <v>0.68420000000000003</v>
      </c>
      <c r="E14" s="25">
        <f>100*(C14-D14)/D14</f>
        <v>-0.36683516278729406</v>
      </c>
      <c r="F14" s="11" t="s">
        <v>463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tabSelected="1" workbookViewId="0">
      <pane ySplit="4" topLeftCell="A5" activePane="bottomLeft" state="frozen"/>
      <selection pane="bottomLeft" sqref="A1:G1"/>
    </sheetView>
  </sheetViews>
  <sheetFormatPr defaultRowHeight="14.2" x14ac:dyDescent="0.6"/>
  <cols>
    <col min="1" max="1" width="22" customWidth="1"/>
    <col min="2" max="3" width="14" customWidth="1"/>
    <col min="4" max="4" width="22" customWidth="1"/>
    <col min="5" max="5" width="26" customWidth="1"/>
    <col min="6" max="6" width="18" customWidth="1"/>
    <col min="7" max="7" width="14" customWidth="1"/>
  </cols>
  <sheetData>
    <row r="1" spans="1:7" ht="22.05" customHeight="1" x14ac:dyDescent="0.85">
      <c r="A1" s="42" t="s">
        <v>464</v>
      </c>
      <c r="B1" s="40"/>
      <c r="C1" s="40"/>
      <c r="D1" s="40"/>
      <c r="E1" s="40"/>
      <c r="F1" s="40"/>
      <c r="G1" s="40"/>
    </row>
    <row r="2" spans="1:7" x14ac:dyDescent="0.6">
      <c r="A2" s="41" t="s">
        <v>465</v>
      </c>
      <c r="B2" s="40"/>
      <c r="C2" s="40"/>
      <c r="D2" s="40"/>
      <c r="E2" s="40"/>
      <c r="F2" s="40"/>
      <c r="G2" s="40"/>
    </row>
    <row r="3" spans="1:7" x14ac:dyDescent="0.6">
      <c r="A3" s="41" t="s">
        <v>466</v>
      </c>
      <c r="B3" s="40"/>
      <c r="C3" s="40"/>
      <c r="D3" s="40"/>
      <c r="E3" s="40"/>
      <c r="F3" s="40"/>
      <c r="G3" s="40"/>
    </row>
    <row r="4" spans="1:7" x14ac:dyDescent="0.6">
      <c r="A4" s="13" t="s">
        <v>467</v>
      </c>
      <c r="B4" s="11" t="s">
        <v>468</v>
      </c>
      <c r="C4" s="31">
        <f>X_inf</f>
        <v>3.183098861837907</v>
      </c>
      <c r="E4" s="11" t="s">
        <v>469</v>
      </c>
    </row>
    <row r="6" spans="1:7" x14ac:dyDescent="0.6">
      <c r="A6" s="46" t="s">
        <v>470</v>
      </c>
      <c r="B6" s="44"/>
      <c r="C6" s="44"/>
      <c r="D6" s="44"/>
      <c r="E6" s="44"/>
      <c r="F6" s="44"/>
      <c r="G6" s="45"/>
    </row>
    <row r="7" spans="1:7" x14ac:dyDescent="0.6">
      <c r="A7" s="43" t="s">
        <v>471</v>
      </c>
      <c r="B7" s="44"/>
      <c r="C7" s="44"/>
      <c r="D7" s="44"/>
      <c r="E7" s="44"/>
      <c r="F7" s="44"/>
      <c r="G7" s="45"/>
    </row>
    <row r="8" spans="1:7" x14ac:dyDescent="0.6">
      <c r="A8" s="43" t="s">
        <v>472</v>
      </c>
      <c r="B8" s="44"/>
      <c r="C8" s="44"/>
      <c r="D8" s="44"/>
      <c r="E8" s="44"/>
      <c r="F8" s="44"/>
      <c r="G8" s="45"/>
    </row>
    <row r="9" spans="1:7" ht="28.4" x14ac:dyDescent="0.6">
      <c r="A9" s="12" t="s">
        <v>473</v>
      </c>
      <c r="B9" s="12" t="s">
        <v>474</v>
      </c>
      <c r="C9" s="12" t="s">
        <v>475</v>
      </c>
      <c r="D9" s="12" t="s">
        <v>476</v>
      </c>
      <c r="E9" s="12" t="s">
        <v>477</v>
      </c>
      <c r="F9" s="12" t="s">
        <v>478</v>
      </c>
      <c r="G9" s="12" t="s">
        <v>479</v>
      </c>
    </row>
    <row r="10" spans="1:7" x14ac:dyDescent="0.6">
      <c r="A10" s="2" t="s">
        <v>480</v>
      </c>
      <c r="B10" s="2" t="s">
        <v>481</v>
      </c>
      <c r="C10" s="2" t="s">
        <v>482</v>
      </c>
      <c r="D10" s="2" t="s">
        <v>483</v>
      </c>
      <c r="E10" s="6" t="str">
        <f>IFERROR(C10^2-D10,"")</f>
        <v/>
      </c>
      <c r="F10" s="23" t="str">
        <f>IFERROR(E10/D10,"")</f>
        <v/>
      </c>
      <c r="G10" s="23" t="str">
        <f>IFERROR(B10/MAX(B:B),"")</f>
        <v/>
      </c>
    </row>
    <row r="22" spans="1:5" x14ac:dyDescent="0.6">
      <c r="A22" s="13" t="s">
        <v>484</v>
      </c>
    </row>
    <row r="23" spans="1:5" x14ac:dyDescent="0.6">
      <c r="A23" s="11" t="s">
        <v>485</v>
      </c>
      <c r="C23" s="6">
        <v>1.0629999999999999</v>
      </c>
      <c r="E23" s="11" t="s">
        <v>486</v>
      </c>
    </row>
    <row r="24" spans="1:5" x14ac:dyDescent="0.6">
      <c r="A24" s="11" t="s">
        <v>487</v>
      </c>
      <c r="C24" s="6" t="s">
        <v>488</v>
      </c>
      <c r="E24" s="11" t="s">
        <v>489</v>
      </c>
    </row>
    <row r="25" spans="1:5" x14ac:dyDescent="0.6">
      <c r="A25" s="11" t="s">
        <v>490</v>
      </c>
      <c r="E25" s="11" t="s">
        <v>491</v>
      </c>
    </row>
  </sheetData>
  <mergeCells count="6">
    <mergeCell ref="A1:G1"/>
    <mergeCell ref="A8:G8"/>
    <mergeCell ref="A3:G3"/>
    <mergeCell ref="A6:G6"/>
    <mergeCell ref="A2:G2"/>
    <mergeCell ref="A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2"/>
  <sheetViews>
    <sheetView workbookViewId="0">
      <pane ySplit="4" topLeftCell="A5" activePane="bottomLeft" state="frozen"/>
      <selection pane="bottomLeft" activeCell="B10" sqref="B10"/>
    </sheetView>
  </sheetViews>
  <sheetFormatPr defaultRowHeight="14.2" x14ac:dyDescent="0.6"/>
  <cols>
    <col min="1" max="1" width="16" customWidth="1"/>
    <col min="2" max="2" width="12" customWidth="1"/>
    <col min="3" max="3" width="22" customWidth="1"/>
    <col min="4" max="8" width="14" customWidth="1"/>
    <col min="9" max="9" width="10" customWidth="1"/>
  </cols>
  <sheetData>
    <row r="1" spans="1:9" ht="22.05" customHeight="1" x14ac:dyDescent="0.85">
      <c r="A1" s="42" t="s">
        <v>492</v>
      </c>
      <c r="B1" s="40"/>
      <c r="C1" s="40"/>
      <c r="D1" s="40"/>
      <c r="E1" s="40"/>
      <c r="F1" s="40"/>
      <c r="G1" s="40"/>
    </row>
    <row r="2" spans="1:9" x14ac:dyDescent="0.6">
      <c r="A2" s="41" t="s">
        <v>493</v>
      </c>
      <c r="B2" s="40"/>
      <c r="C2" s="40"/>
      <c r="D2" s="40"/>
      <c r="E2" s="40"/>
      <c r="F2" s="40"/>
      <c r="G2" s="40"/>
    </row>
    <row r="3" spans="1:9" x14ac:dyDescent="0.6">
      <c r="A3" s="41" t="s">
        <v>494</v>
      </c>
      <c r="B3" s="40"/>
      <c r="C3" s="40"/>
      <c r="D3" s="40"/>
      <c r="E3" s="40"/>
      <c r="F3" s="40"/>
      <c r="G3" s="40"/>
    </row>
    <row r="4" spans="1:9" x14ac:dyDescent="0.6">
      <c r="A4" s="13" t="s">
        <v>119</v>
      </c>
      <c r="B4" s="11" t="s">
        <v>495</v>
      </c>
      <c r="C4" s="31">
        <f>X_inf</f>
        <v>3.183098861837907</v>
      </c>
      <c r="E4" s="11" t="s">
        <v>496</v>
      </c>
    </row>
    <row r="6" spans="1:9" x14ac:dyDescent="0.6">
      <c r="A6" s="46" t="s">
        <v>470</v>
      </c>
      <c r="B6" s="44"/>
      <c r="C6" s="44"/>
      <c r="D6" s="44"/>
      <c r="E6" s="44"/>
      <c r="F6" s="44"/>
      <c r="G6" s="44"/>
      <c r="H6" s="44"/>
      <c r="I6" s="45"/>
    </row>
    <row r="7" spans="1:9" x14ac:dyDescent="0.6">
      <c r="A7" s="43" t="s">
        <v>497</v>
      </c>
      <c r="B7" s="44"/>
      <c r="C7" s="44"/>
      <c r="D7" s="44"/>
      <c r="E7" s="44"/>
      <c r="F7" s="44"/>
      <c r="G7" s="44"/>
      <c r="H7" s="44"/>
      <c r="I7" s="45"/>
    </row>
    <row r="9" spans="1:9" x14ac:dyDescent="0.6">
      <c r="A9" s="12" t="s">
        <v>473</v>
      </c>
      <c r="B9" s="12" t="s">
        <v>498</v>
      </c>
      <c r="C9" s="12" t="s">
        <v>499</v>
      </c>
      <c r="D9" s="12" t="s">
        <v>500</v>
      </c>
      <c r="E9" s="12" t="s">
        <v>501</v>
      </c>
      <c r="F9" s="12" t="s">
        <v>502</v>
      </c>
      <c r="G9" s="12" t="s">
        <v>503</v>
      </c>
      <c r="H9" s="12" t="s">
        <v>504</v>
      </c>
      <c r="I9" s="12" t="s">
        <v>505</v>
      </c>
    </row>
    <row r="10" spans="1:9" x14ac:dyDescent="0.6">
      <c r="A10" s="2" t="s">
        <v>480</v>
      </c>
      <c r="B10" s="2" t="s">
        <v>506</v>
      </c>
      <c r="C10" s="2" t="s">
        <v>507</v>
      </c>
      <c r="D10" s="32" t="str">
        <f>IFERROR(B10*30857000000000000000,"")</f>
        <v/>
      </c>
      <c r="E10" s="32" t="str">
        <f>IFERROR(C10*1000,"")</f>
        <v/>
      </c>
      <c r="F10" s="32" t="str">
        <f>IFERROR(D10*X_inf*E10^2/G_newton,"")</f>
        <v/>
      </c>
      <c r="G10" s="32" t="str">
        <f>IFERROR(F10/1.989E+30,"")</f>
        <v/>
      </c>
      <c r="H10" s="2" t="s">
        <v>508</v>
      </c>
      <c r="I10" s="18" t="str">
        <f>IFERROR(G10/H10,"")</f>
        <v/>
      </c>
    </row>
    <row r="22" spans="1:5" x14ac:dyDescent="0.6">
      <c r="A22" s="13" t="s">
        <v>509</v>
      </c>
      <c r="C22" s="11">
        <v>0.99829999999999997</v>
      </c>
      <c r="E22" s="11" t="s">
        <v>510</v>
      </c>
    </row>
  </sheetData>
  <mergeCells count="5">
    <mergeCell ref="A7:I7"/>
    <mergeCell ref="A1:G1"/>
    <mergeCell ref="A3:G3"/>
    <mergeCell ref="A2:G2"/>
    <mergeCell ref="A6:I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1"/>
  <sheetViews>
    <sheetView workbookViewId="0">
      <pane ySplit="7" topLeftCell="A8" activePane="bottomLeft" state="frozen"/>
      <selection pane="bottomLeft" activeCell="G12" sqref="G12"/>
    </sheetView>
  </sheetViews>
  <sheetFormatPr defaultRowHeight="14.2" x14ac:dyDescent="0.6"/>
  <cols>
    <col min="1" max="1" width="18" customWidth="1"/>
    <col min="2" max="2" width="22" customWidth="1"/>
    <col min="3" max="3" width="16" customWidth="1"/>
    <col min="4" max="4" width="8" customWidth="1"/>
    <col min="5" max="7" width="6" customWidth="1"/>
    <col min="8" max="8" width="14" customWidth="1"/>
    <col min="9" max="9" width="26" customWidth="1"/>
    <col min="10" max="10" width="14" customWidth="1"/>
    <col min="11" max="11" width="10" customWidth="1"/>
  </cols>
  <sheetData>
    <row r="1" spans="1:11" ht="22.05" customHeight="1" x14ac:dyDescent="0.85">
      <c r="A1" s="42" t="s">
        <v>679</v>
      </c>
      <c r="B1" s="40"/>
      <c r="C1" s="40"/>
      <c r="D1" s="40"/>
      <c r="E1" s="40"/>
      <c r="F1" s="40"/>
      <c r="G1" s="40"/>
    </row>
    <row r="2" spans="1:11" x14ac:dyDescent="0.6">
      <c r="A2" s="41" t="s">
        <v>680</v>
      </c>
      <c r="B2" s="40"/>
      <c r="C2" s="40"/>
      <c r="D2" s="40"/>
      <c r="E2" s="40"/>
      <c r="F2" s="40"/>
      <c r="G2" s="40"/>
    </row>
    <row r="3" spans="1:11" x14ac:dyDescent="0.6">
      <c r="A3" s="41" t="s">
        <v>511</v>
      </c>
      <c r="B3" s="40"/>
      <c r="C3" s="40"/>
      <c r="D3" s="40"/>
      <c r="E3" s="40"/>
      <c r="F3" s="40"/>
      <c r="G3" s="40"/>
    </row>
    <row r="8" spans="1:11" x14ac:dyDescent="0.6">
      <c r="A8" s="12" t="s">
        <v>512</v>
      </c>
      <c r="B8" s="12" t="s">
        <v>513</v>
      </c>
      <c r="C8" s="12" t="s">
        <v>514</v>
      </c>
      <c r="D8" s="12" t="s">
        <v>515</v>
      </c>
      <c r="E8" s="12" t="s">
        <v>516</v>
      </c>
      <c r="F8" s="12" t="s">
        <v>517</v>
      </c>
      <c r="G8" s="12" t="s">
        <v>518</v>
      </c>
      <c r="H8" s="12" t="s">
        <v>519</v>
      </c>
      <c r="I8" s="12" t="s">
        <v>520</v>
      </c>
      <c r="J8" s="12" t="s">
        <v>367</v>
      </c>
      <c r="K8" s="12" t="s">
        <v>521</v>
      </c>
    </row>
    <row r="9" spans="1:11" x14ac:dyDescent="0.6">
      <c r="A9" s="56" t="s">
        <v>681</v>
      </c>
      <c r="B9" s="56" t="s">
        <v>523</v>
      </c>
      <c r="C9" s="56" t="s">
        <v>682</v>
      </c>
      <c r="D9" s="56" t="s">
        <v>683</v>
      </c>
      <c r="E9" s="82">
        <v>1</v>
      </c>
      <c r="F9" s="82">
        <v>1</v>
      </c>
      <c r="G9" s="82">
        <v>0</v>
      </c>
      <c r="H9" s="80">
        <v>1.5104166670000001</v>
      </c>
      <c r="I9" s="77">
        <f>IF(C9="matter_neutral",(F9/S_split)*R_radix^G9,R_radix^G9*IF(D9="positive",c_plus,c_minus)*F9*(1+F9/R_sq)*IF(C9="anti_charged",IF(D9="negative",A_neg*(1+F9/R_radix^(G9+1)),A_pos*(1-F9/R_radix^(G9+1))),1))</f>
        <v>1.5104166666666665</v>
      </c>
      <c r="J9" s="78">
        <f>I9-H9</f>
        <v>-3.3333358295806192E-10</v>
      </c>
      <c r="K9" s="79" t="str">
        <f>IF(ABS(J9)&lt;0.0000001,"YES","check")</f>
        <v>YES</v>
      </c>
    </row>
    <row r="10" spans="1:11" x14ac:dyDescent="0.6">
      <c r="A10" s="56" t="s">
        <v>522</v>
      </c>
      <c r="B10" s="56" t="s">
        <v>523</v>
      </c>
      <c r="C10" s="56" t="s">
        <v>682</v>
      </c>
      <c r="D10" s="56" t="s">
        <v>684</v>
      </c>
      <c r="E10" s="82">
        <v>1</v>
      </c>
      <c r="F10" s="82">
        <v>1</v>
      </c>
      <c r="G10" s="82">
        <v>0</v>
      </c>
      <c r="H10" s="80">
        <v>1.2586805560000001</v>
      </c>
      <c r="I10" s="77">
        <f>IF(C10="matter_neutral",(F10/S_split)*R_radix^G10,R_radix^G10*IF(D10="positive",c_plus,c_minus)*F10*(1+F10/R_sq)*IF(C10="anti_charged",IF(D10="negative",A_neg*(1+F10/R_radix^(G10+1)),A_pos*(1-F10/R_radix^(G10+1))),1))</f>
        <v>1.2586805555555556</v>
      </c>
      <c r="J10" s="78">
        <f t="shared" ref="J10:J73" si="0">I10-H10</f>
        <v>-4.4444448121794267E-10</v>
      </c>
      <c r="K10" s="79" t="str">
        <f t="shared" ref="K10:K73" si="1">IF(ABS(J10)&lt;0.0000001,"YES","check")</f>
        <v>YES</v>
      </c>
    </row>
    <row r="11" spans="1:11" x14ac:dyDescent="0.6">
      <c r="A11" s="56" t="s">
        <v>685</v>
      </c>
      <c r="B11" s="56" t="s">
        <v>523</v>
      </c>
      <c r="C11" s="56" t="s">
        <v>682</v>
      </c>
      <c r="D11" s="56" t="s">
        <v>683</v>
      </c>
      <c r="E11" s="82">
        <v>1</v>
      </c>
      <c r="F11" s="82">
        <v>1</v>
      </c>
      <c r="G11" s="82">
        <v>1</v>
      </c>
      <c r="H11" s="80">
        <v>18.125</v>
      </c>
      <c r="I11" s="77">
        <f>IF(C11="matter_neutral",(F11/S_split)*R_radix^G11,R_radix^G11*IF(D11="positive",c_plus,c_minus)*F11*(1+F11/R_sq)*IF(C11="anti_charged",IF(D11="negative",A_neg*(1+F11/R_radix^(G11+1)),A_pos*(1-F11/R_radix^(G11+1))),1))</f>
        <v>18.125</v>
      </c>
      <c r="J11" s="78">
        <f t="shared" si="0"/>
        <v>0</v>
      </c>
      <c r="K11" s="79" t="str">
        <f t="shared" si="1"/>
        <v>YES</v>
      </c>
    </row>
    <row r="12" spans="1:11" x14ac:dyDescent="0.6">
      <c r="A12" s="76" t="s">
        <v>686</v>
      </c>
      <c r="B12" s="76" t="s">
        <v>523</v>
      </c>
      <c r="C12" s="76" t="s">
        <v>682</v>
      </c>
      <c r="D12" s="76" t="s">
        <v>684</v>
      </c>
      <c r="E12" s="83">
        <v>1</v>
      </c>
      <c r="F12" s="83">
        <v>1</v>
      </c>
      <c r="G12" s="83">
        <v>1</v>
      </c>
      <c r="H12" s="81">
        <v>15.10416667</v>
      </c>
      <c r="I12" s="77">
        <f>IF(C12="matter_neutral",(F12/S_split)*R_radix^G12,R_radix^G12*IF(D12="positive",c_plus,c_minus)*F12*(1+F12/R_sq)*IF(C12="anti_charged",IF(D12="negative",A_neg*(1+F12/R_radix^(G12+1)),A_pos*(1-F12/R_radix^(G12+1))),1))</f>
        <v>15.104166666666666</v>
      </c>
      <c r="J12" s="78">
        <f t="shared" si="0"/>
        <v>-3.33333360913457E-9</v>
      </c>
      <c r="K12" s="79" t="str">
        <f t="shared" si="1"/>
        <v>YES</v>
      </c>
    </row>
    <row r="13" spans="1:11" x14ac:dyDescent="0.6">
      <c r="A13" s="76" t="s">
        <v>525</v>
      </c>
      <c r="B13" s="76" t="s">
        <v>523</v>
      </c>
      <c r="C13" s="76" t="s">
        <v>682</v>
      </c>
      <c r="D13" s="76" t="s">
        <v>683</v>
      </c>
      <c r="E13" s="83">
        <v>1</v>
      </c>
      <c r="F13" s="83">
        <v>1</v>
      </c>
      <c r="G13" s="83">
        <v>2</v>
      </c>
      <c r="H13" s="81">
        <v>217.5</v>
      </c>
      <c r="I13" s="77">
        <f>IF(C13="matter_neutral",(F13/S_split)*R_radix^G13,R_radix^G13*IF(D13="positive",c_plus,c_minus)*F13*(1+F13/R_sq)*IF(C13="anti_charged",IF(D13="negative",A_neg*(1+F13/R_radix^(G13+1)),A_pos*(1-F13/R_radix^(G13+1))),1))</f>
        <v>217.5</v>
      </c>
      <c r="J13" s="78">
        <f t="shared" si="0"/>
        <v>0</v>
      </c>
      <c r="K13" s="79" t="str">
        <f t="shared" si="1"/>
        <v>YES</v>
      </c>
    </row>
    <row r="14" spans="1:11" x14ac:dyDescent="0.6">
      <c r="A14" s="76" t="s">
        <v>687</v>
      </c>
      <c r="B14" s="76" t="s">
        <v>523</v>
      </c>
      <c r="C14" s="76" t="s">
        <v>682</v>
      </c>
      <c r="D14" s="76" t="s">
        <v>684</v>
      </c>
      <c r="E14" s="83">
        <v>1</v>
      </c>
      <c r="F14" s="83">
        <v>1</v>
      </c>
      <c r="G14" s="83">
        <v>2</v>
      </c>
      <c r="H14" s="81">
        <v>181.25</v>
      </c>
      <c r="I14" s="77">
        <f>IF(C14="matter_neutral",(F14/S_split)*R_radix^G14,R_radix^G14*IF(D14="positive",c_plus,c_minus)*F14*(1+F14/R_sq)*IF(C14="anti_charged",IF(D14="negative",A_neg*(1+F14/R_radix^(G14+1)),A_pos*(1-F14/R_radix^(G14+1))),1))</f>
        <v>181.25</v>
      </c>
      <c r="J14" s="78">
        <f t="shared" si="0"/>
        <v>0</v>
      </c>
      <c r="K14" s="79" t="str">
        <f t="shared" si="1"/>
        <v>YES</v>
      </c>
    </row>
    <row r="15" spans="1:11" x14ac:dyDescent="0.6">
      <c r="A15" s="76" t="s">
        <v>688</v>
      </c>
      <c r="B15" s="76" t="s">
        <v>523</v>
      </c>
      <c r="C15" s="76" t="s">
        <v>682</v>
      </c>
      <c r="D15" s="76" t="s">
        <v>683</v>
      </c>
      <c r="E15" s="83">
        <v>2</v>
      </c>
      <c r="F15" s="83">
        <v>2</v>
      </c>
      <c r="G15" s="83">
        <v>0</v>
      </c>
      <c r="H15" s="81">
        <v>3.0416666669999999</v>
      </c>
      <c r="I15" s="77">
        <f>IF(C15="matter_neutral",(F15/S_split)*R_radix^G15,R_radix^G15*IF(D15="positive",c_plus,c_minus)*F15*(1+F15/R_sq)*IF(C15="anti_charged",IF(D15="negative",A_neg*(1+F15/R_radix^(G15+1)),A_pos*(1-F15/R_radix^(G15+1))),1))</f>
        <v>3.0416666666666665</v>
      </c>
      <c r="J15" s="78">
        <f t="shared" si="0"/>
        <v>-3.33333360913457E-10</v>
      </c>
      <c r="K15" s="79" t="str">
        <f t="shared" si="1"/>
        <v>YES</v>
      </c>
    </row>
    <row r="16" spans="1:11" x14ac:dyDescent="0.6">
      <c r="A16" s="76" t="s">
        <v>689</v>
      </c>
      <c r="B16" s="76" t="s">
        <v>523</v>
      </c>
      <c r="C16" s="76" t="s">
        <v>682</v>
      </c>
      <c r="D16" s="76" t="s">
        <v>684</v>
      </c>
      <c r="E16" s="83">
        <v>2</v>
      </c>
      <c r="F16" s="83">
        <v>2</v>
      </c>
      <c r="G16" s="83">
        <v>0</v>
      </c>
      <c r="H16" s="81">
        <v>2.5347222220000001</v>
      </c>
      <c r="I16" s="77">
        <f>IF(C16="matter_neutral",(F16/S_split)*R_radix^G16,R_radix^G16*IF(D16="positive",c_plus,c_minus)*F16*(1+F16/R_sq)*IF(C16="anti_charged",IF(D16="negative",A_neg*(1+F16/R_radix^(G16+1)),A_pos*(1-F16/R_radix^(G16+1))),1))</f>
        <v>2.5347222222222223</v>
      </c>
      <c r="J16" s="78">
        <f t="shared" si="0"/>
        <v>2.2222224060897133E-10</v>
      </c>
      <c r="K16" s="79" t="str">
        <f t="shared" si="1"/>
        <v>YES</v>
      </c>
    </row>
    <row r="17" spans="1:11" x14ac:dyDescent="0.6">
      <c r="A17" s="76" t="s">
        <v>690</v>
      </c>
      <c r="B17" s="76" t="s">
        <v>523</v>
      </c>
      <c r="C17" s="76" t="s">
        <v>682</v>
      </c>
      <c r="D17" s="76" t="s">
        <v>683</v>
      </c>
      <c r="E17" s="83">
        <v>2</v>
      </c>
      <c r="F17" s="83">
        <v>2</v>
      </c>
      <c r="G17" s="83">
        <v>1</v>
      </c>
      <c r="H17" s="81">
        <v>36.5</v>
      </c>
      <c r="I17" s="77">
        <f>IF(C17="matter_neutral",(F17/S_split)*R_radix^G17,R_radix^G17*IF(D17="positive",c_plus,c_minus)*F17*(1+F17/R_sq)*IF(C17="anti_charged",IF(D17="negative",A_neg*(1+F17/R_radix^(G17+1)),A_pos*(1-F17/R_radix^(G17+1))),1))</f>
        <v>36.5</v>
      </c>
      <c r="J17" s="78">
        <f t="shared" si="0"/>
        <v>0</v>
      </c>
      <c r="K17" s="79" t="str">
        <f t="shared" si="1"/>
        <v>YES</v>
      </c>
    </row>
    <row r="18" spans="1:11" x14ac:dyDescent="0.6">
      <c r="A18" s="54" t="s">
        <v>691</v>
      </c>
      <c r="B18" s="76" t="s">
        <v>523</v>
      </c>
      <c r="C18" s="56" t="s">
        <v>682</v>
      </c>
      <c r="D18" s="76" t="s">
        <v>684</v>
      </c>
      <c r="E18" s="82">
        <v>2</v>
      </c>
      <c r="F18" s="83">
        <v>2</v>
      </c>
      <c r="G18" s="83">
        <v>1</v>
      </c>
      <c r="H18" s="81">
        <v>30.416666670000001</v>
      </c>
      <c r="I18" s="77">
        <f>IF(C18="matter_neutral",(F18/S_split)*R_radix^G18,R_radix^G18*IF(D18="positive",c_plus,c_minus)*F18*(1+F18/R_sq)*IF(C18="anti_charged",IF(D18="negative",A_neg*(1+F18/R_radix^(G18+1)),A_pos*(1-F18/R_radix^(G18+1))),1))</f>
        <v>30.416666666666664</v>
      </c>
      <c r="J18" s="78">
        <f t="shared" si="0"/>
        <v>-3.3333371618482488E-9</v>
      </c>
      <c r="K18" s="79" t="str">
        <f t="shared" si="1"/>
        <v>YES</v>
      </c>
    </row>
    <row r="19" spans="1:11" x14ac:dyDescent="0.6">
      <c r="A19" s="76" t="s">
        <v>692</v>
      </c>
      <c r="B19" s="76" t="s">
        <v>523</v>
      </c>
      <c r="C19" s="76" t="s">
        <v>682</v>
      </c>
      <c r="D19" s="76" t="s">
        <v>683</v>
      </c>
      <c r="E19" s="83">
        <v>2</v>
      </c>
      <c r="F19" s="83">
        <v>2</v>
      </c>
      <c r="G19" s="83">
        <v>2</v>
      </c>
      <c r="H19" s="81">
        <v>438</v>
      </c>
      <c r="I19" s="77">
        <f>IF(C19="matter_neutral",(F19/S_split)*R_radix^G19,R_radix^G19*IF(D19="positive",c_plus,c_minus)*F19*(1+F19/R_sq)*IF(C19="anti_charged",IF(D19="negative",A_neg*(1+F19/R_radix^(G19+1)),A_pos*(1-F19/R_radix^(G19+1))),1))</f>
        <v>438</v>
      </c>
      <c r="J19" s="78">
        <f t="shared" si="0"/>
        <v>0</v>
      </c>
      <c r="K19" s="79" t="str">
        <f t="shared" si="1"/>
        <v>YES</v>
      </c>
    </row>
    <row r="20" spans="1:11" x14ac:dyDescent="0.6">
      <c r="A20" s="76" t="s">
        <v>693</v>
      </c>
      <c r="B20" s="76" t="s">
        <v>523</v>
      </c>
      <c r="C20" s="76" t="s">
        <v>682</v>
      </c>
      <c r="D20" s="76" t="s">
        <v>684</v>
      </c>
      <c r="E20" s="83">
        <v>2</v>
      </c>
      <c r="F20" s="83">
        <v>2</v>
      </c>
      <c r="G20" s="83">
        <v>2</v>
      </c>
      <c r="H20" s="81">
        <v>365</v>
      </c>
      <c r="I20" s="77">
        <f>IF(C20="matter_neutral",(F20/S_split)*R_radix^G20,R_radix^G20*IF(D20="positive",c_plus,c_minus)*F20*(1+F20/R_sq)*IF(C20="anti_charged",IF(D20="negative",A_neg*(1+F20/R_radix^(G20+1)),A_pos*(1-F20/R_radix^(G20+1))),1))</f>
        <v>365</v>
      </c>
      <c r="J20" s="78">
        <f t="shared" si="0"/>
        <v>0</v>
      </c>
      <c r="K20" s="79" t="str">
        <f t="shared" si="1"/>
        <v>YES</v>
      </c>
    </row>
    <row r="21" spans="1:11" x14ac:dyDescent="0.6">
      <c r="A21" s="76" t="s">
        <v>694</v>
      </c>
      <c r="B21" s="76" t="s">
        <v>523</v>
      </c>
      <c r="C21" s="76" t="s">
        <v>682</v>
      </c>
      <c r="D21" s="76" t="s">
        <v>683</v>
      </c>
      <c r="E21" s="83">
        <v>3</v>
      </c>
      <c r="F21" s="83">
        <v>3</v>
      </c>
      <c r="G21" s="83">
        <v>0</v>
      </c>
      <c r="H21" s="81">
        <v>4.59375</v>
      </c>
      <c r="I21" s="77">
        <f>IF(C21="matter_neutral",(F21/S_split)*R_radix^G21,R_radix^G21*IF(D21="positive",c_plus,c_minus)*F21*(1+F21/R_sq)*IF(C21="anti_charged",IF(D21="negative",A_neg*(1+F21/R_radix^(G21+1)),A_pos*(1-F21/R_radix^(G21+1))),1))</f>
        <v>4.59375</v>
      </c>
      <c r="J21" s="78">
        <f t="shared" si="0"/>
        <v>0</v>
      </c>
      <c r="K21" s="79" t="str">
        <f t="shared" si="1"/>
        <v>YES</v>
      </c>
    </row>
    <row r="22" spans="1:11" x14ac:dyDescent="0.6">
      <c r="A22" s="76" t="s">
        <v>695</v>
      </c>
      <c r="B22" s="76" t="s">
        <v>523</v>
      </c>
      <c r="C22" s="76" t="s">
        <v>682</v>
      </c>
      <c r="D22" s="76" t="s">
        <v>684</v>
      </c>
      <c r="E22" s="83">
        <v>3</v>
      </c>
      <c r="F22" s="83">
        <v>3</v>
      </c>
      <c r="G22" s="83">
        <v>0</v>
      </c>
      <c r="H22" s="81">
        <v>3.828125</v>
      </c>
      <c r="I22" s="77">
        <f>IF(C22="matter_neutral",(F22/S_split)*R_radix^G22,R_radix^G22*IF(D22="positive",c_plus,c_minus)*F22*(1+F22/R_sq)*IF(C22="anti_charged",IF(D22="negative",A_neg*(1+F22/R_radix^(G22+1)),A_pos*(1-F22/R_radix^(G22+1))),1))</f>
        <v>3.8281249999999996</v>
      </c>
      <c r="J22" s="78">
        <f t="shared" si="0"/>
        <v>0</v>
      </c>
      <c r="K22" s="79" t="str">
        <f t="shared" si="1"/>
        <v>YES</v>
      </c>
    </row>
    <row r="23" spans="1:11" x14ac:dyDescent="0.6">
      <c r="A23" s="76" t="s">
        <v>696</v>
      </c>
      <c r="B23" s="76" t="s">
        <v>523</v>
      </c>
      <c r="C23" s="76" t="s">
        <v>682</v>
      </c>
      <c r="D23" s="76" t="s">
        <v>683</v>
      </c>
      <c r="E23" s="83">
        <v>3</v>
      </c>
      <c r="F23" s="83">
        <v>3</v>
      </c>
      <c r="G23" s="83">
        <v>1</v>
      </c>
      <c r="H23" s="81">
        <v>55.125</v>
      </c>
      <c r="I23" s="77">
        <f>IF(C23="matter_neutral",(F23/S_split)*R_radix^G23,R_radix^G23*IF(D23="positive",c_plus,c_minus)*F23*(1+F23/R_sq)*IF(C23="anti_charged",IF(D23="negative",A_neg*(1+F23/R_radix^(G23+1)),A_pos*(1-F23/R_radix^(G23+1))),1))</f>
        <v>55.124999999999993</v>
      </c>
      <c r="J23" s="78">
        <f t="shared" si="0"/>
        <v>0</v>
      </c>
      <c r="K23" s="79" t="str">
        <f t="shared" si="1"/>
        <v>YES</v>
      </c>
    </row>
    <row r="24" spans="1:11" x14ac:dyDescent="0.6">
      <c r="A24" s="76" t="s">
        <v>697</v>
      </c>
      <c r="B24" s="76" t="s">
        <v>523</v>
      </c>
      <c r="C24" s="76" t="s">
        <v>682</v>
      </c>
      <c r="D24" s="76" t="s">
        <v>684</v>
      </c>
      <c r="E24" s="83">
        <v>3</v>
      </c>
      <c r="F24" s="83">
        <v>3</v>
      </c>
      <c r="G24" s="83">
        <v>1</v>
      </c>
      <c r="H24" s="81">
        <v>45.9375</v>
      </c>
      <c r="I24" s="77">
        <f>IF(C24="matter_neutral",(F24/S_split)*R_radix^G24,R_radix^G24*IF(D24="positive",c_plus,c_minus)*F24*(1+F24/R_sq)*IF(C24="anti_charged",IF(D24="negative",A_neg*(1+F24/R_radix^(G24+1)),A_pos*(1-F24/R_radix^(G24+1))),1))</f>
        <v>45.9375</v>
      </c>
      <c r="J24" s="78">
        <f t="shared" si="0"/>
        <v>0</v>
      </c>
      <c r="K24" s="79" t="str">
        <f t="shared" si="1"/>
        <v>YES</v>
      </c>
    </row>
    <row r="25" spans="1:11" x14ac:dyDescent="0.6">
      <c r="A25" s="76" t="s">
        <v>698</v>
      </c>
      <c r="B25" s="76" t="s">
        <v>523</v>
      </c>
      <c r="C25" s="76" t="s">
        <v>682</v>
      </c>
      <c r="D25" s="76" t="s">
        <v>683</v>
      </c>
      <c r="E25" s="83">
        <v>3</v>
      </c>
      <c r="F25" s="83">
        <v>3</v>
      </c>
      <c r="G25" s="83">
        <v>2</v>
      </c>
      <c r="H25" s="81">
        <v>661.5</v>
      </c>
      <c r="I25" s="77">
        <f>IF(C25="matter_neutral",(F25/S_split)*R_radix^G25,R_radix^G25*IF(D25="positive",c_plus,c_minus)*F25*(1+F25/R_sq)*IF(C25="anti_charged",IF(D25="negative",A_neg*(1+F25/R_radix^(G25+1)),A_pos*(1-F25/R_radix^(G25+1))),1))</f>
        <v>661.5</v>
      </c>
      <c r="J25" s="78">
        <f t="shared" si="0"/>
        <v>0</v>
      </c>
      <c r="K25" s="79" t="str">
        <f t="shared" si="1"/>
        <v>YES</v>
      </c>
    </row>
    <row r="26" spans="1:11" x14ac:dyDescent="0.6">
      <c r="A26" s="76" t="s">
        <v>699</v>
      </c>
      <c r="B26" s="76" t="s">
        <v>523</v>
      </c>
      <c r="C26" s="76" t="s">
        <v>682</v>
      </c>
      <c r="D26" s="76" t="s">
        <v>684</v>
      </c>
      <c r="E26" s="83">
        <v>3</v>
      </c>
      <c r="F26" s="83">
        <v>3</v>
      </c>
      <c r="G26" s="83">
        <v>2</v>
      </c>
      <c r="H26" s="81">
        <v>551.25</v>
      </c>
      <c r="I26" s="77">
        <f>IF(C26="matter_neutral",(F26/S_split)*R_radix^G26,R_radix^G26*IF(D26="positive",c_plus,c_minus)*F26*(1+F26/R_sq)*IF(C26="anti_charged",IF(D26="negative",A_neg*(1+F26/R_radix^(G26+1)),A_pos*(1-F26/R_radix^(G26+1))),1))</f>
        <v>551.25</v>
      </c>
      <c r="J26" s="78">
        <f t="shared" si="0"/>
        <v>0</v>
      </c>
      <c r="K26" s="79" t="str">
        <f t="shared" si="1"/>
        <v>YES</v>
      </c>
    </row>
    <row r="27" spans="1:11" x14ac:dyDescent="0.6">
      <c r="A27" s="76" t="s">
        <v>700</v>
      </c>
      <c r="B27" s="76" t="s">
        <v>523</v>
      </c>
      <c r="C27" s="76" t="s">
        <v>682</v>
      </c>
      <c r="D27" s="76" t="s">
        <v>683</v>
      </c>
      <c r="E27" s="83">
        <v>4</v>
      </c>
      <c r="F27" s="83">
        <v>4</v>
      </c>
      <c r="G27" s="83">
        <v>0</v>
      </c>
      <c r="H27" s="81">
        <v>6.1666666670000003</v>
      </c>
      <c r="I27" s="77">
        <f>IF(C27="matter_neutral",(F27/S_split)*R_radix^G27,R_radix^G27*IF(D27="positive",c_plus,c_minus)*F27*(1+F27/R_sq)*IF(C27="anti_charged",IF(D27="negative",A_neg*(1+F27/R_radix^(G27+1)),A_pos*(1-F27/R_radix^(G27+1))),1))</f>
        <v>6.1666666666666661</v>
      </c>
      <c r="J27" s="78">
        <f t="shared" si="0"/>
        <v>-3.333342490918767E-10</v>
      </c>
      <c r="K27" s="79" t="str">
        <f t="shared" si="1"/>
        <v>YES</v>
      </c>
    </row>
    <row r="28" spans="1:11" x14ac:dyDescent="0.6">
      <c r="A28" s="76" t="s">
        <v>701</v>
      </c>
      <c r="B28" s="76" t="s">
        <v>523</v>
      </c>
      <c r="C28" s="76" t="s">
        <v>682</v>
      </c>
      <c r="D28" s="76" t="s">
        <v>684</v>
      </c>
      <c r="E28" s="83">
        <v>4</v>
      </c>
      <c r="F28" s="83">
        <v>4</v>
      </c>
      <c r="G28" s="83">
        <v>0</v>
      </c>
      <c r="H28" s="81">
        <v>5.1388888890000004</v>
      </c>
      <c r="I28" s="77">
        <f>IF(C28="matter_neutral",(F28/S_split)*R_radix^G28,R_radix^G28*IF(D28="positive",c_plus,c_minus)*F28*(1+F28/R_sq)*IF(C28="anti_charged",IF(D28="negative",A_neg*(1+F28/R_radix^(G28+1)),A_pos*(1-F28/R_radix^(G28+1))),1))</f>
        <v>5.1388888888888884</v>
      </c>
      <c r="J28" s="78">
        <f t="shared" si="0"/>
        <v>-1.1111200848290537E-10</v>
      </c>
      <c r="K28" s="79" t="str">
        <f t="shared" si="1"/>
        <v>YES</v>
      </c>
    </row>
    <row r="29" spans="1:11" x14ac:dyDescent="0.6">
      <c r="A29" s="76" t="s">
        <v>702</v>
      </c>
      <c r="B29" s="76" t="s">
        <v>523</v>
      </c>
      <c r="C29" s="76" t="s">
        <v>682</v>
      </c>
      <c r="D29" s="76" t="s">
        <v>683</v>
      </c>
      <c r="E29" s="83">
        <v>4</v>
      </c>
      <c r="F29" s="83">
        <v>4</v>
      </c>
      <c r="G29" s="83">
        <v>1</v>
      </c>
      <c r="H29" s="81">
        <v>74</v>
      </c>
      <c r="I29" s="77">
        <f>IF(C29="matter_neutral",(F29/S_split)*R_radix^G29,R_radix^G29*IF(D29="positive",c_plus,c_minus)*F29*(1+F29/R_sq)*IF(C29="anti_charged",IF(D29="negative",A_neg*(1+F29/R_radix^(G29+1)),A_pos*(1-F29/R_radix^(G29+1))),1))</f>
        <v>74</v>
      </c>
      <c r="J29" s="78">
        <f t="shared" si="0"/>
        <v>0</v>
      </c>
      <c r="K29" s="79" t="str">
        <f t="shared" si="1"/>
        <v>YES</v>
      </c>
    </row>
    <row r="30" spans="1:11" x14ac:dyDescent="0.6">
      <c r="A30" s="76" t="s">
        <v>703</v>
      </c>
      <c r="B30" s="76" t="s">
        <v>523</v>
      </c>
      <c r="C30" s="76" t="s">
        <v>682</v>
      </c>
      <c r="D30" s="76" t="s">
        <v>684</v>
      </c>
      <c r="E30" s="83">
        <v>4</v>
      </c>
      <c r="F30" s="83">
        <v>4</v>
      </c>
      <c r="G30" s="83">
        <v>1</v>
      </c>
      <c r="H30" s="81">
        <v>61.666666669999998</v>
      </c>
      <c r="I30" s="77">
        <f>IF(C30="matter_neutral",(F30/S_split)*R_radix^G30,R_radix^G30*IF(D30="positive",c_plus,c_minus)*F30*(1+F30/R_sq)*IF(C30="anti_charged",IF(D30="negative",A_neg*(1+F30/R_radix^(G30+1)),A_pos*(1-F30/R_radix^(G30+1))),1))</f>
        <v>61.666666666666657</v>
      </c>
      <c r="J30" s="78">
        <f t="shared" si="0"/>
        <v>-3.3333407145619276E-9</v>
      </c>
      <c r="K30" s="79" t="str">
        <f t="shared" si="1"/>
        <v>YES</v>
      </c>
    </row>
    <row r="31" spans="1:11" x14ac:dyDescent="0.6">
      <c r="A31" s="76" t="s">
        <v>704</v>
      </c>
      <c r="B31" s="76" t="s">
        <v>523</v>
      </c>
      <c r="C31" s="76" t="s">
        <v>682</v>
      </c>
      <c r="D31" s="76" t="s">
        <v>683</v>
      </c>
      <c r="E31" s="83">
        <v>4</v>
      </c>
      <c r="F31" s="83">
        <v>4</v>
      </c>
      <c r="G31" s="83">
        <v>2</v>
      </c>
      <c r="H31" s="81">
        <v>888</v>
      </c>
      <c r="I31" s="77">
        <f>IF(C31="matter_neutral",(F31/S_split)*R_radix^G31,R_radix^G31*IF(D31="positive",c_plus,c_minus)*F31*(1+F31/R_sq)*IF(C31="anti_charged",IF(D31="negative",A_neg*(1+F31/R_radix^(G31+1)),A_pos*(1-F31/R_radix^(G31+1))),1))</f>
        <v>887.99999999999989</v>
      </c>
      <c r="J31" s="78">
        <f t="shared" si="0"/>
        <v>0</v>
      </c>
      <c r="K31" s="79" t="str">
        <f t="shared" si="1"/>
        <v>YES</v>
      </c>
    </row>
    <row r="32" spans="1:11" x14ac:dyDescent="0.6">
      <c r="A32" s="76" t="s">
        <v>705</v>
      </c>
      <c r="B32" s="76" t="s">
        <v>523</v>
      </c>
      <c r="C32" s="76" t="s">
        <v>682</v>
      </c>
      <c r="D32" s="76" t="s">
        <v>684</v>
      </c>
      <c r="E32" s="83">
        <v>4</v>
      </c>
      <c r="F32" s="83">
        <v>4</v>
      </c>
      <c r="G32" s="83">
        <v>2</v>
      </c>
      <c r="H32" s="81">
        <v>740</v>
      </c>
      <c r="I32" s="77">
        <f>IF(C32="matter_neutral",(F32/S_split)*R_radix^G32,R_radix^G32*IF(D32="positive",c_plus,c_minus)*F32*(1+F32/R_sq)*IF(C32="anti_charged",IF(D32="negative",A_neg*(1+F32/R_radix^(G32+1)),A_pos*(1-F32/R_radix^(G32+1))),1))</f>
        <v>739.99999999999989</v>
      </c>
      <c r="J32" s="78">
        <f t="shared" si="0"/>
        <v>0</v>
      </c>
      <c r="K32" s="79" t="str">
        <f t="shared" si="1"/>
        <v>YES</v>
      </c>
    </row>
    <row r="33" spans="1:11" x14ac:dyDescent="0.6">
      <c r="A33" s="76" t="s">
        <v>706</v>
      </c>
      <c r="B33" s="76" t="s">
        <v>523</v>
      </c>
      <c r="C33" s="76" t="s">
        <v>682</v>
      </c>
      <c r="D33" s="76" t="s">
        <v>683</v>
      </c>
      <c r="E33" s="83">
        <v>6</v>
      </c>
      <c r="F33" s="83">
        <v>6</v>
      </c>
      <c r="G33" s="83">
        <v>0</v>
      </c>
      <c r="H33" s="81">
        <v>9.375</v>
      </c>
      <c r="I33" s="77">
        <f>IF(C33="matter_neutral",(F33/S_split)*R_radix^G33,R_radix^G33*IF(D33="positive",c_plus,c_minus)*F33*(1+F33/R_sq)*IF(C33="anti_charged",IF(D33="negative",A_neg*(1+F33/R_radix^(G33+1)),A_pos*(1-F33/R_radix^(G33+1))),1))</f>
        <v>9.375</v>
      </c>
      <c r="J33" s="78">
        <f t="shared" si="0"/>
        <v>0</v>
      </c>
      <c r="K33" s="79" t="str">
        <f t="shared" si="1"/>
        <v>YES</v>
      </c>
    </row>
    <row r="34" spans="1:11" x14ac:dyDescent="0.6">
      <c r="A34" s="76" t="s">
        <v>707</v>
      </c>
      <c r="B34" s="76" t="s">
        <v>523</v>
      </c>
      <c r="C34" s="76" t="s">
        <v>682</v>
      </c>
      <c r="D34" s="76" t="s">
        <v>684</v>
      </c>
      <c r="E34" s="83">
        <v>6</v>
      </c>
      <c r="F34" s="83">
        <v>6</v>
      </c>
      <c r="G34" s="83">
        <v>0</v>
      </c>
      <c r="H34" s="81">
        <v>7.8125</v>
      </c>
      <c r="I34" s="77">
        <f>IF(C34="matter_neutral",(F34/S_split)*R_radix^G34,R_radix^G34*IF(D34="positive",c_plus,c_minus)*F34*(1+F34/R_sq)*IF(C34="anti_charged",IF(D34="negative",A_neg*(1+F34/R_radix^(G34+1)),A_pos*(1-F34/R_radix^(G34+1))),1))</f>
        <v>7.8125000000000009</v>
      </c>
      <c r="J34" s="78">
        <f t="shared" si="0"/>
        <v>0</v>
      </c>
      <c r="K34" s="79" t="str">
        <f t="shared" si="1"/>
        <v>YES</v>
      </c>
    </row>
    <row r="35" spans="1:11" x14ac:dyDescent="0.6">
      <c r="A35" s="76" t="s">
        <v>708</v>
      </c>
      <c r="B35" s="76" t="s">
        <v>523</v>
      </c>
      <c r="C35" s="76" t="s">
        <v>682</v>
      </c>
      <c r="D35" s="76" t="s">
        <v>683</v>
      </c>
      <c r="E35" s="83">
        <v>6</v>
      </c>
      <c r="F35" s="83">
        <v>6</v>
      </c>
      <c r="G35" s="83">
        <v>1</v>
      </c>
      <c r="H35" s="81">
        <v>112.5</v>
      </c>
      <c r="I35" s="77">
        <f>IF(C35="matter_neutral",(F35/S_split)*R_radix^G35,R_radix^G35*IF(D35="positive",c_plus,c_minus)*F35*(1+F35/R_sq)*IF(C35="anti_charged",IF(D35="negative",A_neg*(1+F35/R_radix^(G35+1)),A_pos*(1-F35/R_radix^(G35+1))),1))</f>
        <v>112.50000000000001</v>
      </c>
      <c r="J35" s="78">
        <f t="shared" si="0"/>
        <v>0</v>
      </c>
      <c r="K35" s="79" t="str">
        <f t="shared" si="1"/>
        <v>YES</v>
      </c>
    </row>
    <row r="36" spans="1:11" x14ac:dyDescent="0.6">
      <c r="A36" s="76" t="s">
        <v>709</v>
      </c>
      <c r="B36" s="76" t="s">
        <v>523</v>
      </c>
      <c r="C36" s="76" t="s">
        <v>682</v>
      </c>
      <c r="D36" s="76" t="s">
        <v>684</v>
      </c>
      <c r="E36" s="83">
        <v>6</v>
      </c>
      <c r="F36" s="83">
        <v>6</v>
      </c>
      <c r="G36" s="83">
        <v>1</v>
      </c>
      <c r="H36" s="81">
        <v>93.75</v>
      </c>
      <c r="I36" s="77">
        <f>IF(C36="matter_neutral",(F36/S_split)*R_radix^G36,R_radix^G36*IF(D36="positive",c_plus,c_minus)*F36*(1+F36/R_sq)*IF(C36="anti_charged",IF(D36="negative",A_neg*(1+F36/R_radix^(G36+1)),A_pos*(1-F36/R_radix^(G36+1))),1))</f>
        <v>93.75</v>
      </c>
      <c r="J36" s="78">
        <f t="shared" si="0"/>
        <v>0</v>
      </c>
      <c r="K36" s="79" t="str">
        <f t="shared" si="1"/>
        <v>YES</v>
      </c>
    </row>
    <row r="37" spans="1:11" x14ac:dyDescent="0.6">
      <c r="A37" s="76" t="s">
        <v>710</v>
      </c>
      <c r="B37" s="76" t="s">
        <v>523</v>
      </c>
      <c r="C37" s="76" t="s">
        <v>682</v>
      </c>
      <c r="D37" s="76" t="s">
        <v>683</v>
      </c>
      <c r="E37" s="83">
        <v>6</v>
      </c>
      <c r="F37" s="83">
        <v>6</v>
      </c>
      <c r="G37" s="83">
        <v>2</v>
      </c>
      <c r="H37" s="81">
        <v>1350</v>
      </c>
      <c r="I37" s="77">
        <f>IF(C37="matter_neutral",(F37/S_split)*R_radix^G37,R_radix^G37*IF(D37="positive",c_plus,c_minus)*F37*(1+F37/R_sq)*IF(C37="anti_charged",IF(D37="negative",A_neg*(1+F37/R_radix^(G37+1)),A_pos*(1-F37/R_radix^(G37+1))),1))</f>
        <v>1350</v>
      </c>
      <c r="J37" s="78">
        <f t="shared" si="0"/>
        <v>0</v>
      </c>
      <c r="K37" s="79" t="str">
        <f t="shared" si="1"/>
        <v>YES</v>
      </c>
    </row>
    <row r="38" spans="1:11" x14ac:dyDescent="0.6">
      <c r="A38" s="76" t="s">
        <v>711</v>
      </c>
      <c r="B38" s="76" t="s">
        <v>523</v>
      </c>
      <c r="C38" s="76" t="s">
        <v>682</v>
      </c>
      <c r="D38" s="76" t="s">
        <v>684</v>
      </c>
      <c r="E38" s="83">
        <v>6</v>
      </c>
      <c r="F38" s="83">
        <v>6</v>
      </c>
      <c r="G38" s="83">
        <v>2</v>
      </c>
      <c r="H38" s="81">
        <v>1125</v>
      </c>
      <c r="I38" s="77">
        <f>IF(C38="matter_neutral",(F38/S_split)*R_radix^G38,R_radix^G38*IF(D38="positive",c_plus,c_minus)*F38*(1+F38/R_sq)*IF(C38="anti_charged",IF(D38="negative",A_neg*(1+F38/R_radix^(G38+1)),A_pos*(1-F38/R_radix^(G38+1))),1))</f>
        <v>1125</v>
      </c>
      <c r="J38" s="78">
        <f t="shared" si="0"/>
        <v>0</v>
      </c>
      <c r="K38" s="79" t="str">
        <f t="shared" si="1"/>
        <v>YES</v>
      </c>
    </row>
    <row r="39" spans="1:11" x14ac:dyDescent="0.6">
      <c r="A39" s="76" t="s">
        <v>712</v>
      </c>
      <c r="B39" s="76" t="s">
        <v>523</v>
      </c>
      <c r="C39" s="76" t="s">
        <v>682</v>
      </c>
      <c r="D39" s="76" t="s">
        <v>683</v>
      </c>
      <c r="E39" s="83">
        <v>8</v>
      </c>
      <c r="F39" s="83">
        <v>8</v>
      </c>
      <c r="G39" s="83">
        <v>0</v>
      </c>
      <c r="H39" s="81">
        <v>12.66666667</v>
      </c>
      <c r="I39" s="77">
        <f>IF(C39="matter_neutral",(F39/S_split)*R_radix^G39,R_radix^G39*IF(D39="positive",c_plus,c_minus)*F39*(1+F39/R_sq)*IF(C39="anti_charged",IF(D39="negative",A_neg*(1+F39/R_radix^(G39+1)),A_pos*(1-F39/R_radix^(G39+1))),1))</f>
        <v>12.666666666666668</v>
      </c>
      <c r="J39" s="78">
        <f t="shared" si="0"/>
        <v>-3.3333318327777306E-9</v>
      </c>
      <c r="K39" s="79" t="str">
        <f t="shared" si="1"/>
        <v>YES</v>
      </c>
    </row>
    <row r="40" spans="1:11" x14ac:dyDescent="0.6">
      <c r="A40" s="76" t="s">
        <v>713</v>
      </c>
      <c r="B40" s="76" t="s">
        <v>523</v>
      </c>
      <c r="C40" s="76" t="s">
        <v>682</v>
      </c>
      <c r="D40" s="76" t="s">
        <v>684</v>
      </c>
      <c r="E40" s="83">
        <v>8</v>
      </c>
      <c r="F40" s="83">
        <v>8</v>
      </c>
      <c r="G40" s="83">
        <v>0</v>
      </c>
      <c r="H40" s="81">
        <v>10.55555556</v>
      </c>
      <c r="I40" s="77">
        <f>IF(C40="matter_neutral",(F40/S_split)*R_radix^G40,R_radix^G40*IF(D40="positive",c_plus,c_minus)*F40*(1+F40/R_sq)*IF(C40="anti_charged",IF(D40="negative",A_neg*(1+F40/R_radix^(G40+1)),A_pos*(1-F40/R_radix^(G40+1))),1))</f>
        <v>10.555555555555555</v>
      </c>
      <c r="J40" s="78">
        <f t="shared" si="0"/>
        <v>-4.4444448121794267E-9</v>
      </c>
      <c r="K40" s="79" t="str">
        <f t="shared" si="1"/>
        <v>YES</v>
      </c>
    </row>
    <row r="41" spans="1:11" x14ac:dyDescent="0.6">
      <c r="A41" s="76" t="s">
        <v>714</v>
      </c>
      <c r="B41" s="76" t="s">
        <v>523</v>
      </c>
      <c r="C41" s="76" t="s">
        <v>682</v>
      </c>
      <c r="D41" s="76" t="s">
        <v>683</v>
      </c>
      <c r="E41" s="83">
        <v>8</v>
      </c>
      <c r="F41" s="83">
        <v>8</v>
      </c>
      <c r="G41" s="83">
        <v>1</v>
      </c>
      <c r="H41" s="81">
        <v>152</v>
      </c>
      <c r="I41" s="77">
        <f>IF(C41="matter_neutral",(F41/S_split)*R_radix^G41,R_radix^G41*IF(D41="positive",c_plus,c_minus)*F41*(1+F41/R_sq)*IF(C41="anti_charged",IF(D41="negative",A_neg*(1+F41/R_radix^(G41+1)),A_pos*(1-F41/R_radix^(G41+1))),1))</f>
        <v>152</v>
      </c>
      <c r="J41" s="78">
        <f t="shared" si="0"/>
        <v>0</v>
      </c>
      <c r="K41" s="79" t="str">
        <f t="shared" si="1"/>
        <v>YES</v>
      </c>
    </row>
    <row r="42" spans="1:11" x14ac:dyDescent="0.6">
      <c r="A42" s="76" t="s">
        <v>715</v>
      </c>
      <c r="B42" s="76" t="s">
        <v>523</v>
      </c>
      <c r="C42" s="76" t="s">
        <v>682</v>
      </c>
      <c r="D42" s="76" t="s">
        <v>684</v>
      </c>
      <c r="E42" s="83">
        <v>8</v>
      </c>
      <c r="F42" s="83">
        <v>8</v>
      </c>
      <c r="G42" s="83">
        <v>1</v>
      </c>
      <c r="H42" s="81">
        <v>126.66666669999999</v>
      </c>
      <c r="I42" s="77">
        <f>IF(C42="matter_neutral",(F42/S_split)*R_radix^G42,R_radix^G42*IF(D42="positive",c_plus,c_minus)*F42*(1+F42/R_sq)*IF(C42="anti_charged",IF(D42="negative",A_neg*(1+F42/R_radix^(G42+1)),A_pos*(1-F42/R_radix^(G42+1))),1))</f>
        <v>126.66666666666667</v>
      </c>
      <c r="J42" s="78">
        <f t="shared" si="0"/>
        <v>-3.3333321880490985E-8</v>
      </c>
      <c r="K42" s="79" t="str">
        <f t="shared" si="1"/>
        <v>YES</v>
      </c>
    </row>
    <row r="43" spans="1:11" x14ac:dyDescent="0.6">
      <c r="A43" s="76" t="s">
        <v>716</v>
      </c>
      <c r="B43" s="76" t="s">
        <v>523</v>
      </c>
      <c r="C43" s="76" t="s">
        <v>682</v>
      </c>
      <c r="D43" s="76" t="s">
        <v>683</v>
      </c>
      <c r="E43" s="83">
        <v>8</v>
      </c>
      <c r="F43" s="83">
        <v>8</v>
      </c>
      <c r="G43" s="83">
        <v>2</v>
      </c>
      <c r="H43" s="81">
        <v>1824</v>
      </c>
      <c r="I43" s="77">
        <f>IF(C43="matter_neutral",(F43/S_split)*R_radix^G43,R_radix^G43*IF(D43="positive",c_plus,c_minus)*F43*(1+F43/R_sq)*IF(C43="anti_charged",IF(D43="negative",A_neg*(1+F43/R_radix^(G43+1)),A_pos*(1-F43/R_radix^(G43+1))),1))</f>
        <v>1824</v>
      </c>
      <c r="J43" s="78">
        <f t="shared" si="0"/>
        <v>0</v>
      </c>
      <c r="K43" s="79" t="str">
        <f t="shared" si="1"/>
        <v>YES</v>
      </c>
    </row>
    <row r="44" spans="1:11" x14ac:dyDescent="0.6">
      <c r="A44" s="76" t="s">
        <v>717</v>
      </c>
      <c r="B44" s="76" t="s">
        <v>523</v>
      </c>
      <c r="C44" s="76" t="s">
        <v>682</v>
      </c>
      <c r="D44" s="76" t="s">
        <v>684</v>
      </c>
      <c r="E44" s="83">
        <v>8</v>
      </c>
      <c r="F44" s="83">
        <v>8</v>
      </c>
      <c r="G44" s="83">
        <v>2</v>
      </c>
      <c r="H44" s="81">
        <v>1520</v>
      </c>
      <c r="I44" s="77">
        <f>IF(C44="matter_neutral",(F44/S_split)*R_radix^G44,R_radix^G44*IF(D44="positive",c_plus,c_minus)*F44*(1+F44/R_sq)*IF(C44="anti_charged",IF(D44="negative",A_neg*(1+F44/R_radix^(G44+1)),A_pos*(1-F44/R_radix^(G44+1))),1))</f>
        <v>1520</v>
      </c>
      <c r="J44" s="78">
        <f t="shared" si="0"/>
        <v>0</v>
      </c>
      <c r="K44" s="79" t="str">
        <f t="shared" si="1"/>
        <v>YES</v>
      </c>
    </row>
    <row r="45" spans="1:11" x14ac:dyDescent="0.6">
      <c r="A45" s="76" t="s">
        <v>718</v>
      </c>
      <c r="B45" s="76" t="s">
        <v>523</v>
      </c>
      <c r="C45" s="76" t="s">
        <v>682</v>
      </c>
      <c r="D45" s="76" t="s">
        <v>683</v>
      </c>
      <c r="E45" s="83">
        <v>9</v>
      </c>
      <c r="F45" s="83">
        <v>9</v>
      </c>
      <c r="G45" s="83">
        <v>0</v>
      </c>
      <c r="H45" s="81">
        <v>14.34375</v>
      </c>
      <c r="I45" s="77">
        <f>IF(C45="matter_neutral",(F45/S_split)*R_radix^G45,R_radix^G45*IF(D45="positive",c_plus,c_minus)*F45*(1+F45/R_sq)*IF(C45="anti_charged",IF(D45="negative",A_neg*(1+F45/R_radix^(G45+1)),A_pos*(1-F45/R_radix^(G45+1))),1))</f>
        <v>14.34375</v>
      </c>
      <c r="J45" s="78">
        <f t="shared" si="0"/>
        <v>0</v>
      </c>
      <c r="K45" s="79" t="str">
        <f t="shared" si="1"/>
        <v>YES</v>
      </c>
    </row>
    <row r="46" spans="1:11" x14ac:dyDescent="0.6">
      <c r="A46" s="76" t="s">
        <v>719</v>
      </c>
      <c r="B46" s="76" t="s">
        <v>523</v>
      </c>
      <c r="C46" s="76" t="s">
        <v>682</v>
      </c>
      <c r="D46" s="76" t="s">
        <v>684</v>
      </c>
      <c r="E46" s="83">
        <v>9</v>
      </c>
      <c r="F46" s="83">
        <v>9</v>
      </c>
      <c r="G46" s="83">
        <v>0</v>
      </c>
      <c r="H46" s="81">
        <v>11.953125</v>
      </c>
      <c r="I46" s="77">
        <f>IF(C46="matter_neutral",(F46/S_split)*R_radix^G46,R_radix^G46*IF(D46="positive",c_plus,c_minus)*F46*(1+F46/R_sq)*IF(C46="anti_charged",IF(D46="negative",A_neg*(1+F46/R_radix^(G46+1)),A_pos*(1-F46/R_radix^(G46+1))),1))</f>
        <v>11.953125</v>
      </c>
      <c r="J46" s="78">
        <f t="shared" si="0"/>
        <v>0</v>
      </c>
      <c r="K46" s="79" t="str">
        <f t="shared" si="1"/>
        <v>YES</v>
      </c>
    </row>
    <row r="47" spans="1:11" x14ac:dyDescent="0.6">
      <c r="A47" s="76" t="s">
        <v>720</v>
      </c>
      <c r="B47" s="76" t="s">
        <v>523</v>
      </c>
      <c r="C47" s="76" t="s">
        <v>682</v>
      </c>
      <c r="D47" s="76" t="s">
        <v>683</v>
      </c>
      <c r="E47" s="83">
        <v>9</v>
      </c>
      <c r="F47" s="83">
        <v>9</v>
      </c>
      <c r="G47" s="83">
        <v>1</v>
      </c>
      <c r="H47" s="81">
        <v>172.125</v>
      </c>
      <c r="I47" s="77">
        <f>IF(C47="matter_neutral",(F47/S_split)*R_radix^G47,R_radix^G47*IF(D47="positive",c_plus,c_minus)*F47*(1+F47/R_sq)*IF(C47="anti_charged",IF(D47="negative",A_neg*(1+F47/R_radix^(G47+1)),A_pos*(1-F47/R_radix^(G47+1))),1))</f>
        <v>172.125</v>
      </c>
      <c r="J47" s="78">
        <f t="shared" si="0"/>
        <v>0</v>
      </c>
      <c r="K47" s="79" t="str">
        <f t="shared" si="1"/>
        <v>YES</v>
      </c>
    </row>
    <row r="48" spans="1:11" x14ac:dyDescent="0.6">
      <c r="A48" s="76" t="s">
        <v>721</v>
      </c>
      <c r="B48" s="76" t="s">
        <v>523</v>
      </c>
      <c r="C48" s="76" t="s">
        <v>682</v>
      </c>
      <c r="D48" s="76" t="s">
        <v>684</v>
      </c>
      <c r="E48" s="83">
        <v>9</v>
      </c>
      <c r="F48" s="83">
        <v>9</v>
      </c>
      <c r="G48" s="83">
        <v>1</v>
      </c>
      <c r="H48" s="81">
        <v>143.4375</v>
      </c>
      <c r="I48" s="77">
        <f>IF(C48="matter_neutral",(F48/S_split)*R_radix^G48,R_radix^G48*IF(D48="positive",c_plus,c_minus)*F48*(1+F48/R_sq)*IF(C48="anti_charged",IF(D48="negative",A_neg*(1+F48/R_radix^(G48+1)),A_pos*(1-F48/R_radix^(G48+1))),1))</f>
        <v>143.4375</v>
      </c>
      <c r="J48" s="78">
        <f t="shared" si="0"/>
        <v>0</v>
      </c>
      <c r="K48" s="79" t="str">
        <f t="shared" si="1"/>
        <v>YES</v>
      </c>
    </row>
    <row r="49" spans="1:11" x14ac:dyDescent="0.6">
      <c r="A49" s="76" t="s">
        <v>722</v>
      </c>
      <c r="B49" s="76" t="s">
        <v>523</v>
      </c>
      <c r="C49" s="76" t="s">
        <v>682</v>
      </c>
      <c r="D49" s="76" t="s">
        <v>683</v>
      </c>
      <c r="E49" s="83">
        <v>9</v>
      </c>
      <c r="F49" s="83">
        <v>9</v>
      </c>
      <c r="G49" s="83">
        <v>2</v>
      </c>
      <c r="H49" s="81">
        <v>2065.5</v>
      </c>
      <c r="I49" s="77">
        <f>IF(C49="matter_neutral",(F49/S_split)*R_radix^G49,R_radix^G49*IF(D49="positive",c_plus,c_minus)*F49*(1+F49/R_sq)*IF(C49="anti_charged",IF(D49="negative",A_neg*(1+F49/R_radix^(G49+1)),A_pos*(1-F49/R_radix^(G49+1))),1))</f>
        <v>2065.5</v>
      </c>
      <c r="J49" s="78">
        <f t="shared" si="0"/>
        <v>0</v>
      </c>
      <c r="K49" s="79" t="str">
        <f t="shared" si="1"/>
        <v>YES</v>
      </c>
    </row>
    <row r="50" spans="1:11" x14ac:dyDescent="0.6">
      <c r="A50" s="76" t="s">
        <v>723</v>
      </c>
      <c r="B50" s="76" t="s">
        <v>523</v>
      </c>
      <c r="C50" s="76" t="s">
        <v>682</v>
      </c>
      <c r="D50" s="76" t="s">
        <v>684</v>
      </c>
      <c r="E50" s="83">
        <v>9</v>
      </c>
      <c r="F50" s="83">
        <v>9</v>
      </c>
      <c r="G50" s="83">
        <v>2</v>
      </c>
      <c r="H50" s="81">
        <v>1721.25</v>
      </c>
      <c r="I50" s="77">
        <f>IF(C50="matter_neutral",(F50/S_split)*R_radix^G50,R_radix^G50*IF(D50="positive",c_plus,c_minus)*F50*(1+F50/R_sq)*IF(C50="anti_charged",IF(D50="negative",A_neg*(1+F50/R_radix^(G50+1)),A_pos*(1-F50/R_radix^(G50+1))),1))</f>
        <v>1721.25</v>
      </c>
      <c r="J50" s="78">
        <f t="shared" si="0"/>
        <v>0</v>
      </c>
      <c r="K50" s="79" t="str">
        <f t="shared" si="1"/>
        <v>YES</v>
      </c>
    </row>
    <row r="51" spans="1:11" x14ac:dyDescent="0.6">
      <c r="A51" s="76" t="s">
        <v>724</v>
      </c>
      <c r="B51" s="76" t="s">
        <v>523</v>
      </c>
      <c r="C51" s="76" t="s">
        <v>682</v>
      </c>
      <c r="D51" s="76" t="s">
        <v>683</v>
      </c>
      <c r="E51" s="83">
        <v>12</v>
      </c>
      <c r="F51" s="83">
        <v>12</v>
      </c>
      <c r="G51" s="83">
        <v>0</v>
      </c>
      <c r="H51" s="81">
        <v>19.5</v>
      </c>
      <c r="I51" s="77">
        <f>IF(C51="matter_neutral",(F51/S_split)*R_radix^G51,R_radix^G51*IF(D51="positive",c_plus,c_minus)*F51*(1+F51/R_sq)*IF(C51="anti_charged",IF(D51="negative",A_neg*(1+F51/R_radix^(G51+1)),A_pos*(1-F51/R_radix^(G51+1))),1))</f>
        <v>19.5</v>
      </c>
      <c r="J51" s="78">
        <f t="shared" si="0"/>
        <v>0</v>
      </c>
      <c r="K51" s="79" t="str">
        <f t="shared" si="1"/>
        <v>YES</v>
      </c>
    </row>
    <row r="52" spans="1:11" x14ac:dyDescent="0.6">
      <c r="A52" s="76" t="s">
        <v>725</v>
      </c>
      <c r="B52" s="76" t="s">
        <v>523</v>
      </c>
      <c r="C52" s="76" t="s">
        <v>682</v>
      </c>
      <c r="D52" s="76" t="s">
        <v>684</v>
      </c>
      <c r="E52" s="83">
        <v>12</v>
      </c>
      <c r="F52" s="83">
        <v>12</v>
      </c>
      <c r="G52" s="83">
        <v>0</v>
      </c>
      <c r="H52" s="81">
        <v>16.25</v>
      </c>
      <c r="I52" s="77">
        <f>IF(C52="matter_neutral",(F52/S_split)*R_radix^G52,R_radix^G52*IF(D52="positive",c_plus,c_minus)*F52*(1+F52/R_sq)*IF(C52="anti_charged",IF(D52="negative",A_neg*(1+F52/R_radix^(G52+1)),A_pos*(1-F52/R_radix^(G52+1))),1))</f>
        <v>16.25</v>
      </c>
      <c r="J52" s="78">
        <f t="shared" si="0"/>
        <v>0</v>
      </c>
      <c r="K52" s="79" t="str">
        <f t="shared" si="1"/>
        <v>YES</v>
      </c>
    </row>
    <row r="53" spans="1:11" x14ac:dyDescent="0.6">
      <c r="A53" s="76" t="s">
        <v>726</v>
      </c>
      <c r="B53" s="76" t="s">
        <v>523</v>
      </c>
      <c r="C53" s="76" t="s">
        <v>682</v>
      </c>
      <c r="D53" s="76" t="s">
        <v>683</v>
      </c>
      <c r="E53" s="83">
        <v>12</v>
      </c>
      <c r="F53" s="83">
        <v>12</v>
      </c>
      <c r="G53" s="83">
        <v>1</v>
      </c>
      <c r="H53" s="81">
        <v>234</v>
      </c>
      <c r="I53" s="77">
        <f>IF(C53="matter_neutral",(F53/S_split)*R_radix^G53,R_radix^G53*IF(D53="positive",c_plus,c_minus)*F53*(1+F53/R_sq)*IF(C53="anti_charged",IF(D53="negative",A_neg*(1+F53/R_radix^(G53+1)),A_pos*(1-F53/R_radix^(G53+1))),1))</f>
        <v>233.99999999999997</v>
      </c>
      <c r="J53" s="78">
        <f t="shared" si="0"/>
        <v>0</v>
      </c>
      <c r="K53" s="79" t="str">
        <f t="shared" si="1"/>
        <v>YES</v>
      </c>
    </row>
    <row r="54" spans="1:11" x14ac:dyDescent="0.6">
      <c r="A54" s="76" t="s">
        <v>727</v>
      </c>
      <c r="B54" s="76" t="s">
        <v>523</v>
      </c>
      <c r="C54" s="76" t="s">
        <v>682</v>
      </c>
      <c r="D54" s="76" t="s">
        <v>684</v>
      </c>
      <c r="E54" s="83">
        <v>12</v>
      </c>
      <c r="F54" s="83">
        <v>12</v>
      </c>
      <c r="G54" s="83">
        <v>1</v>
      </c>
      <c r="H54" s="81">
        <v>195</v>
      </c>
      <c r="I54" s="77">
        <f>IF(C54="matter_neutral",(F54/S_split)*R_radix^G54,R_radix^G54*IF(D54="positive",c_plus,c_minus)*F54*(1+F54/R_sq)*IF(C54="anti_charged",IF(D54="negative",A_neg*(1+F54/R_radix^(G54+1)),A_pos*(1-F54/R_radix^(G54+1))),1))</f>
        <v>195</v>
      </c>
      <c r="J54" s="78">
        <f t="shared" si="0"/>
        <v>0</v>
      </c>
      <c r="K54" s="79" t="str">
        <f t="shared" si="1"/>
        <v>YES</v>
      </c>
    </row>
    <row r="55" spans="1:11" x14ac:dyDescent="0.6">
      <c r="A55" s="76" t="s">
        <v>728</v>
      </c>
      <c r="B55" s="76" t="s">
        <v>523</v>
      </c>
      <c r="C55" s="76" t="s">
        <v>682</v>
      </c>
      <c r="D55" s="76" t="s">
        <v>683</v>
      </c>
      <c r="E55" s="83">
        <v>12</v>
      </c>
      <c r="F55" s="83">
        <v>12</v>
      </c>
      <c r="G55" s="83">
        <v>2</v>
      </c>
      <c r="H55" s="81">
        <v>2808</v>
      </c>
      <c r="I55" s="77">
        <f>IF(C55="matter_neutral",(F55/S_split)*R_radix^G55,R_radix^G55*IF(D55="positive",c_plus,c_minus)*F55*(1+F55/R_sq)*IF(C55="anti_charged",IF(D55="negative",A_neg*(1+F55/R_radix^(G55+1)),A_pos*(1-F55/R_radix^(G55+1))),1))</f>
        <v>2808</v>
      </c>
      <c r="J55" s="78">
        <f t="shared" si="0"/>
        <v>0</v>
      </c>
      <c r="K55" s="79" t="str">
        <f t="shared" si="1"/>
        <v>YES</v>
      </c>
    </row>
    <row r="56" spans="1:11" x14ac:dyDescent="0.6">
      <c r="A56" s="76" t="s">
        <v>729</v>
      </c>
      <c r="B56" s="76" t="s">
        <v>523</v>
      </c>
      <c r="C56" s="76" t="s">
        <v>682</v>
      </c>
      <c r="D56" s="76" t="s">
        <v>684</v>
      </c>
      <c r="E56" s="83">
        <v>12</v>
      </c>
      <c r="F56" s="83">
        <v>12</v>
      </c>
      <c r="G56" s="83">
        <v>2</v>
      </c>
      <c r="H56" s="81">
        <v>2340</v>
      </c>
      <c r="I56" s="77">
        <f>IF(C56="matter_neutral",(F56/S_split)*R_radix^G56,R_radix^G56*IF(D56="positive",c_plus,c_minus)*F56*(1+F56/R_sq)*IF(C56="anti_charged",IF(D56="negative",A_neg*(1+F56/R_radix^(G56+1)),A_pos*(1-F56/R_radix^(G56+1))),1))</f>
        <v>2340</v>
      </c>
      <c r="J56" s="78">
        <f t="shared" si="0"/>
        <v>0</v>
      </c>
      <c r="K56" s="79" t="str">
        <f t="shared" si="1"/>
        <v>YES</v>
      </c>
    </row>
    <row r="57" spans="1:11" x14ac:dyDescent="0.6">
      <c r="A57" s="76" t="s">
        <v>730</v>
      </c>
      <c r="B57" s="76" t="s">
        <v>523</v>
      </c>
      <c r="C57" s="76" t="s">
        <v>731</v>
      </c>
      <c r="D57" s="76" t="s">
        <v>732</v>
      </c>
      <c r="E57" s="83">
        <v>0</v>
      </c>
      <c r="F57" s="83">
        <v>1</v>
      </c>
      <c r="G57" s="83">
        <v>0</v>
      </c>
      <c r="H57" s="81">
        <v>0.125</v>
      </c>
      <c r="I57" s="77">
        <f>IF(C57="matter_neutral",(F57/S_split)*R_radix^G57,R_radix^G57*IF(D57="positive",c_plus,c_minus)*F57*(1+F57/R_sq)*IF(C57="anti_charged",IF(D57="negative",A_neg*(1+F57/R_radix^(G57+1)),A_pos*(1-F57/R_radix^(G57+1))),1))</f>
        <v>0.125</v>
      </c>
      <c r="J57" s="78">
        <f t="shared" si="0"/>
        <v>0</v>
      </c>
      <c r="K57" s="79" t="str">
        <f t="shared" si="1"/>
        <v>YES</v>
      </c>
    </row>
    <row r="58" spans="1:11" x14ac:dyDescent="0.6">
      <c r="A58" s="76" t="s">
        <v>733</v>
      </c>
      <c r="B58" s="76" t="s">
        <v>523</v>
      </c>
      <c r="C58" s="76" t="s">
        <v>731</v>
      </c>
      <c r="D58" s="76" t="s">
        <v>732</v>
      </c>
      <c r="E58" s="83">
        <v>0</v>
      </c>
      <c r="F58" s="83">
        <v>1</v>
      </c>
      <c r="G58" s="83">
        <v>1</v>
      </c>
      <c r="H58" s="81">
        <v>1.5</v>
      </c>
      <c r="I58" s="77">
        <f>IF(C58="matter_neutral",(F58/S_split)*R_radix^G58,R_radix^G58*IF(D58="positive",c_plus,c_minus)*F58*(1+F58/R_sq)*IF(C58="anti_charged",IF(D58="negative",A_neg*(1+F58/R_radix^(G58+1)),A_pos*(1-F58/R_radix^(G58+1))),1))</f>
        <v>1.5</v>
      </c>
      <c r="J58" s="78">
        <f t="shared" si="0"/>
        <v>0</v>
      </c>
      <c r="K58" s="79" t="str">
        <f t="shared" si="1"/>
        <v>YES</v>
      </c>
    </row>
    <row r="59" spans="1:11" x14ac:dyDescent="0.6">
      <c r="A59" s="76" t="s">
        <v>734</v>
      </c>
      <c r="B59" s="76" t="s">
        <v>523</v>
      </c>
      <c r="C59" s="76" t="s">
        <v>731</v>
      </c>
      <c r="D59" s="76" t="s">
        <v>732</v>
      </c>
      <c r="E59" s="83">
        <v>0</v>
      </c>
      <c r="F59" s="83">
        <v>1</v>
      </c>
      <c r="G59" s="83">
        <v>2</v>
      </c>
      <c r="H59" s="81">
        <v>18</v>
      </c>
      <c r="I59" s="77">
        <f>IF(C59="matter_neutral",(F59/S_split)*R_radix^G59,R_radix^G59*IF(D59="positive",c_plus,c_minus)*F59*(1+F59/R_sq)*IF(C59="anti_charged",IF(D59="negative",A_neg*(1+F59/R_radix^(G59+1)),A_pos*(1-F59/R_radix^(G59+1))),1))</f>
        <v>18</v>
      </c>
      <c r="J59" s="78">
        <f t="shared" si="0"/>
        <v>0</v>
      </c>
      <c r="K59" s="79" t="str">
        <f t="shared" si="1"/>
        <v>YES</v>
      </c>
    </row>
    <row r="60" spans="1:11" x14ac:dyDescent="0.6">
      <c r="A60" s="76" t="s">
        <v>735</v>
      </c>
      <c r="B60" s="76" t="s">
        <v>523</v>
      </c>
      <c r="C60" s="76" t="s">
        <v>731</v>
      </c>
      <c r="D60" s="76" t="s">
        <v>732</v>
      </c>
      <c r="E60" s="83">
        <v>0</v>
      </c>
      <c r="F60" s="83">
        <v>2</v>
      </c>
      <c r="G60" s="83">
        <v>0</v>
      </c>
      <c r="H60" s="81">
        <v>0.25</v>
      </c>
      <c r="I60" s="77">
        <f>IF(C60="matter_neutral",(F60/S_split)*R_radix^G60,R_radix^G60*IF(D60="positive",c_plus,c_minus)*F60*(1+F60/R_sq)*IF(C60="anti_charged",IF(D60="negative",A_neg*(1+F60/R_radix^(G60+1)),A_pos*(1-F60/R_radix^(G60+1))),1))</f>
        <v>0.25</v>
      </c>
      <c r="J60" s="78">
        <f t="shared" si="0"/>
        <v>0</v>
      </c>
      <c r="K60" s="79" t="str">
        <f t="shared" si="1"/>
        <v>YES</v>
      </c>
    </row>
    <row r="61" spans="1:11" x14ac:dyDescent="0.6">
      <c r="A61" s="76" t="s">
        <v>736</v>
      </c>
      <c r="B61" s="76" t="s">
        <v>523</v>
      </c>
      <c r="C61" s="76" t="s">
        <v>731</v>
      </c>
      <c r="D61" s="76" t="s">
        <v>732</v>
      </c>
      <c r="E61" s="83">
        <v>0</v>
      </c>
      <c r="F61" s="83">
        <v>2</v>
      </c>
      <c r="G61" s="83">
        <v>1</v>
      </c>
      <c r="H61" s="81">
        <v>3</v>
      </c>
      <c r="I61" s="77">
        <f>IF(C61="matter_neutral",(F61/S_split)*R_radix^G61,R_radix^G61*IF(D61="positive",c_plus,c_minus)*F61*(1+F61/R_sq)*IF(C61="anti_charged",IF(D61="negative",A_neg*(1+F61/R_radix^(G61+1)),A_pos*(1-F61/R_radix^(G61+1))),1))</f>
        <v>3</v>
      </c>
      <c r="J61" s="78">
        <f t="shared" si="0"/>
        <v>0</v>
      </c>
      <c r="K61" s="79" t="str">
        <f t="shared" si="1"/>
        <v>YES</v>
      </c>
    </row>
    <row r="62" spans="1:11" x14ac:dyDescent="0.6">
      <c r="A62" s="76" t="s">
        <v>737</v>
      </c>
      <c r="B62" s="76" t="s">
        <v>523</v>
      </c>
      <c r="C62" s="76" t="s">
        <v>731</v>
      </c>
      <c r="D62" s="76" t="s">
        <v>732</v>
      </c>
      <c r="E62" s="83">
        <v>0</v>
      </c>
      <c r="F62" s="83">
        <v>2</v>
      </c>
      <c r="G62" s="83">
        <v>2</v>
      </c>
      <c r="H62" s="81">
        <v>36</v>
      </c>
      <c r="I62" s="77">
        <f>IF(C62="matter_neutral",(F62/S_split)*R_radix^G62,R_radix^G62*IF(D62="positive",c_plus,c_minus)*F62*(1+F62/R_sq)*IF(C62="anti_charged",IF(D62="negative",A_neg*(1+F62/R_radix^(G62+1)),A_pos*(1-F62/R_radix^(G62+1))),1))</f>
        <v>36</v>
      </c>
      <c r="J62" s="78">
        <f t="shared" si="0"/>
        <v>0</v>
      </c>
      <c r="K62" s="79" t="str">
        <f t="shared" si="1"/>
        <v>YES</v>
      </c>
    </row>
    <row r="63" spans="1:11" x14ac:dyDescent="0.6">
      <c r="A63" s="76" t="s">
        <v>738</v>
      </c>
      <c r="B63" s="76" t="s">
        <v>523</v>
      </c>
      <c r="C63" s="76" t="s">
        <v>731</v>
      </c>
      <c r="D63" s="76" t="s">
        <v>732</v>
      </c>
      <c r="E63" s="83">
        <v>0</v>
      </c>
      <c r="F63" s="83">
        <v>3</v>
      </c>
      <c r="G63" s="83">
        <v>0</v>
      </c>
      <c r="H63" s="81">
        <v>0.375</v>
      </c>
      <c r="I63" s="77">
        <f>IF(C63="matter_neutral",(F63/S_split)*R_radix^G63,R_radix^G63*IF(D63="positive",c_plus,c_minus)*F63*(1+F63/R_sq)*IF(C63="anti_charged",IF(D63="negative",A_neg*(1+F63/R_radix^(G63+1)),A_pos*(1-F63/R_radix^(G63+1))),1))</f>
        <v>0.375</v>
      </c>
      <c r="J63" s="78">
        <f t="shared" si="0"/>
        <v>0</v>
      </c>
      <c r="K63" s="79" t="str">
        <f t="shared" si="1"/>
        <v>YES</v>
      </c>
    </row>
    <row r="64" spans="1:11" x14ac:dyDescent="0.6">
      <c r="A64" s="76" t="s">
        <v>739</v>
      </c>
      <c r="B64" s="76" t="s">
        <v>523</v>
      </c>
      <c r="C64" s="76" t="s">
        <v>731</v>
      </c>
      <c r="D64" s="76" t="s">
        <v>732</v>
      </c>
      <c r="E64" s="83">
        <v>0</v>
      </c>
      <c r="F64" s="83">
        <v>3</v>
      </c>
      <c r="G64" s="83">
        <v>1</v>
      </c>
      <c r="H64" s="81">
        <v>4.5</v>
      </c>
      <c r="I64" s="77">
        <f>IF(C64="matter_neutral",(F64/S_split)*R_radix^G64,R_radix^G64*IF(D64="positive",c_plus,c_minus)*F64*(1+F64/R_sq)*IF(C64="anti_charged",IF(D64="negative",A_neg*(1+F64/R_radix^(G64+1)),A_pos*(1-F64/R_radix^(G64+1))),1))</f>
        <v>4.5</v>
      </c>
      <c r="J64" s="78">
        <f t="shared" si="0"/>
        <v>0</v>
      </c>
      <c r="K64" s="79" t="str">
        <f t="shared" si="1"/>
        <v>YES</v>
      </c>
    </row>
    <row r="65" spans="1:11" x14ac:dyDescent="0.6">
      <c r="A65" s="76" t="s">
        <v>740</v>
      </c>
      <c r="B65" s="76" t="s">
        <v>523</v>
      </c>
      <c r="C65" s="76" t="s">
        <v>731</v>
      </c>
      <c r="D65" s="76" t="s">
        <v>732</v>
      </c>
      <c r="E65" s="83">
        <v>0</v>
      </c>
      <c r="F65" s="83">
        <v>3</v>
      </c>
      <c r="G65" s="83">
        <v>2</v>
      </c>
      <c r="H65" s="81">
        <v>54</v>
      </c>
      <c r="I65" s="77">
        <f>IF(C65="matter_neutral",(F65/S_split)*R_radix^G65,R_radix^G65*IF(D65="positive",c_plus,c_minus)*F65*(1+F65/R_sq)*IF(C65="anti_charged",IF(D65="negative",A_neg*(1+F65/R_radix^(G65+1)),A_pos*(1-F65/R_radix^(G65+1))),1))</f>
        <v>54</v>
      </c>
      <c r="J65" s="78">
        <f t="shared" si="0"/>
        <v>0</v>
      </c>
      <c r="K65" s="79" t="str">
        <f t="shared" si="1"/>
        <v>YES</v>
      </c>
    </row>
    <row r="66" spans="1:11" x14ac:dyDescent="0.6">
      <c r="A66" s="76" t="s">
        <v>741</v>
      </c>
      <c r="B66" s="76" t="s">
        <v>523</v>
      </c>
      <c r="C66" s="76" t="s">
        <v>731</v>
      </c>
      <c r="D66" s="76" t="s">
        <v>732</v>
      </c>
      <c r="E66" s="83">
        <v>0</v>
      </c>
      <c r="F66" s="83">
        <v>4</v>
      </c>
      <c r="G66" s="83">
        <v>0</v>
      </c>
      <c r="H66" s="81">
        <v>0.5</v>
      </c>
      <c r="I66" s="77">
        <f>IF(C66="matter_neutral",(F66/S_split)*R_radix^G66,R_radix^G66*IF(D66="positive",c_plus,c_minus)*F66*(1+F66/R_sq)*IF(C66="anti_charged",IF(D66="negative",A_neg*(1+F66/R_radix^(G66+1)),A_pos*(1-F66/R_radix^(G66+1))),1))</f>
        <v>0.5</v>
      </c>
      <c r="J66" s="78">
        <f t="shared" si="0"/>
        <v>0</v>
      </c>
      <c r="K66" s="79" t="str">
        <f t="shared" si="1"/>
        <v>YES</v>
      </c>
    </row>
    <row r="67" spans="1:11" x14ac:dyDescent="0.6">
      <c r="A67" s="76" t="s">
        <v>742</v>
      </c>
      <c r="B67" s="76" t="s">
        <v>523</v>
      </c>
      <c r="C67" s="76" t="s">
        <v>731</v>
      </c>
      <c r="D67" s="76" t="s">
        <v>732</v>
      </c>
      <c r="E67" s="83">
        <v>0</v>
      </c>
      <c r="F67" s="83">
        <v>4</v>
      </c>
      <c r="G67" s="83">
        <v>1</v>
      </c>
      <c r="H67" s="81">
        <v>6</v>
      </c>
      <c r="I67" s="77">
        <f>IF(C67="matter_neutral",(F67/S_split)*R_radix^G67,R_radix^G67*IF(D67="positive",c_plus,c_minus)*F67*(1+F67/R_sq)*IF(C67="anti_charged",IF(D67="negative",A_neg*(1+F67/R_radix^(G67+1)),A_pos*(1-F67/R_radix^(G67+1))),1))</f>
        <v>6</v>
      </c>
      <c r="J67" s="78">
        <f t="shared" si="0"/>
        <v>0</v>
      </c>
      <c r="K67" s="79" t="str">
        <f t="shared" si="1"/>
        <v>YES</v>
      </c>
    </row>
    <row r="68" spans="1:11" x14ac:dyDescent="0.6">
      <c r="A68" s="76" t="s">
        <v>743</v>
      </c>
      <c r="B68" s="76" t="s">
        <v>523</v>
      </c>
      <c r="C68" s="76" t="s">
        <v>731</v>
      </c>
      <c r="D68" s="76" t="s">
        <v>732</v>
      </c>
      <c r="E68" s="83">
        <v>0</v>
      </c>
      <c r="F68" s="83">
        <v>4</v>
      </c>
      <c r="G68" s="83">
        <v>2</v>
      </c>
      <c r="H68" s="81">
        <v>72</v>
      </c>
      <c r="I68" s="77">
        <f>IF(C68="matter_neutral",(F68/S_split)*R_radix^G68,R_radix^G68*IF(D68="positive",c_plus,c_minus)*F68*(1+F68/R_sq)*IF(C68="anti_charged",IF(D68="negative",A_neg*(1+F68/R_radix^(G68+1)),A_pos*(1-F68/R_radix^(G68+1))),1))</f>
        <v>72</v>
      </c>
      <c r="J68" s="78">
        <f t="shared" si="0"/>
        <v>0</v>
      </c>
      <c r="K68" s="79" t="str">
        <f t="shared" si="1"/>
        <v>YES</v>
      </c>
    </row>
    <row r="69" spans="1:11" x14ac:dyDescent="0.6">
      <c r="A69" s="76" t="s">
        <v>744</v>
      </c>
      <c r="B69" s="76" t="s">
        <v>523</v>
      </c>
      <c r="C69" s="76" t="s">
        <v>731</v>
      </c>
      <c r="D69" s="76" t="s">
        <v>732</v>
      </c>
      <c r="E69" s="83">
        <v>0</v>
      </c>
      <c r="F69" s="83">
        <v>6</v>
      </c>
      <c r="G69" s="83">
        <v>0</v>
      </c>
      <c r="H69" s="81">
        <v>0.75</v>
      </c>
      <c r="I69" s="77">
        <f>IF(C69="matter_neutral",(F69/S_split)*R_radix^G69,R_radix^G69*IF(D69="positive",c_plus,c_minus)*F69*(1+F69/R_sq)*IF(C69="anti_charged",IF(D69="negative",A_neg*(1+F69/R_radix^(G69+1)),A_pos*(1-F69/R_radix^(G69+1))),1))</f>
        <v>0.75</v>
      </c>
      <c r="J69" s="78">
        <f t="shared" si="0"/>
        <v>0</v>
      </c>
      <c r="K69" s="79" t="str">
        <f t="shared" si="1"/>
        <v>YES</v>
      </c>
    </row>
    <row r="70" spans="1:11" x14ac:dyDescent="0.6">
      <c r="A70" s="76" t="s">
        <v>745</v>
      </c>
      <c r="B70" s="76" t="s">
        <v>523</v>
      </c>
      <c r="C70" s="76" t="s">
        <v>731</v>
      </c>
      <c r="D70" s="76" t="s">
        <v>732</v>
      </c>
      <c r="E70" s="83">
        <v>0</v>
      </c>
      <c r="F70" s="83">
        <v>6</v>
      </c>
      <c r="G70" s="83">
        <v>1</v>
      </c>
      <c r="H70" s="81">
        <v>9</v>
      </c>
      <c r="I70" s="77">
        <f>IF(C70="matter_neutral",(F70/S_split)*R_radix^G70,R_radix^G70*IF(D70="positive",c_plus,c_minus)*F70*(1+F70/R_sq)*IF(C70="anti_charged",IF(D70="negative",A_neg*(1+F70/R_radix^(G70+1)),A_pos*(1-F70/R_radix^(G70+1))),1))</f>
        <v>9</v>
      </c>
      <c r="J70" s="78">
        <f t="shared" si="0"/>
        <v>0</v>
      </c>
      <c r="K70" s="79" t="str">
        <f t="shared" si="1"/>
        <v>YES</v>
      </c>
    </row>
    <row r="71" spans="1:11" x14ac:dyDescent="0.6">
      <c r="A71" s="76" t="s">
        <v>746</v>
      </c>
      <c r="B71" s="76" t="s">
        <v>523</v>
      </c>
      <c r="C71" s="76" t="s">
        <v>731</v>
      </c>
      <c r="D71" s="76" t="s">
        <v>732</v>
      </c>
      <c r="E71" s="83">
        <v>0</v>
      </c>
      <c r="F71" s="83">
        <v>6</v>
      </c>
      <c r="G71" s="83">
        <v>2</v>
      </c>
      <c r="H71" s="81">
        <v>108</v>
      </c>
      <c r="I71" s="77">
        <f>IF(C71="matter_neutral",(F71/S_split)*R_radix^G71,R_radix^G71*IF(D71="positive",c_plus,c_minus)*F71*(1+F71/R_sq)*IF(C71="anti_charged",IF(D71="negative",A_neg*(1+F71/R_radix^(G71+1)),A_pos*(1-F71/R_radix^(G71+1))),1))</f>
        <v>108</v>
      </c>
      <c r="J71" s="78">
        <f t="shared" si="0"/>
        <v>0</v>
      </c>
      <c r="K71" s="79" t="str">
        <f t="shared" si="1"/>
        <v>YES</v>
      </c>
    </row>
    <row r="72" spans="1:11" x14ac:dyDescent="0.6">
      <c r="A72" s="76" t="s">
        <v>747</v>
      </c>
      <c r="B72" s="76" t="s">
        <v>523</v>
      </c>
      <c r="C72" s="76" t="s">
        <v>731</v>
      </c>
      <c r="D72" s="76" t="s">
        <v>732</v>
      </c>
      <c r="E72" s="83">
        <v>0</v>
      </c>
      <c r="F72" s="83">
        <v>8</v>
      </c>
      <c r="G72" s="83">
        <v>0</v>
      </c>
      <c r="H72" s="81">
        <v>1</v>
      </c>
      <c r="I72" s="77">
        <f>IF(C72="matter_neutral",(F72/S_split)*R_radix^G72,R_radix^G72*IF(D72="positive",c_plus,c_minus)*F72*(1+F72/R_sq)*IF(C72="anti_charged",IF(D72="negative",A_neg*(1+F72/R_radix^(G72+1)),A_pos*(1-F72/R_radix^(G72+1))),1))</f>
        <v>1</v>
      </c>
      <c r="J72" s="78">
        <f t="shared" si="0"/>
        <v>0</v>
      </c>
      <c r="K72" s="79" t="str">
        <f t="shared" si="1"/>
        <v>YES</v>
      </c>
    </row>
    <row r="73" spans="1:11" x14ac:dyDescent="0.6">
      <c r="A73" s="76" t="s">
        <v>748</v>
      </c>
      <c r="B73" s="76" t="s">
        <v>523</v>
      </c>
      <c r="C73" s="76" t="s">
        <v>731</v>
      </c>
      <c r="D73" s="76" t="s">
        <v>732</v>
      </c>
      <c r="E73" s="83">
        <v>0</v>
      </c>
      <c r="F73" s="83">
        <v>8</v>
      </c>
      <c r="G73" s="83">
        <v>1</v>
      </c>
      <c r="H73" s="81">
        <v>12</v>
      </c>
      <c r="I73" s="77">
        <f>IF(C73="matter_neutral",(F73/S_split)*R_radix^G73,R_radix^G73*IF(D73="positive",c_plus,c_minus)*F73*(1+F73/R_sq)*IF(C73="anti_charged",IF(D73="negative",A_neg*(1+F73/R_radix^(G73+1)),A_pos*(1-F73/R_radix^(G73+1))),1))</f>
        <v>12</v>
      </c>
      <c r="J73" s="78">
        <f t="shared" si="0"/>
        <v>0</v>
      </c>
      <c r="K73" s="79" t="str">
        <f t="shared" si="1"/>
        <v>YES</v>
      </c>
    </row>
    <row r="74" spans="1:11" x14ac:dyDescent="0.6">
      <c r="A74" s="76" t="s">
        <v>749</v>
      </c>
      <c r="B74" s="76" t="s">
        <v>523</v>
      </c>
      <c r="C74" s="76" t="s">
        <v>731</v>
      </c>
      <c r="D74" s="76" t="s">
        <v>732</v>
      </c>
      <c r="E74" s="83">
        <v>0</v>
      </c>
      <c r="F74" s="83">
        <v>8</v>
      </c>
      <c r="G74" s="83">
        <v>2</v>
      </c>
      <c r="H74" s="81">
        <v>144</v>
      </c>
      <c r="I74" s="77">
        <f>IF(C74="matter_neutral",(F74/S_split)*R_radix^G74,R_radix^G74*IF(D74="positive",c_plus,c_minus)*F74*(1+F74/R_sq)*IF(C74="anti_charged",IF(D74="negative",A_neg*(1+F74/R_radix^(G74+1)),A_pos*(1-F74/R_radix^(G74+1))),1))</f>
        <v>144</v>
      </c>
      <c r="J74" s="78">
        <f t="shared" ref="J74:J122" si="2">I74-H74</f>
        <v>0</v>
      </c>
      <c r="K74" s="79" t="str">
        <f t="shared" ref="K74:K122" si="3">IF(ABS(J74)&lt;0.0000001,"YES","check")</f>
        <v>YES</v>
      </c>
    </row>
    <row r="75" spans="1:11" x14ac:dyDescent="0.6">
      <c r="A75" s="76" t="s">
        <v>750</v>
      </c>
      <c r="B75" s="76" t="s">
        <v>523</v>
      </c>
      <c r="C75" s="76" t="s">
        <v>731</v>
      </c>
      <c r="D75" s="76" t="s">
        <v>732</v>
      </c>
      <c r="E75" s="83">
        <v>0</v>
      </c>
      <c r="F75" s="83">
        <v>9</v>
      </c>
      <c r="G75" s="83">
        <v>0</v>
      </c>
      <c r="H75" s="81">
        <v>1.125</v>
      </c>
      <c r="I75" s="77">
        <f>IF(C75="matter_neutral",(F75/S_split)*R_radix^G75,R_radix^G75*IF(D75="positive",c_plus,c_minus)*F75*(1+F75/R_sq)*IF(C75="anti_charged",IF(D75="negative",A_neg*(1+F75/R_radix^(G75+1)),A_pos*(1-F75/R_radix^(G75+1))),1))</f>
        <v>1.125</v>
      </c>
      <c r="J75" s="78">
        <f t="shared" si="2"/>
        <v>0</v>
      </c>
      <c r="K75" s="79" t="str">
        <f t="shared" si="3"/>
        <v>YES</v>
      </c>
    </row>
    <row r="76" spans="1:11" x14ac:dyDescent="0.6">
      <c r="A76" s="76" t="s">
        <v>751</v>
      </c>
      <c r="B76" s="76" t="s">
        <v>523</v>
      </c>
      <c r="C76" s="76" t="s">
        <v>731</v>
      </c>
      <c r="D76" s="76" t="s">
        <v>732</v>
      </c>
      <c r="E76" s="83">
        <v>0</v>
      </c>
      <c r="F76" s="83">
        <v>9</v>
      </c>
      <c r="G76" s="83">
        <v>1</v>
      </c>
      <c r="H76" s="81">
        <v>13.5</v>
      </c>
      <c r="I76" s="77">
        <f>IF(C76="matter_neutral",(F76/S_split)*R_radix^G76,R_radix^G76*IF(D76="positive",c_plus,c_minus)*F76*(1+F76/R_sq)*IF(C76="anti_charged",IF(D76="negative",A_neg*(1+F76/R_radix^(G76+1)),A_pos*(1-F76/R_radix^(G76+1))),1))</f>
        <v>13.5</v>
      </c>
      <c r="J76" s="78">
        <f t="shared" si="2"/>
        <v>0</v>
      </c>
      <c r="K76" s="79" t="str">
        <f t="shared" si="3"/>
        <v>YES</v>
      </c>
    </row>
    <row r="77" spans="1:11" x14ac:dyDescent="0.6">
      <c r="A77" s="76" t="s">
        <v>752</v>
      </c>
      <c r="B77" s="76" t="s">
        <v>523</v>
      </c>
      <c r="C77" s="76" t="s">
        <v>731</v>
      </c>
      <c r="D77" s="76" t="s">
        <v>732</v>
      </c>
      <c r="E77" s="83">
        <v>0</v>
      </c>
      <c r="F77" s="83">
        <v>9</v>
      </c>
      <c r="G77" s="83">
        <v>2</v>
      </c>
      <c r="H77" s="81">
        <v>162</v>
      </c>
      <c r="I77" s="77">
        <f>IF(C77="matter_neutral",(F77/S_split)*R_radix^G77,R_radix^G77*IF(D77="positive",c_plus,c_minus)*F77*(1+F77/R_sq)*IF(C77="anti_charged",IF(D77="negative",A_neg*(1+F77/R_radix^(G77+1)),A_pos*(1-F77/R_radix^(G77+1))),1))</f>
        <v>162</v>
      </c>
      <c r="J77" s="78">
        <f t="shared" si="2"/>
        <v>0</v>
      </c>
      <c r="K77" s="79" t="str">
        <f t="shared" si="3"/>
        <v>YES</v>
      </c>
    </row>
    <row r="78" spans="1:11" x14ac:dyDescent="0.6">
      <c r="A78" s="76" t="s">
        <v>753</v>
      </c>
      <c r="B78" s="76" t="s">
        <v>523</v>
      </c>
      <c r="C78" s="76" t="s">
        <v>731</v>
      </c>
      <c r="D78" s="76" t="s">
        <v>732</v>
      </c>
      <c r="E78" s="83">
        <v>0</v>
      </c>
      <c r="F78" s="83">
        <v>12</v>
      </c>
      <c r="G78" s="83">
        <v>0</v>
      </c>
      <c r="H78" s="81">
        <v>1.5</v>
      </c>
      <c r="I78" s="77">
        <f>IF(C78="matter_neutral",(F78/S_split)*R_radix^G78,R_radix^G78*IF(D78="positive",c_plus,c_minus)*F78*(1+F78/R_sq)*IF(C78="anti_charged",IF(D78="negative",A_neg*(1+F78/R_radix^(G78+1)),A_pos*(1-F78/R_radix^(G78+1))),1))</f>
        <v>1.5</v>
      </c>
      <c r="J78" s="78">
        <f t="shared" si="2"/>
        <v>0</v>
      </c>
      <c r="K78" s="79" t="str">
        <f t="shared" si="3"/>
        <v>YES</v>
      </c>
    </row>
    <row r="79" spans="1:11" x14ac:dyDescent="0.6">
      <c r="A79" s="76" t="s">
        <v>754</v>
      </c>
      <c r="B79" s="76" t="s">
        <v>523</v>
      </c>
      <c r="C79" s="76" t="s">
        <v>731</v>
      </c>
      <c r="D79" s="76" t="s">
        <v>732</v>
      </c>
      <c r="E79" s="83">
        <v>0</v>
      </c>
      <c r="F79" s="83">
        <v>12</v>
      </c>
      <c r="G79" s="83">
        <v>1</v>
      </c>
      <c r="H79" s="81">
        <v>18</v>
      </c>
      <c r="I79" s="77">
        <f>IF(C79="matter_neutral",(F79/S_split)*R_radix^G79,R_radix^G79*IF(D79="positive",c_plus,c_minus)*F79*(1+F79/R_sq)*IF(C79="anti_charged",IF(D79="negative",A_neg*(1+F79/R_radix^(G79+1)),A_pos*(1-F79/R_radix^(G79+1))),1))</f>
        <v>18</v>
      </c>
      <c r="J79" s="78">
        <f t="shared" si="2"/>
        <v>0</v>
      </c>
      <c r="K79" s="79" t="str">
        <f t="shared" si="3"/>
        <v>YES</v>
      </c>
    </row>
    <row r="80" spans="1:11" x14ac:dyDescent="0.6">
      <c r="A80" s="76" t="s">
        <v>755</v>
      </c>
      <c r="B80" s="76" t="s">
        <v>523</v>
      </c>
      <c r="C80" s="76" t="s">
        <v>731</v>
      </c>
      <c r="D80" s="76" t="s">
        <v>732</v>
      </c>
      <c r="E80" s="83">
        <v>0</v>
      </c>
      <c r="F80" s="83">
        <v>12</v>
      </c>
      <c r="G80" s="83">
        <v>2</v>
      </c>
      <c r="H80" s="81">
        <v>216</v>
      </c>
      <c r="I80" s="77">
        <f>IF(C80="matter_neutral",(F80/S_split)*R_radix^G80,R_radix^G80*IF(D80="positive",c_plus,c_minus)*F80*(1+F80/R_sq)*IF(C80="anti_charged",IF(D80="negative",A_neg*(1+F80/R_radix^(G80+1)),A_pos*(1-F80/R_radix^(G80+1))),1))</f>
        <v>216</v>
      </c>
      <c r="J80" s="78">
        <f t="shared" si="2"/>
        <v>0</v>
      </c>
      <c r="K80" s="79" t="str">
        <f t="shared" si="3"/>
        <v>YES</v>
      </c>
    </row>
    <row r="81" spans="1:11" x14ac:dyDescent="0.6">
      <c r="A81" s="76" t="s">
        <v>756</v>
      </c>
      <c r="B81" s="76" t="s">
        <v>528</v>
      </c>
      <c r="C81" s="76" t="s">
        <v>757</v>
      </c>
      <c r="D81" s="76" t="s">
        <v>683</v>
      </c>
      <c r="E81" s="83">
        <v>1</v>
      </c>
      <c r="F81" s="83">
        <v>1</v>
      </c>
      <c r="G81" s="83">
        <v>0</v>
      </c>
      <c r="H81" s="81">
        <v>1.363570602</v>
      </c>
      <c r="I81" s="77">
        <f>IF(C81="matter_neutral",(F81/S_split)*R_radix^G81,R_radix^G81*IF(D81="positive",c_plus,c_minus)*F81*(1+F81/R_sq)*IF(C81="anti_charged",IF(D81="negative",A_neg*(1+F81/R_radix^(G81+1)),A_pos*(1-F81/R_radix^(G81+1))),1))</f>
        <v>1.3635706018518516</v>
      </c>
      <c r="J81" s="78">
        <f t="shared" si="2"/>
        <v>-1.4814838245058581E-10</v>
      </c>
      <c r="K81" s="79" t="str">
        <f t="shared" si="3"/>
        <v>YES</v>
      </c>
    </row>
    <row r="82" spans="1:11" x14ac:dyDescent="0.6">
      <c r="A82" s="76" t="s">
        <v>758</v>
      </c>
      <c r="B82" s="76" t="s">
        <v>528</v>
      </c>
      <c r="C82" s="76" t="s">
        <v>757</v>
      </c>
      <c r="D82" s="76" t="s">
        <v>684</v>
      </c>
      <c r="E82" s="83">
        <v>1</v>
      </c>
      <c r="F82" s="83">
        <v>1</v>
      </c>
      <c r="G82" s="83">
        <v>0</v>
      </c>
      <c r="H82" s="81">
        <v>1.384548611</v>
      </c>
      <c r="I82" s="77">
        <f>IF(C82="matter_neutral",(F82/S_split)*R_radix^G82,R_radix^G82*IF(D82="positive",c_plus,c_minus)*F82*(1+F82/R_sq)*IF(C82="anti_charged",IF(D82="negative",A_neg*(1+F82/R_radix^(G82+1)),A_pos*(1-F82/R_radix^(G82+1))),1))</f>
        <v>1.3845486111111109</v>
      </c>
      <c r="J82" s="78">
        <f t="shared" si="2"/>
        <v>1.1111089825988074E-10</v>
      </c>
      <c r="K82" s="79" t="str">
        <f t="shared" si="3"/>
        <v>YES</v>
      </c>
    </row>
    <row r="83" spans="1:11" x14ac:dyDescent="0.6">
      <c r="A83" s="76" t="s">
        <v>759</v>
      </c>
      <c r="B83" s="76" t="s">
        <v>528</v>
      </c>
      <c r="C83" s="76" t="s">
        <v>757</v>
      </c>
      <c r="D83" s="76" t="s">
        <v>683</v>
      </c>
      <c r="E83" s="83">
        <v>1</v>
      </c>
      <c r="F83" s="83">
        <v>1</v>
      </c>
      <c r="G83" s="83">
        <v>1</v>
      </c>
      <c r="H83" s="81">
        <v>15.20905671</v>
      </c>
      <c r="I83" s="77">
        <f>IF(C83="matter_neutral",(F83/S_split)*R_radix^G83,R_radix^G83*IF(D83="positive",c_plus,c_minus)*F83*(1+F83/R_sq)*IF(C83="anti_charged",IF(D83="negative",A_neg*(1+F83/R_radix^(G83+1)),A_pos*(1-F83/R_radix^(G83+1))),1))</f>
        <v>15.209056712962962</v>
      </c>
      <c r="J83" s="78">
        <f t="shared" si="2"/>
        <v>2.9629614317627784E-9</v>
      </c>
      <c r="K83" s="79" t="str">
        <f t="shared" si="3"/>
        <v>YES</v>
      </c>
    </row>
    <row r="84" spans="1:11" x14ac:dyDescent="0.6">
      <c r="A84" s="76" t="s">
        <v>760</v>
      </c>
      <c r="B84" s="76" t="s">
        <v>528</v>
      </c>
      <c r="C84" s="76" t="s">
        <v>757</v>
      </c>
      <c r="D84" s="76" t="s">
        <v>684</v>
      </c>
      <c r="E84" s="83">
        <v>1</v>
      </c>
      <c r="F84" s="83">
        <v>1</v>
      </c>
      <c r="G84" s="83">
        <v>1</v>
      </c>
      <c r="H84" s="81">
        <v>17.999131940000002</v>
      </c>
      <c r="I84" s="77">
        <f>IF(C84="matter_neutral",(F84/S_split)*R_radix^G84,R_radix^G84*IF(D84="positive",c_plus,c_minus)*F84*(1+F84/R_sq)*IF(C84="anti_charged",IF(D84="negative",A_neg*(1+F84/R_radix^(G84+1)),A_pos*(1-F84/R_radix^(G84+1))),1))</f>
        <v>17.999131944444443</v>
      </c>
      <c r="J84" s="78">
        <f t="shared" si="2"/>
        <v>4.4444412594657479E-9</v>
      </c>
      <c r="K84" s="79" t="str">
        <f t="shared" si="3"/>
        <v>YES</v>
      </c>
    </row>
    <row r="85" spans="1:11" x14ac:dyDescent="0.6">
      <c r="A85" s="76" t="s">
        <v>761</v>
      </c>
      <c r="B85" s="76" t="s">
        <v>528</v>
      </c>
      <c r="C85" s="76" t="s">
        <v>757</v>
      </c>
      <c r="D85" s="76" t="s">
        <v>683</v>
      </c>
      <c r="E85" s="83">
        <v>1</v>
      </c>
      <c r="F85" s="83">
        <v>1</v>
      </c>
      <c r="G85" s="83">
        <v>2</v>
      </c>
      <c r="H85" s="81">
        <v>181.35489000000001</v>
      </c>
      <c r="I85" s="77">
        <f>IF(C85="matter_neutral",(F85/S_split)*R_radix^G85,R_radix^G85*IF(D85="positive",c_plus,c_minus)*F85*(1+F85/R_sq)*IF(C85="anti_charged",IF(D85="negative",A_neg*(1+F85/R_radix^(G85+1)),A_pos*(1-F85/R_radix^(G85+1))),1))</f>
        <v>181.3548900462963</v>
      </c>
      <c r="J85" s="78">
        <f t="shared" si="2"/>
        <v>4.629629302144167E-8</v>
      </c>
      <c r="K85" s="79" t="str">
        <f t="shared" si="3"/>
        <v>YES</v>
      </c>
    </row>
    <row r="86" spans="1:11" x14ac:dyDescent="0.6">
      <c r="A86" s="76" t="s">
        <v>762</v>
      </c>
      <c r="B86" s="76" t="s">
        <v>528</v>
      </c>
      <c r="C86" s="76" t="s">
        <v>757</v>
      </c>
      <c r="D86" s="76" t="s">
        <v>684</v>
      </c>
      <c r="E86" s="83">
        <v>1</v>
      </c>
      <c r="F86" s="83">
        <v>1</v>
      </c>
      <c r="G86" s="83">
        <v>2</v>
      </c>
      <c r="H86" s="81">
        <v>217.37413190000001</v>
      </c>
      <c r="I86" s="77">
        <f>IF(C86="matter_neutral",(F86/S_split)*R_radix^G86,R_radix^G86*IF(D86="positive",c_plus,c_minus)*F86*(1+F86/R_sq)*IF(C86="anti_charged",IF(D86="negative",A_neg*(1+F86/R_radix^(G86+1)),A_pos*(1-F86/R_radix^(G86+1))),1))</f>
        <v>217.37413194444443</v>
      </c>
      <c r="J86" s="78">
        <f t="shared" si="2"/>
        <v>4.4444419700084836E-8</v>
      </c>
      <c r="K86" s="79" t="str">
        <f t="shared" si="3"/>
        <v>YES</v>
      </c>
    </row>
    <row r="87" spans="1:11" x14ac:dyDescent="0.6">
      <c r="A87" s="76" t="s">
        <v>763</v>
      </c>
      <c r="B87" s="76" t="s">
        <v>528</v>
      </c>
      <c r="C87" s="76" t="s">
        <v>757</v>
      </c>
      <c r="D87" s="76" t="s">
        <v>683</v>
      </c>
      <c r="E87" s="83">
        <v>2</v>
      </c>
      <c r="F87" s="83">
        <v>2</v>
      </c>
      <c r="G87" s="83">
        <v>0</v>
      </c>
      <c r="H87" s="81">
        <v>2.9571759260000001</v>
      </c>
      <c r="I87" s="77">
        <f>IF(C87="matter_neutral",(F87/S_split)*R_radix^G87,R_radix^G87*IF(D87="positive",c_plus,c_minus)*F87*(1+F87/R_sq)*IF(C87="anti_charged",IF(D87="negative",A_neg*(1+F87/R_radix^(G87+1)),A_pos*(1-F87/R_radix^(G87+1))),1))</f>
        <v>2.957175925925926</v>
      </c>
      <c r="J87" s="78">
        <f t="shared" si="2"/>
        <v>-7.4074080202990444E-11</v>
      </c>
      <c r="K87" s="79" t="str">
        <f t="shared" si="3"/>
        <v>YES</v>
      </c>
    </row>
    <row r="88" spans="1:11" x14ac:dyDescent="0.6">
      <c r="A88" s="76" t="s">
        <v>764</v>
      </c>
      <c r="B88" s="76" t="s">
        <v>528</v>
      </c>
      <c r="C88" s="76" t="s">
        <v>757</v>
      </c>
      <c r="D88" s="76" t="s">
        <v>684</v>
      </c>
      <c r="E88" s="83">
        <v>2</v>
      </c>
      <c r="F88" s="83">
        <v>2</v>
      </c>
      <c r="G88" s="83">
        <v>0</v>
      </c>
      <c r="H88" s="81">
        <v>2.5347222220000001</v>
      </c>
      <c r="I88" s="77">
        <f>IF(C88="matter_neutral",(F88/S_split)*R_radix^G88,R_radix^G88*IF(D88="positive",c_plus,c_minus)*F88*(1+F88/R_sq)*IF(C88="anti_charged",IF(D88="negative",A_neg*(1+F88/R_radix^(G88+1)),A_pos*(1-F88/R_radix^(G88+1))),1))</f>
        <v>2.5347222222222223</v>
      </c>
      <c r="J88" s="78">
        <f t="shared" si="2"/>
        <v>2.2222224060897133E-10</v>
      </c>
      <c r="K88" s="79" t="str">
        <f t="shared" si="3"/>
        <v>YES</v>
      </c>
    </row>
    <row r="89" spans="1:11" x14ac:dyDescent="0.6">
      <c r="A89" s="76" t="s">
        <v>765</v>
      </c>
      <c r="B89" s="76" t="s">
        <v>528</v>
      </c>
      <c r="C89" s="76" t="s">
        <v>757</v>
      </c>
      <c r="D89" s="76" t="s">
        <v>683</v>
      </c>
      <c r="E89" s="83">
        <v>2</v>
      </c>
      <c r="F89" s="83">
        <v>2</v>
      </c>
      <c r="G89" s="83">
        <v>1</v>
      </c>
      <c r="H89" s="81">
        <v>30.83912037</v>
      </c>
      <c r="I89" s="77">
        <f>IF(C89="matter_neutral",(F89/S_split)*R_radix^G89,R_radix^G89*IF(D89="positive",c_plus,c_minus)*F89*(1+F89/R_sq)*IF(C89="anti_charged",IF(D89="negative",A_neg*(1+F89/R_radix^(G89+1)),A_pos*(1-F89/R_radix^(G89+1))),1))</f>
        <v>30.83912037037037</v>
      </c>
      <c r="J89" s="78">
        <f t="shared" si="2"/>
        <v>3.7037040101495222E-10</v>
      </c>
      <c r="K89" s="79" t="str">
        <f t="shared" si="3"/>
        <v>YES</v>
      </c>
    </row>
    <row r="90" spans="1:11" x14ac:dyDescent="0.6">
      <c r="A90" s="76" t="s">
        <v>766</v>
      </c>
      <c r="B90" s="76" t="s">
        <v>528</v>
      </c>
      <c r="C90" s="76" t="s">
        <v>757</v>
      </c>
      <c r="D90" s="76" t="s">
        <v>684</v>
      </c>
      <c r="E90" s="83">
        <v>2</v>
      </c>
      <c r="F90" s="83">
        <v>2</v>
      </c>
      <c r="G90" s="83">
        <v>1</v>
      </c>
      <c r="H90" s="81">
        <v>35.993055560000002</v>
      </c>
      <c r="I90" s="77">
        <f>IF(C90="matter_neutral",(F90/S_split)*R_radix^G90,R_radix^G90*IF(D90="positive",c_plus,c_minus)*F90*(1+F90/R_sq)*IF(C90="anti_charged",IF(D90="negative",A_neg*(1+F90/R_radix^(G90+1)),A_pos*(1-F90/R_radix^(G90+1))),1))</f>
        <v>35.99305555555555</v>
      </c>
      <c r="J90" s="78">
        <f t="shared" si="2"/>
        <v>-4.4444519176067843E-9</v>
      </c>
      <c r="K90" s="79" t="str">
        <f t="shared" si="3"/>
        <v>YES</v>
      </c>
    </row>
    <row r="91" spans="1:11" x14ac:dyDescent="0.6">
      <c r="A91" s="76" t="s">
        <v>767</v>
      </c>
      <c r="B91" s="76" t="s">
        <v>528</v>
      </c>
      <c r="C91" s="76" t="s">
        <v>757</v>
      </c>
      <c r="D91" s="76" t="s">
        <v>683</v>
      </c>
      <c r="E91" s="83">
        <v>2</v>
      </c>
      <c r="F91" s="83">
        <v>2</v>
      </c>
      <c r="G91" s="83">
        <v>2</v>
      </c>
      <c r="H91" s="81">
        <v>365.42245370000001</v>
      </c>
      <c r="I91" s="77">
        <f>IF(C91="matter_neutral",(F91/S_split)*R_radix^G91,R_radix^G91*IF(D91="positive",c_plus,c_minus)*F91*(1+F91/R_sq)*IF(C91="anti_charged",IF(D91="negative",A_neg*(1+F91/R_radix^(G91+1)),A_pos*(1-F91/R_radix^(G91+1))),1))</f>
        <v>365.4224537037037</v>
      </c>
      <c r="J91" s="78">
        <f t="shared" si="2"/>
        <v>3.703689799294807E-9</v>
      </c>
      <c r="K91" s="79" t="str">
        <f t="shared" si="3"/>
        <v>YES</v>
      </c>
    </row>
    <row r="92" spans="1:11" x14ac:dyDescent="0.6">
      <c r="A92" s="76" t="s">
        <v>768</v>
      </c>
      <c r="B92" s="76" t="s">
        <v>528</v>
      </c>
      <c r="C92" s="76" t="s">
        <v>757</v>
      </c>
      <c r="D92" s="76" t="s">
        <v>684</v>
      </c>
      <c r="E92" s="83">
        <v>2</v>
      </c>
      <c r="F92" s="83">
        <v>2</v>
      </c>
      <c r="G92" s="83">
        <v>2</v>
      </c>
      <c r="H92" s="81">
        <v>437.49305559999999</v>
      </c>
      <c r="I92" s="77">
        <f>IF(C92="matter_neutral",(F92/S_split)*R_radix^G92,R_radix^G92*IF(D92="positive",c_plus,c_minus)*F92*(1+F92/R_sq)*IF(C92="anti_charged",IF(D92="negative",A_neg*(1+F92/R_radix^(G92+1)),A_pos*(1-F92/R_radix^(G92+1))),1))</f>
        <v>437.49305555555554</v>
      </c>
      <c r="J92" s="78">
        <f t="shared" si="2"/>
        <v>-4.4444448121794267E-8</v>
      </c>
      <c r="K92" s="79" t="str">
        <f t="shared" si="3"/>
        <v>YES</v>
      </c>
    </row>
    <row r="93" spans="1:11" x14ac:dyDescent="0.6">
      <c r="A93" s="76" t="s">
        <v>769</v>
      </c>
      <c r="B93" s="76" t="s">
        <v>528</v>
      </c>
      <c r="C93" s="76" t="s">
        <v>757</v>
      </c>
      <c r="D93" s="76" t="s">
        <v>683</v>
      </c>
      <c r="E93" s="83">
        <v>3</v>
      </c>
      <c r="F93" s="83">
        <v>3</v>
      </c>
      <c r="G93" s="83">
        <v>0</v>
      </c>
      <c r="H93" s="81">
        <v>4.78515625</v>
      </c>
      <c r="I93" s="77">
        <f>IF(C93="matter_neutral",(F93/S_split)*R_radix^G93,R_radix^G93*IF(D93="positive",c_plus,c_minus)*F93*(1+F93/R_sq)*IF(C93="anti_charged",IF(D93="negative",A_neg*(1+F93/R_radix^(G93+1)),A_pos*(1-F93/R_radix^(G93+1))),1))</f>
        <v>4.78515625</v>
      </c>
      <c r="J93" s="78">
        <f t="shared" si="2"/>
        <v>0</v>
      </c>
      <c r="K93" s="79" t="str">
        <f t="shared" si="3"/>
        <v>YES</v>
      </c>
    </row>
    <row r="94" spans="1:11" x14ac:dyDescent="0.6">
      <c r="A94" s="76" t="s">
        <v>770</v>
      </c>
      <c r="B94" s="76" t="s">
        <v>528</v>
      </c>
      <c r="C94" s="76" t="s">
        <v>757</v>
      </c>
      <c r="D94" s="76" t="s">
        <v>684</v>
      </c>
      <c r="E94" s="83">
        <v>3</v>
      </c>
      <c r="F94" s="83">
        <v>3</v>
      </c>
      <c r="G94" s="83">
        <v>0</v>
      </c>
      <c r="H94" s="81">
        <v>3.4453125</v>
      </c>
      <c r="I94" s="77">
        <f>IF(C94="matter_neutral",(F94/S_split)*R_radix^G94,R_radix^G94*IF(D94="positive",c_plus,c_minus)*F94*(1+F94/R_sq)*IF(C94="anti_charged",IF(D94="negative",A_neg*(1+F94/R_radix^(G94+1)),A_pos*(1-F94/R_radix^(G94+1))),1))</f>
        <v>3.4453124999999991</v>
      </c>
      <c r="J94" s="78">
        <f t="shared" si="2"/>
        <v>0</v>
      </c>
      <c r="K94" s="79" t="str">
        <f t="shared" si="3"/>
        <v>YES</v>
      </c>
    </row>
    <row r="95" spans="1:11" x14ac:dyDescent="0.6">
      <c r="A95" s="76" t="s">
        <v>771</v>
      </c>
      <c r="B95" s="76" t="s">
        <v>528</v>
      </c>
      <c r="C95" s="76" t="s">
        <v>757</v>
      </c>
      <c r="D95" s="76" t="s">
        <v>683</v>
      </c>
      <c r="E95" s="83">
        <v>3</v>
      </c>
      <c r="F95" s="83">
        <v>3</v>
      </c>
      <c r="G95" s="83">
        <v>1</v>
      </c>
      <c r="H95" s="81">
        <v>46.89453125</v>
      </c>
      <c r="I95" s="77">
        <f>IF(C95="matter_neutral",(F95/S_split)*R_radix^G95,R_radix^G95*IF(D95="positive",c_plus,c_minus)*F95*(1+F95/R_sq)*IF(C95="anti_charged",IF(D95="negative",A_neg*(1+F95/R_radix^(G95+1)),A_pos*(1-F95/R_radix^(G95+1))),1))</f>
        <v>46.894531249999993</v>
      </c>
      <c r="J95" s="78">
        <f t="shared" si="2"/>
        <v>0</v>
      </c>
      <c r="K95" s="79" t="str">
        <f t="shared" si="3"/>
        <v>YES</v>
      </c>
    </row>
    <row r="96" spans="1:11" x14ac:dyDescent="0.6">
      <c r="A96" s="76" t="s">
        <v>772</v>
      </c>
      <c r="B96" s="76" t="s">
        <v>528</v>
      </c>
      <c r="C96" s="76" t="s">
        <v>757</v>
      </c>
      <c r="D96" s="76" t="s">
        <v>684</v>
      </c>
      <c r="E96" s="83">
        <v>3</v>
      </c>
      <c r="F96" s="83">
        <v>3</v>
      </c>
      <c r="G96" s="83">
        <v>1</v>
      </c>
      <c r="H96" s="81">
        <v>53.9765625</v>
      </c>
      <c r="I96" s="77">
        <f>IF(C96="matter_neutral",(F96/S_split)*R_radix^G96,R_radix^G96*IF(D96="positive",c_plus,c_minus)*F96*(1+F96/R_sq)*IF(C96="anti_charged",IF(D96="negative",A_neg*(1+F96/R_radix^(G96+1)),A_pos*(1-F96/R_radix^(G96+1))),1))</f>
        <v>53.976562499999993</v>
      </c>
      <c r="J96" s="78">
        <f t="shared" si="2"/>
        <v>0</v>
      </c>
      <c r="K96" s="79" t="str">
        <f t="shared" si="3"/>
        <v>YES</v>
      </c>
    </row>
    <row r="97" spans="1:11" x14ac:dyDescent="0.6">
      <c r="A97" s="76" t="s">
        <v>773</v>
      </c>
      <c r="B97" s="76" t="s">
        <v>528</v>
      </c>
      <c r="C97" s="76" t="s">
        <v>757</v>
      </c>
      <c r="D97" s="76" t="s">
        <v>683</v>
      </c>
      <c r="E97" s="83">
        <v>3</v>
      </c>
      <c r="F97" s="83">
        <v>3</v>
      </c>
      <c r="G97" s="83">
        <v>2</v>
      </c>
      <c r="H97" s="81">
        <v>552.20703119999996</v>
      </c>
      <c r="I97" s="77">
        <f>IF(C97="matter_neutral",(F97/S_split)*R_radix^G97,R_radix^G97*IF(D97="positive",c_plus,c_minus)*F97*(1+F97/R_sq)*IF(C97="anti_charged",IF(D97="negative",A_neg*(1+F97/R_radix^(G97+1)),A_pos*(1-F97/R_radix^(G97+1))),1))</f>
        <v>552.20703125</v>
      </c>
      <c r="J97" s="78">
        <f t="shared" si="2"/>
        <v>5.0000039664155338E-8</v>
      </c>
      <c r="K97" s="79" t="str">
        <f t="shared" si="3"/>
        <v>YES</v>
      </c>
    </row>
    <row r="98" spans="1:11" x14ac:dyDescent="0.6">
      <c r="A98" s="76" t="s">
        <v>774</v>
      </c>
      <c r="B98" s="76" t="s">
        <v>528</v>
      </c>
      <c r="C98" s="76" t="s">
        <v>757</v>
      </c>
      <c r="D98" s="76" t="s">
        <v>684</v>
      </c>
      <c r="E98" s="83">
        <v>3</v>
      </c>
      <c r="F98" s="83">
        <v>3</v>
      </c>
      <c r="G98" s="83">
        <v>2</v>
      </c>
      <c r="H98" s="81">
        <v>660.3515625</v>
      </c>
      <c r="I98" s="77">
        <f>IF(C98="matter_neutral",(F98/S_split)*R_radix^G98,R_radix^G98*IF(D98="positive",c_plus,c_minus)*F98*(1+F98/R_sq)*IF(C98="anti_charged",IF(D98="negative",A_neg*(1+F98/R_radix^(G98+1)),A_pos*(1-F98/R_radix^(G98+1))),1))</f>
        <v>660.35156249999989</v>
      </c>
      <c r="J98" s="78">
        <f t="shared" si="2"/>
        <v>0</v>
      </c>
      <c r="K98" s="79" t="str">
        <f t="shared" si="3"/>
        <v>YES</v>
      </c>
    </row>
    <row r="99" spans="1:11" x14ac:dyDescent="0.6">
      <c r="A99" s="76" t="s">
        <v>775</v>
      </c>
      <c r="B99" s="76" t="s">
        <v>528</v>
      </c>
      <c r="C99" s="76" t="s">
        <v>757</v>
      </c>
      <c r="D99" s="76" t="s">
        <v>683</v>
      </c>
      <c r="E99" s="83">
        <v>4</v>
      </c>
      <c r="F99" s="83">
        <v>4</v>
      </c>
      <c r="G99" s="83">
        <v>0</v>
      </c>
      <c r="H99" s="81">
        <v>6.8518518520000002</v>
      </c>
      <c r="I99" s="77">
        <f>IF(C99="matter_neutral",(F99/S_split)*R_radix^G99,R_radix^G99*IF(D99="positive",c_plus,c_minus)*F99*(1+F99/R_sq)*IF(C99="anti_charged",IF(D99="negative",A_neg*(1+F99/R_radix^(G99+1)),A_pos*(1-F99/R_radix^(G99+1))),1))</f>
        <v>6.8518518518518512</v>
      </c>
      <c r="J99" s="78">
        <f t="shared" si="2"/>
        <v>-1.4814904858440059E-10</v>
      </c>
      <c r="K99" s="79" t="str">
        <f t="shared" si="3"/>
        <v>YES</v>
      </c>
    </row>
    <row r="100" spans="1:11" x14ac:dyDescent="0.6">
      <c r="A100" s="76" t="s">
        <v>776</v>
      </c>
      <c r="B100" s="76" t="s">
        <v>528</v>
      </c>
      <c r="C100" s="76" t="s">
        <v>757</v>
      </c>
      <c r="D100" s="76" t="s">
        <v>684</v>
      </c>
      <c r="E100" s="83">
        <v>4</v>
      </c>
      <c r="F100" s="83">
        <v>4</v>
      </c>
      <c r="G100" s="83">
        <v>0</v>
      </c>
      <c r="H100" s="81">
        <v>4.1111111109999996</v>
      </c>
      <c r="I100" s="77">
        <f>IF(C100="matter_neutral",(F100/S_split)*R_radix^G100,R_radix^G100*IF(D100="positive",c_plus,c_minus)*F100*(1+F100/R_sq)*IF(C100="anti_charged",IF(D100="negative",A_neg*(1+F100/R_radix^(G100+1)),A_pos*(1-F100/R_radix^(G100+1))),1))</f>
        <v>4.1111111111111107</v>
      </c>
      <c r="J100" s="78">
        <f t="shared" si="2"/>
        <v>1.1111112030448567E-10</v>
      </c>
      <c r="K100" s="79" t="str">
        <f t="shared" si="3"/>
        <v>YES</v>
      </c>
    </row>
    <row r="101" spans="1:11" x14ac:dyDescent="0.6">
      <c r="A101" s="76" t="s">
        <v>777</v>
      </c>
      <c r="B101" s="76" t="s">
        <v>528</v>
      </c>
      <c r="C101" s="76" t="s">
        <v>757</v>
      </c>
      <c r="D101" s="76" t="s">
        <v>683</v>
      </c>
      <c r="E101" s="83">
        <v>4</v>
      </c>
      <c r="F101" s="83">
        <v>4</v>
      </c>
      <c r="G101" s="83">
        <v>1</v>
      </c>
      <c r="H101" s="81">
        <v>63.379629629999997</v>
      </c>
      <c r="I101" s="77">
        <f>IF(C101="matter_neutral",(F101/S_split)*R_radix^G101,R_radix^G101*IF(D101="positive",c_plus,c_minus)*F101*(1+F101/R_sq)*IF(C101="anti_charged",IF(D101="negative",A_neg*(1+F101/R_radix^(G101+1)),A_pos*(1-F101/R_radix^(G101+1))),1))</f>
        <v>63.379629629629626</v>
      </c>
      <c r="J101" s="78">
        <f t="shared" si="2"/>
        <v>-3.7037040101495222E-10</v>
      </c>
      <c r="K101" s="79" t="str">
        <f t="shared" si="3"/>
        <v>YES</v>
      </c>
    </row>
    <row r="102" spans="1:11" x14ac:dyDescent="0.6">
      <c r="A102" s="76" t="s">
        <v>778</v>
      </c>
      <c r="B102" s="76" t="s">
        <v>528</v>
      </c>
      <c r="C102" s="76" t="s">
        <v>757</v>
      </c>
      <c r="D102" s="76" t="s">
        <v>684</v>
      </c>
      <c r="E102" s="83">
        <v>4</v>
      </c>
      <c r="F102" s="83">
        <v>4</v>
      </c>
      <c r="G102" s="83">
        <v>1</v>
      </c>
      <c r="H102" s="81">
        <v>71.944444439999998</v>
      </c>
      <c r="I102" s="77">
        <f>IF(C102="matter_neutral",(F102/S_split)*R_radix^G102,R_radix^G102*IF(D102="positive",c_plus,c_minus)*F102*(1+F102/R_sq)*IF(C102="anti_charged",IF(D102="negative",A_neg*(1+F102/R_radix^(G102+1)),A_pos*(1-F102/R_radix^(G102+1))),1))</f>
        <v>71.944444444444429</v>
      </c>
      <c r="J102" s="78">
        <f t="shared" si="2"/>
        <v>4.4444306013247115E-9</v>
      </c>
      <c r="K102" s="79" t="str">
        <f t="shared" si="3"/>
        <v>YES</v>
      </c>
    </row>
    <row r="103" spans="1:11" x14ac:dyDescent="0.6">
      <c r="A103" s="76" t="s">
        <v>779</v>
      </c>
      <c r="B103" s="76" t="s">
        <v>528</v>
      </c>
      <c r="C103" s="76" t="s">
        <v>757</v>
      </c>
      <c r="D103" s="76" t="s">
        <v>683</v>
      </c>
      <c r="E103" s="83">
        <v>4</v>
      </c>
      <c r="F103" s="83">
        <v>4</v>
      </c>
      <c r="G103" s="83">
        <v>2</v>
      </c>
      <c r="H103" s="81">
        <v>741.71296299999995</v>
      </c>
      <c r="I103" s="77">
        <f>IF(C103="matter_neutral",(F103/S_split)*R_radix^G103,R_radix^G103*IF(D103="positive",c_plus,c_minus)*F103*(1+F103/R_sq)*IF(C103="anti_charged",IF(D103="negative",A_neg*(1+F103/R_radix^(G103+1)),A_pos*(1-F103/R_radix^(G103+1))),1))</f>
        <v>741.71296296296293</v>
      </c>
      <c r="J103" s="78">
        <f t="shared" si="2"/>
        <v>-3.7037011679785792E-8</v>
      </c>
      <c r="K103" s="79" t="str">
        <f t="shared" si="3"/>
        <v>YES</v>
      </c>
    </row>
    <row r="104" spans="1:11" x14ac:dyDescent="0.6">
      <c r="A104" s="76" t="s">
        <v>780</v>
      </c>
      <c r="B104" s="76" t="s">
        <v>528</v>
      </c>
      <c r="C104" s="76" t="s">
        <v>757</v>
      </c>
      <c r="D104" s="76" t="s">
        <v>684</v>
      </c>
      <c r="E104" s="83">
        <v>4</v>
      </c>
      <c r="F104" s="83">
        <v>4</v>
      </c>
      <c r="G104" s="83">
        <v>2</v>
      </c>
      <c r="H104" s="81">
        <v>885.94444439999995</v>
      </c>
      <c r="I104" s="77">
        <f>IF(C104="matter_neutral",(F104/S_split)*R_radix^G104,R_radix^G104*IF(D104="positive",c_plus,c_minus)*F104*(1+F104/R_sq)*IF(C104="anti_charged",IF(D104="negative",A_neg*(1+F104/R_radix^(G104+1)),A_pos*(1-F104/R_radix^(G104+1))),1))</f>
        <v>885.94444444444423</v>
      </c>
      <c r="J104" s="78">
        <f t="shared" si="2"/>
        <v>4.4444277591537684E-8</v>
      </c>
      <c r="K104" s="79" t="str">
        <f t="shared" si="3"/>
        <v>YES</v>
      </c>
    </row>
    <row r="105" spans="1:11" x14ac:dyDescent="0.6">
      <c r="A105" s="76" t="s">
        <v>781</v>
      </c>
      <c r="B105" s="76" t="s">
        <v>528</v>
      </c>
      <c r="C105" s="76" t="s">
        <v>757</v>
      </c>
      <c r="D105" s="76" t="s">
        <v>683</v>
      </c>
      <c r="E105" s="83">
        <v>6</v>
      </c>
      <c r="F105" s="83">
        <v>6</v>
      </c>
      <c r="G105" s="83">
        <v>0</v>
      </c>
      <c r="H105" s="81">
        <v>11.71875</v>
      </c>
      <c r="I105" s="77">
        <f>IF(C105="matter_neutral",(F105/S_split)*R_radix^G105,R_radix^G105*IF(D105="positive",c_plus,c_minus)*F105*(1+F105/R_sq)*IF(C105="anti_charged",IF(D105="negative",A_neg*(1+F105/R_radix^(G105+1)),A_pos*(1-F105/R_radix^(G105+1))),1))</f>
        <v>11.71875</v>
      </c>
      <c r="J105" s="78">
        <f t="shared" si="2"/>
        <v>0</v>
      </c>
      <c r="K105" s="79" t="str">
        <f t="shared" si="3"/>
        <v>YES</v>
      </c>
    </row>
    <row r="106" spans="1:11" x14ac:dyDescent="0.6">
      <c r="A106" s="76" t="s">
        <v>782</v>
      </c>
      <c r="B106" s="76" t="s">
        <v>528</v>
      </c>
      <c r="C106" s="76" t="s">
        <v>757</v>
      </c>
      <c r="D106" s="76" t="s">
        <v>684</v>
      </c>
      <c r="E106" s="83">
        <v>6</v>
      </c>
      <c r="F106" s="83">
        <v>6</v>
      </c>
      <c r="G106" s="83">
        <v>0</v>
      </c>
      <c r="H106" s="81">
        <v>4.6875</v>
      </c>
      <c r="I106" s="77">
        <f>IF(C106="matter_neutral",(F106/S_split)*R_radix^G106,R_radix^G106*IF(D106="positive",c_plus,c_minus)*F106*(1+F106/R_sq)*IF(C106="anti_charged",IF(D106="negative",A_neg*(1+F106/R_radix^(G106+1)),A_pos*(1-F106/R_radix^(G106+1))),1))</f>
        <v>4.6875</v>
      </c>
      <c r="J106" s="78">
        <f t="shared" si="2"/>
        <v>0</v>
      </c>
      <c r="K106" s="79" t="str">
        <f t="shared" si="3"/>
        <v>YES</v>
      </c>
    </row>
    <row r="107" spans="1:11" x14ac:dyDescent="0.6">
      <c r="A107" s="76" t="s">
        <v>783</v>
      </c>
      <c r="B107" s="76" t="s">
        <v>528</v>
      </c>
      <c r="C107" s="76" t="s">
        <v>757</v>
      </c>
      <c r="D107" s="76" t="s">
        <v>683</v>
      </c>
      <c r="E107" s="83">
        <v>6</v>
      </c>
      <c r="F107" s="83">
        <v>6</v>
      </c>
      <c r="G107" s="83">
        <v>1</v>
      </c>
      <c r="H107" s="81">
        <v>97.65625</v>
      </c>
      <c r="I107" s="77">
        <f>IF(C107="matter_neutral",(F107/S_split)*R_radix^G107,R_radix^G107*IF(D107="positive",c_plus,c_minus)*F107*(1+F107/R_sq)*IF(C107="anti_charged",IF(D107="negative",A_neg*(1+F107/R_radix^(G107+1)),A_pos*(1-F107/R_radix^(G107+1))),1))</f>
        <v>97.656250000000028</v>
      </c>
      <c r="J107" s="78">
        <f t="shared" si="2"/>
        <v>0</v>
      </c>
      <c r="K107" s="79" t="str">
        <f t="shared" si="3"/>
        <v>YES</v>
      </c>
    </row>
    <row r="108" spans="1:11" x14ac:dyDescent="0.6">
      <c r="A108" s="76" t="s">
        <v>784</v>
      </c>
      <c r="B108" s="76" t="s">
        <v>528</v>
      </c>
      <c r="C108" s="76" t="s">
        <v>757</v>
      </c>
      <c r="D108" s="76" t="s">
        <v>684</v>
      </c>
      <c r="E108" s="83">
        <v>6</v>
      </c>
      <c r="F108" s="83">
        <v>6</v>
      </c>
      <c r="G108" s="83">
        <v>1</v>
      </c>
      <c r="H108" s="81">
        <v>107.8125</v>
      </c>
      <c r="I108" s="77">
        <f>IF(C108="matter_neutral",(F108/S_split)*R_radix^G108,R_radix^G108*IF(D108="positive",c_plus,c_minus)*F108*(1+F108/R_sq)*IF(C108="anti_charged",IF(D108="negative",A_neg*(1+F108/R_radix^(G108+1)),A_pos*(1-F108/R_radix^(G108+1))),1))</f>
        <v>107.81249999999999</v>
      </c>
      <c r="J108" s="78">
        <f t="shared" si="2"/>
        <v>0</v>
      </c>
      <c r="K108" s="79" t="str">
        <f t="shared" si="3"/>
        <v>YES</v>
      </c>
    </row>
    <row r="109" spans="1:11" x14ac:dyDescent="0.6">
      <c r="A109" s="76" t="s">
        <v>785</v>
      </c>
      <c r="B109" s="76" t="s">
        <v>528</v>
      </c>
      <c r="C109" s="76" t="s">
        <v>757</v>
      </c>
      <c r="D109" s="76" t="s">
        <v>683</v>
      </c>
      <c r="E109" s="83">
        <v>6</v>
      </c>
      <c r="F109" s="83">
        <v>6</v>
      </c>
      <c r="G109" s="83">
        <v>2</v>
      </c>
      <c r="H109" s="81">
        <v>1128.90625</v>
      </c>
      <c r="I109" s="77">
        <f>IF(C109="matter_neutral",(F109/S_split)*R_radix^G109,R_radix^G109*IF(D109="positive",c_plus,c_minus)*F109*(1+F109/R_sq)*IF(C109="anti_charged",IF(D109="negative",A_neg*(1+F109/R_radix^(G109+1)),A_pos*(1-F109/R_radix^(G109+1))),1))</f>
        <v>1128.9062500000002</v>
      </c>
      <c r="J109" s="78">
        <f t="shared" si="2"/>
        <v>0</v>
      </c>
      <c r="K109" s="79" t="str">
        <f t="shared" si="3"/>
        <v>YES</v>
      </c>
    </row>
    <row r="110" spans="1:11" x14ac:dyDescent="0.6">
      <c r="A110" s="76" t="s">
        <v>786</v>
      </c>
      <c r="B110" s="76" t="s">
        <v>528</v>
      </c>
      <c r="C110" s="76" t="s">
        <v>757</v>
      </c>
      <c r="D110" s="76" t="s">
        <v>684</v>
      </c>
      <c r="E110" s="83">
        <v>6</v>
      </c>
      <c r="F110" s="83">
        <v>6</v>
      </c>
      <c r="G110" s="83">
        <v>2</v>
      </c>
      <c r="H110" s="81">
        <v>1345.3125</v>
      </c>
      <c r="I110" s="77">
        <f>IF(C110="matter_neutral",(F110/S_split)*R_radix^G110,R_radix^G110*IF(D110="positive",c_plus,c_minus)*F110*(1+F110/R_sq)*IF(C110="anti_charged",IF(D110="negative",A_neg*(1+F110/R_radix^(G110+1)),A_pos*(1-F110/R_radix^(G110+1))),1))</f>
        <v>1345.3125</v>
      </c>
      <c r="J110" s="78">
        <f t="shared" si="2"/>
        <v>0</v>
      </c>
      <c r="K110" s="79" t="str">
        <f t="shared" si="3"/>
        <v>YES</v>
      </c>
    </row>
    <row r="111" spans="1:11" x14ac:dyDescent="0.6">
      <c r="A111" s="76" t="s">
        <v>787</v>
      </c>
      <c r="B111" s="76" t="s">
        <v>528</v>
      </c>
      <c r="C111" s="76" t="s">
        <v>757</v>
      </c>
      <c r="D111" s="76" t="s">
        <v>683</v>
      </c>
      <c r="E111" s="83">
        <v>8</v>
      </c>
      <c r="F111" s="83">
        <v>8</v>
      </c>
      <c r="G111" s="83">
        <v>0</v>
      </c>
      <c r="H111" s="81">
        <v>17.592592589999999</v>
      </c>
      <c r="I111" s="77">
        <f>IF(C111="matter_neutral",(F111/S_split)*R_radix^G111,R_radix^G111*IF(D111="positive",c_plus,c_minus)*F111*(1+F111/R_sq)*IF(C111="anti_charged",IF(D111="negative",A_neg*(1+F111/R_radix^(G111+1)),A_pos*(1-F111/R_radix^(G111+1))),1))</f>
        <v>17.592592592592595</v>
      </c>
      <c r="J111" s="78">
        <f t="shared" si="2"/>
        <v>2.5925963598183444E-9</v>
      </c>
      <c r="K111" s="79" t="str">
        <f t="shared" si="3"/>
        <v>YES</v>
      </c>
    </row>
    <row r="112" spans="1:11" x14ac:dyDescent="0.6">
      <c r="A112" s="76" t="s">
        <v>788</v>
      </c>
      <c r="B112" s="76" t="s">
        <v>528</v>
      </c>
      <c r="C112" s="76" t="s">
        <v>757</v>
      </c>
      <c r="D112" s="76" t="s">
        <v>684</v>
      </c>
      <c r="E112" s="83">
        <v>8</v>
      </c>
      <c r="F112" s="83">
        <v>8</v>
      </c>
      <c r="G112" s="83">
        <v>0</v>
      </c>
      <c r="H112" s="81">
        <v>4.2222222220000001</v>
      </c>
      <c r="I112" s="77">
        <f>IF(C112="matter_neutral",(F112/S_split)*R_radix^G112,R_radix^G112*IF(D112="positive",c_plus,c_minus)*F112*(1+F112/R_sq)*IF(C112="anti_charged",IF(D112="negative",A_neg*(1+F112/R_radix^(G112+1)),A_pos*(1-F112/R_radix^(G112+1))),1))</f>
        <v>4.2222222222222223</v>
      </c>
      <c r="J112" s="78">
        <f t="shared" si="2"/>
        <v>2.2222224060897133E-10</v>
      </c>
      <c r="K112" s="79" t="str">
        <f t="shared" si="3"/>
        <v>YES</v>
      </c>
    </row>
    <row r="113" spans="1:11" x14ac:dyDescent="0.6">
      <c r="A113" s="76" t="s">
        <v>789</v>
      </c>
      <c r="B113" s="76" t="s">
        <v>528</v>
      </c>
      <c r="C113" s="76" t="s">
        <v>757</v>
      </c>
      <c r="D113" s="76" t="s">
        <v>683</v>
      </c>
      <c r="E113" s="83">
        <v>8</v>
      </c>
      <c r="F113" s="83">
        <v>8</v>
      </c>
      <c r="G113" s="83">
        <v>1</v>
      </c>
      <c r="H113" s="81">
        <v>133.70370370000001</v>
      </c>
      <c r="I113" s="77">
        <f>IF(C113="matter_neutral",(F113/S_split)*R_radix^G113,R_radix^G113*IF(D113="positive",c_plus,c_minus)*F113*(1+F113/R_sq)*IF(C113="anti_charged",IF(D113="negative",A_neg*(1+F113/R_radix^(G113+1)),A_pos*(1-F113/R_radix^(G113+1))),1))</f>
        <v>133.7037037037037</v>
      </c>
      <c r="J113" s="78">
        <f t="shared" si="2"/>
        <v>3.703689799294807E-9</v>
      </c>
      <c r="K113" s="79" t="str">
        <f t="shared" si="3"/>
        <v>YES</v>
      </c>
    </row>
    <row r="114" spans="1:11" x14ac:dyDescent="0.6">
      <c r="A114" s="76" t="s">
        <v>790</v>
      </c>
      <c r="B114" s="76" t="s">
        <v>528</v>
      </c>
      <c r="C114" s="76" t="s">
        <v>757</v>
      </c>
      <c r="D114" s="76" t="s">
        <v>684</v>
      </c>
      <c r="E114" s="83">
        <v>8</v>
      </c>
      <c r="F114" s="83">
        <v>8</v>
      </c>
      <c r="G114" s="83">
        <v>1</v>
      </c>
      <c r="H114" s="81">
        <v>143.55555559999999</v>
      </c>
      <c r="I114" s="77">
        <f>IF(C114="matter_neutral",(F114/S_split)*R_radix^G114,R_radix^G114*IF(D114="positive",c_plus,c_minus)*F114*(1+F114/R_sq)*IF(C114="anti_charged",IF(D114="negative",A_neg*(1+F114/R_radix^(G114+1)),A_pos*(1-F114/R_radix^(G114+1))),1))</f>
        <v>143.55555555555557</v>
      </c>
      <c r="J114" s="78">
        <f t="shared" si="2"/>
        <v>-4.4444419700084836E-8</v>
      </c>
      <c r="K114" s="79" t="str">
        <f t="shared" si="3"/>
        <v>YES</v>
      </c>
    </row>
    <row r="115" spans="1:11" x14ac:dyDescent="0.6">
      <c r="A115" s="76" t="s">
        <v>791</v>
      </c>
      <c r="B115" s="76" t="s">
        <v>528</v>
      </c>
      <c r="C115" s="76" t="s">
        <v>757</v>
      </c>
      <c r="D115" s="76" t="s">
        <v>683</v>
      </c>
      <c r="E115" s="83">
        <v>9</v>
      </c>
      <c r="F115" s="83">
        <v>9</v>
      </c>
      <c r="G115" s="83">
        <v>0</v>
      </c>
      <c r="H115" s="81">
        <v>20.91796875</v>
      </c>
      <c r="I115" s="77">
        <f>IF(C115="matter_neutral",(F115/S_split)*R_radix^G115,R_radix^G115*IF(D115="positive",c_plus,c_minus)*F115*(1+F115/R_sq)*IF(C115="anti_charged",IF(D115="negative",A_neg*(1+F115/R_radix^(G115+1)),A_pos*(1-F115/R_radix^(G115+1))),1))</f>
        <v>20.917968750000004</v>
      </c>
      <c r="J115" s="78">
        <f t="shared" si="2"/>
        <v>0</v>
      </c>
      <c r="K115" s="79" t="str">
        <f t="shared" si="3"/>
        <v>YES</v>
      </c>
    </row>
    <row r="116" spans="1:11" x14ac:dyDescent="0.6">
      <c r="A116" s="76" t="s">
        <v>792</v>
      </c>
      <c r="B116" s="76" t="s">
        <v>528</v>
      </c>
      <c r="C116" s="76" t="s">
        <v>757</v>
      </c>
      <c r="D116" s="76" t="s">
        <v>684</v>
      </c>
      <c r="E116" s="83">
        <v>9</v>
      </c>
      <c r="F116" s="83">
        <v>9</v>
      </c>
      <c r="G116" s="83">
        <v>0</v>
      </c>
      <c r="H116" s="81">
        <v>3.5859375</v>
      </c>
      <c r="I116" s="77">
        <f>IF(C116="matter_neutral",(F116/S_split)*R_radix^G116,R_radix^G116*IF(D116="positive",c_plus,c_minus)*F116*(1+F116/R_sq)*IF(C116="anti_charged",IF(D116="negative",A_neg*(1+F116/R_radix^(G116+1)),A_pos*(1-F116/R_radix^(G116+1))),1))</f>
        <v>3.5859375</v>
      </c>
      <c r="J116" s="78">
        <f t="shared" si="2"/>
        <v>0</v>
      </c>
      <c r="K116" s="79" t="str">
        <f t="shared" si="3"/>
        <v>YES</v>
      </c>
    </row>
    <row r="117" spans="1:11" x14ac:dyDescent="0.6">
      <c r="A117" s="76" t="s">
        <v>793</v>
      </c>
      <c r="B117" s="76" t="s">
        <v>528</v>
      </c>
      <c r="C117" s="76" t="s">
        <v>757</v>
      </c>
      <c r="D117" s="76" t="s">
        <v>683</v>
      </c>
      <c r="E117" s="83">
        <v>9</v>
      </c>
      <c r="F117" s="83">
        <v>9</v>
      </c>
      <c r="G117" s="83">
        <v>1</v>
      </c>
      <c r="H117" s="81">
        <v>152.40234380000001</v>
      </c>
      <c r="I117" s="77">
        <f>IF(C117="matter_neutral",(F117/S_split)*R_radix^G117,R_radix^G117*IF(D117="positive",c_plus,c_minus)*F117*(1+F117/R_sq)*IF(C117="anti_charged",IF(D117="negative",A_neg*(1+F117/R_radix^(G117+1)),A_pos*(1-F117/R_radix^(G117+1))),1))</f>
        <v>152.40234375</v>
      </c>
      <c r="J117" s="78">
        <f t="shared" si="2"/>
        <v>-5.0000011242445908E-8</v>
      </c>
      <c r="K117" s="79" t="str">
        <f t="shared" si="3"/>
        <v>YES</v>
      </c>
    </row>
    <row r="118" spans="1:11" x14ac:dyDescent="0.6">
      <c r="A118" s="76" t="s">
        <v>794</v>
      </c>
      <c r="B118" s="76" t="s">
        <v>528</v>
      </c>
      <c r="C118" s="76" t="s">
        <v>757</v>
      </c>
      <c r="D118" s="76" t="s">
        <v>684</v>
      </c>
      <c r="E118" s="83">
        <v>9</v>
      </c>
      <c r="F118" s="83">
        <v>9</v>
      </c>
      <c r="G118" s="83">
        <v>1</v>
      </c>
      <c r="H118" s="81">
        <v>161.3671875</v>
      </c>
      <c r="I118" s="77">
        <f>IF(C118="matter_neutral",(F118/S_split)*R_radix^G118,R_radix^G118*IF(D118="positive",c_plus,c_minus)*F118*(1+F118/R_sq)*IF(C118="anti_charged",IF(D118="negative",A_neg*(1+F118/R_radix^(G118+1)),A_pos*(1-F118/R_radix^(G118+1))),1))</f>
        <v>161.3671875</v>
      </c>
      <c r="J118" s="78">
        <f t="shared" si="2"/>
        <v>0</v>
      </c>
      <c r="K118" s="79" t="str">
        <f t="shared" si="3"/>
        <v>YES</v>
      </c>
    </row>
    <row r="119" spans="1:11" x14ac:dyDescent="0.6">
      <c r="A119" s="76" t="s">
        <v>795</v>
      </c>
      <c r="B119" s="76" t="s">
        <v>528</v>
      </c>
      <c r="C119" s="76" t="s">
        <v>757</v>
      </c>
      <c r="D119" s="76" t="s">
        <v>683</v>
      </c>
      <c r="E119" s="83">
        <v>12</v>
      </c>
      <c r="F119" s="83">
        <v>12</v>
      </c>
      <c r="G119" s="83">
        <v>0</v>
      </c>
      <c r="H119" s="81">
        <v>32.5</v>
      </c>
      <c r="I119" s="77">
        <f>IF(C119="matter_neutral",(F119/S_split)*R_radix^G119,R_radix^G119*IF(D119="positive",c_plus,c_minus)*F119*(1+F119/R_sq)*IF(C119="anti_charged",IF(D119="negative",A_neg*(1+F119/R_radix^(G119+1)),A_pos*(1-F119/R_radix^(G119+1))),1))</f>
        <v>32.5</v>
      </c>
      <c r="J119" s="78">
        <f t="shared" si="2"/>
        <v>0</v>
      </c>
      <c r="K119" s="79" t="str">
        <f t="shared" si="3"/>
        <v>YES</v>
      </c>
    </row>
    <row r="120" spans="1:11" x14ac:dyDescent="0.6">
      <c r="A120" s="76" t="s">
        <v>527</v>
      </c>
      <c r="B120" s="76" t="s">
        <v>528</v>
      </c>
      <c r="C120" s="76" t="s">
        <v>757</v>
      </c>
      <c r="D120" s="76" t="s">
        <v>684</v>
      </c>
      <c r="E120" s="83">
        <v>12</v>
      </c>
      <c r="F120" s="83">
        <v>12</v>
      </c>
      <c r="G120" s="83">
        <v>0</v>
      </c>
      <c r="H120" s="81">
        <v>0</v>
      </c>
      <c r="I120" s="77">
        <f>IF(C120="matter_neutral",(F120/S_split)*R_radix^G120,R_radix^G120*IF(D120="positive",c_plus,c_minus)*F120*(1+F120/R_sq)*IF(C120="anti_charged",IF(D120="negative",A_neg*(1+F120/R_radix^(G120+1)),A_pos*(1-F120/R_radix^(G120+1))),1))</f>
        <v>0</v>
      </c>
      <c r="J120" s="78">
        <f t="shared" si="2"/>
        <v>0</v>
      </c>
      <c r="K120" s="79" t="str">
        <f t="shared" si="3"/>
        <v>YES</v>
      </c>
    </row>
    <row r="121" spans="1:11" x14ac:dyDescent="0.6">
      <c r="A121" s="76" t="s">
        <v>796</v>
      </c>
      <c r="B121" s="76" t="s">
        <v>528</v>
      </c>
      <c r="C121" s="76" t="s">
        <v>757</v>
      </c>
      <c r="D121" s="76" t="s">
        <v>683</v>
      </c>
      <c r="E121" s="83">
        <v>12</v>
      </c>
      <c r="F121" s="83">
        <v>12</v>
      </c>
      <c r="G121" s="83">
        <v>1</v>
      </c>
      <c r="H121" s="81">
        <v>211.25</v>
      </c>
      <c r="I121" s="77">
        <f>IF(C121="matter_neutral",(F121/S_split)*R_radix^G121,R_radix^G121*IF(D121="positive",c_plus,c_minus)*F121*(1+F121/R_sq)*IF(C121="anti_charged",IF(D121="negative",A_neg*(1+F121/R_radix^(G121+1)),A_pos*(1-F121/R_radix^(G121+1))),1))</f>
        <v>211.24999999999997</v>
      </c>
      <c r="J121" s="78">
        <f t="shared" si="2"/>
        <v>0</v>
      </c>
      <c r="K121" s="79" t="str">
        <f t="shared" si="3"/>
        <v>YES</v>
      </c>
    </row>
    <row r="122" spans="1:11" x14ac:dyDescent="0.6">
      <c r="A122" s="76" t="s">
        <v>797</v>
      </c>
      <c r="B122" s="76" t="s">
        <v>528</v>
      </c>
      <c r="C122" s="76" t="s">
        <v>757</v>
      </c>
      <c r="D122" s="76" t="s">
        <v>684</v>
      </c>
      <c r="E122" s="83">
        <v>12</v>
      </c>
      <c r="F122" s="83">
        <v>12</v>
      </c>
      <c r="G122" s="83">
        <v>1</v>
      </c>
      <c r="H122" s="81">
        <v>214.5</v>
      </c>
      <c r="I122" s="77">
        <f>IF(C122="matter_neutral",(F122/S_split)*R_radix^G122,R_radix^G122*IF(D122="positive",c_plus,c_minus)*F122*(1+F122/R_sq)*IF(C122="anti_charged",IF(D122="negative",A_neg*(1+F122/R_radix^(G122+1)),A_pos*(1-F122/R_radix^(G122+1))),1))</f>
        <v>214.49999999999997</v>
      </c>
      <c r="J122" s="78">
        <f t="shared" si="2"/>
        <v>0</v>
      </c>
      <c r="K122" s="79" t="str">
        <f t="shared" si="3"/>
        <v>YES</v>
      </c>
    </row>
    <row r="124" spans="1:11" x14ac:dyDescent="0.6">
      <c r="A124" s="84" t="s">
        <v>798</v>
      </c>
    </row>
    <row r="125" spans="1:11" x14ac:dyDescent="0.6">
      <c r="A125" s="84" t="s">
        <v>514</v>
      </c>
      <c r="B125" s="84" t="s">
        <v>799</v>
      </c>
      <c r="C125" s="84" t="s">
        <v>800</v>
      </c>
      <c r="D125" s="84" t="s">
        <v>801</v>
      </c>
    </row>
    <row r="126" spans="1:11" x14ac:dyDescent="0.6">
      <c r="A126" t="s">
        <v>524</v>
      </c>
      <c r="B126">
        <f>COUNTIF(C9:C122,"matter_charged")</f>
        <v>48</v>
      </c>
      <c r="C126">
        <f>COUNTIFS(C9:C122,"matter_charged",K9:K122,"YES")</f>
        <v>48</v>
      </c>
      <c r="D126" cm="1">
        <f t="array" ref="D126">MAX(IF(C9:C122="matter_charged",ABS(J9:J122)))</f>
        <v>3.3333321880490985E-8</v>
      </c>
    </row>
    <row r="127" spans="1:11" x14ac:dyDescent="0.6">
      <c r="A127" t="s">
        <v>526</v>
      </c>
      <c r="B127">
        <f>COUNTIF(C9:C122,"matter_neutral")</f>
        <v>24</v>
      </c>
      <c r="C127">
        <f>COUNTIFS(C9:C122,"matter_neutral",K9:K122,"YES")</f>
        <v>24</v>
      </c>
      <c r="D127" cm="1">
        <f t="array" ref="D127">MAX(IF(C9:C122="matter_neutral",ABS(J9:J122)))</f>
        <v>0</v>
      </c>
    </row>
    <row r="128" spans="1:11" x14ac:dyDescent="0.6">
      <c r="A128" t="s">
        <v>529</v>
      </c>
      <c r="B128">
        <f>COUNTIF(C9:C122,"anti_charged")</f>
        <v>42</v>
      </c>
      <c r="C128">
        <f>COUNTIFS(C9:C122,"anti_charged",K9:K122,"YES")</f>
        <v>42</v>
      </c>
      <c r="D128" cm="1">
        <f t="array" ref="D128">MAX(IF(C9:C122="anti_charged",ABS(J9:J122)))</f>
        <v>5.0000039664155338E-8</v>
      </c>
    </row>
    <row r="129" spans="1:4" x14ac:dyDescent="0.6">
      <c r="A129" s="85" t="s">
        <v>802</v>
      </c>
      <c r="B129" s="85">
        <f>COUNTA(A9:A122)</f>
        <v>114</v>
      </c>
      <c r="C129" s="85">
        <f>COUNTIF(K9:K122,"YES")</f>
        <v>114</v>
      </c>
      <c r="D129" s="85" cm="1">
        <f t="array" ref="D129">MAX(ABS(J9:J122))</f>
        <v>5.0000039664155338E-8</v>
      </c>
    </row>
    <row r="131" spans="1:4" x14ac:dyDescent="0.6">
      <c r="A131" t="s">
        <v>803</v>
      </c>
      <c r="C131">
        <f>INDEX(I9:I122,MATCH("QP093A-0088",A9:A122,0))</f>
        <v>0</v>
      </c>
      <c r="D131" t="str">
        <f>IF(C131=0,"PASS","FAIL")</f>
        <v>PASS</v>
      </c>
    </row>
  </sheetData>
  <mergeCells count="3">
    <mergeCell ref="A1:G1"/>
    <mergeCell ref="A3:G3"/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9"/>
  <sheetViews>
    <sheetView workbookViewId="0">
      <pane ySplit="4" topLeftCell="A17" activePane="bottomLeft" state="frozen"/>
      <selection pane="bottomLeft" activeCell="C11" sqref="C11"/>
    </sheetView>
  </sheetViews>
  <sheetFormatPr defaultRowHeight="14.2" x14ac:dyDescent="0.6"/>
  <cols>
    <col min="1" max="1" width="28" customWidth="1"/>
    <col min="2" max="2" width="56" customWidth="1"/>
    <col min="3" max="3" width="22" customWidth="1"/>
    <col min="4" max="4" width="10" customWidth="1"/>
    <col min="5" max="5" width="50" customWidth="1"/>
  </cols>
  <sheetData>
    <row r="1" spans="1:7" ht="22.05" customHeight="1" x14ac:dyDescent="0.85">
      <c r="A1" s="42" t="s">
        <v>530</v>
      </c>
      <c r="B1" s="40"/>
      <c r="C1" s="40"/>
      <c r="D1" s="40"/>
      <c r="E1" s="40"/>
      <c r="F1" s="40"/>
      <c r="G1" s="40"/>
    </row>
    <row r="2" spans="1:7" x14ac:dyDescent="0.6">
      <c r="A2" s="41" t="s">
        <v>531</v>
      </c>
      <c r="B2" s="40"/>
      <c r="C2" s="40"/>
      <c r="D2" s="40"/>
      <c r="E2" s="40"/>
      <c r="F2" s="40"/>
      <c r="G2" s="40"/>
    </row>
    <row r="3" spans="1:7" x14ac:dyDescent="0.6">
      <c r="A3" s="41" t="s">
        <v>532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296</v>
      </c>
      <c r="C4" s="12" t="s">
        <v>5</v>
      </c>
      <c r="D4" s="12" t="s">
        <v>6</v>
      </c>
      <c r="E4" s="12" t="s">
        <v>8</v>
      </c>
    </row>
    <row r="5" spans="1:7" x14ac:dyDescent="0.6">
      <c r="A5" s="13" t="s">
        <v>533</v>
      </c>
      <c r="B5" s="11" t="s">
        <v>534</v>
      </c>
      <c r="C5" s="2">
        <v>118</v>
      </c>
      <c r="E5" s="11" t="s">
        <v>535</v>
      </c>
    </row>
    <row r="6" spans="1:7" x14ac:dyDescent="0.6">
      <c r="A6" s="13" t="s">
        <v>655</v>
      </c>
      <c r="B6" s="11" t="s">
        <v>536</v>
      </c>
      <c r="C6" s="48">
        <f>C5 + INT(C5 * INT((C5-1)/12) / 12)</f>
        <v>206</v>
      </c>
      <c r="E6" s="11" t="s">
        <v>537</v>
      </c>
    </row>
    <row r="7" spans="1:7" x14ac:dyDescent="0.6">
      <c r="A7" s="11" t="s">
        <v>538</v>
      </c>
      <c r="B7" s="11" t="s">
        <v>539</v>
      </c>
      <c r="C7" s="6">
        <f>C5+C6</f>
        <v>324</v>
      </c>
    </row>
    <row r="8" spans="1:7" x14ac:dyDescent="0.6">
      <c r="A8" s="11" t="s">
        <v>540</v>
      </c>
      <c r="B8" s="11" t="s">
        <v>541</v>
      </c>
      <c r="C8" s="6">
        <f>C6-C5</f>
        <v>88</v>
      </c>
    </row>
    <row r="9" spans="1:7" x14ac:dyDescent="0.6">
      <c r="A9" s="11" t="s">
        <v>542</v>
      </c>
      <c r="B9" s="11" t="s">
        <v>543</v>
      </c>
      <c r="C9" s="33">
        <f>kappa_floor</f>
        <v>9.2669270833333339</v>
      </c>
    </row>
    <row r="10" spans="1:7" x14ac:dyDescent="0.6">
      <c r="A10" s="11" t="s">
        <v>229</v>
      </c>
      <c r="B10" s="11" t="s">
        <v>544</v>
      </c>
      <c r="C10" s="33">
        <f>g_const</f>
        <v>1.5625E-2</v>
      </c>
    </row>
    <row r="11" spans="1:7" x14ac:dyDescent="0.6">
      <c r="A11" s="11" t="s">
        <v>545</v>
      </c>
      <c r="B11" s="11" t="s">
        <v>546</v>
      </c>
      <c r="C11" s="26">
        <f>4*C7*C9</f>
        <v>12009.9375</v>
      </c>
    </row>
    <row r="12" spans="1:7" x14ac:dyDescent="0.6">
      <c r="A12" s="11" t="s">
        <v>547</v>
      </c>
      <c r="B12" s="11" t="s">
        <v>548</v>
      </c>
      <c r="C12" s="26">
        <f>S_split*(C5*C9 + C8*C10)</f>
        <v>8758.9791666666679</v>
      </c>
    </row>
    <row r="13" spans="1:7" x14ac:dyDescent="0.6">
      <c r="A13" s="11" t="s">
        <v>549</v>
      </c>
      <c r="B13" s="11" t="s">
        <v>550</v>
      </c>
      <c r="C13" s="26">
        <f>C11-C12</f>
        <v>3250.9583333333321</v>
      </c>
    </row>
    <row r="14" spans="1:7" x14ac:dyDescent="0.6">
      <c r="A14" s="11" t="s">
        <v>551</v>
      </c>
      <c r="B14" s="11" t="s">
        <v>552</v>
      </c>
      <c r="C14" s="34">
        <f>C8*dQ_coef</f>
        <v>3250.9583333333335</v>
      </c>
      <c r="E14" s="11" t="s">
        <v>553</v>
      </c>
    </row>
    <row r="15" spans="1:7" x14ac:dyDescent="0.6">
      <c r="A15" s="11" t="s">
        <v>554</v>
      </c>
      <c r="B15" s="11" t="s">
        <v>555</v>
      </c>
      <c r="C15" s="6">
        <f>C5*C9 + C8*C10</f>
        <v>1094.8723958333335</v>
      </c>
    </row>
    <row r="16" spans="1:7" x14ac:dyDescent="0.6">
      <c r="A16" s="11" t="s">
        <v>556</v>
      </c>
      <c r="B16" s="11" t="s">
        <v>557</v>
      </c>
      <c r="C16" s="6">
        <f>8*C15</f>
        <v>8758.9791666666679</v>
      </c>
    </row>
    <row r="17" spans="1:5" x14ac:dyDescent="0.6">
      <c r="A17" s="11" t="s">
        <v>558</v>
      </c>
      <c r="B17" s="11" t="s">
        <v>559</v>
      </c>
      <c r="C17" s="6">
        <f>C13^2/C11</f>
        <v>879.99875811755362</v>
      </c>
    </row>
    <row r="18" spans="1:5" x14ac:dyDescent="0.6">
      <c r="A18" s="11" t="s">
        <v>560</v>
      </c>
      <c r="B18" s="11" t="s">
        <v>561</v>
      </c>
      <c r="C18" s="4">
        <f>C8^2/C7 * 7093^2/(192*7117)</f>
        <v>879.99875811755419</v>
      </c>
      <c r="E18" s="11" t="s">
        <v>562</v>
      </c>
    </row>
    <row r="20" spans="1:5" x14ac:dyDescent="0.6">
      <c r="A20" s="13" t="s">
        <v>563</v>
      </c>
    </row>
    <row r="21" spans="1:5" x14ac:dyDescent="0.6">
      <c r="A21" s="13" t="s">
        <v>656</v>
      </c>
      <c r="C21" s="48">
        <f>IF(AND(ISEVEN(C5),ISEVEN(C6)),1,IF(AND(ISODD(C5),ISODD(C6)),-1,0))</f>
        <v>1</v>
      </c>
      <c r="E21" s="11" t="s">
        <v>564</v>
      </c>
    </row>
    <row r="22" spans="1:5" x14ac:dyDescent="0.6">
      <c r="A22" s="13" t="s">
        <v>565</v>
      </c>
      <c r="C22" s="2">
        <v>0</v>
      </c>
      <c r="E22" s="11" t="s">
        <v>566</v>
      </c>
    </row>
    <row r="23" spans="1:5" x14ac:dyDescent="0.6">
      <c r="A23" s="11" t="s">
        <v>567</v>
      </c>
      <c r="C23" s="6">
        <f>S_split</f>
        <v>8</v>
      </c>
    </row>
    <row r="24" spans="1:5" x14ac:dyDescent="0.6">
      <c r="A24" s="11" t="s">
        <v>568</v>
      </c>
      <c r="C24" s="6">
        <f>Theta_bridge - 1</f>
        <v>17</v>
      </c>
    </row>
    <row r="25" spans="1:5" x14ac:dyDescent="0.6">
      <c r="A25" s="11" t="s">
        <v>569</v>
      </c>
      <c r="C25" s="6">
        <f>d_sq / R_radix</f>
        <v>0.75</v>
      </c>
    </row>
    <row r="26" spans="1:5" x14ac:dyDescent="0.6">
      <c r="A26" s="11" t="s">
        <v>570</v>
      </c>
      <c r="C26" s="6">
        <f>h_hat * (R_radix - 1)</f>
        <v>22</v>
      </c>
    </row>
    <row r="27" spans="1:5" x14ac:dyDescent="0.6">
      <c r="A27" s="11" t="s">
        <v>571</v>
      </c>
      <c r="C27" s="6">
        <f>S_split - 1</f>
        <v>7</v>
      </c>
    </row>
    <row r="28" spans="1:5" x14ac:dyDescent="0.6">
      <c r="A28" s="11" t="s">
        <v>572</v>
      </c>
      <c r="C28" s="6">
        <f>L_6</f>
        <v>6.25</v>
      </c>
    </row>
    <row r="29" spans="1:5" x14ac:dyDescent="0.6">
      <c r="A29" s="13" t="s">
        <v>573</v>
      </c>
      <c r="B29" s="11" t="s">
        <v>574</v>
      </c>
      <c r="C29" s="26">
        <f>C23*C7 - C24*C7^(2/3) - C25*C5*(C5-1)/C7^(1/3) - C26*C8^2/C7 + C27*C21/SQRT(C7) - C28*C22</f>
        <v>-242.9666252515282</v>
      </c>
      <c r="E29" s="11" t="s">
        <v>575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pane ySplit="4" topLeftCell="A5" activePane="bottomLeft" state="frozen"/>
      <selection pane="bottomLeft" sqref="A1:G1"/>
    </sheetView>
  </sheetViews>
  <sheetFormatPr defaultRowHeight="14.2" x14ac:dyDescent="0.6"/>
  <cols>
    <col min="1" max="1" width="16" customWidth="1"/>
    <col min="2" max="2" width="56" customWidth="1"/>
    <col min="3" max="3" width="16" customWidth="1"/>
    <col min="4" max="4" width="10" customWidth="1"/>
    <col min="5" max="5" width="36" customWidth="1"/>
  </cols>
  <sheetData>
    <row r="1" spans="1:7" ht="22.05" customHeight="1" x14ac:dyDescent="0.85">
      <c r="A1" s="42" t="s">
        <v>576</v>
      </c>
      <c r="B1" s="40"/>
      <c r="C1" s="40"/>
      <c r="D1" s="40"/>
      <c r="E1" s="40"/>
      <c r="F1" s="40"/>
      <c r="G1" s="40"/>
    </row>
    <row r="2" spans="1:7" x14ac:dyDescent="0.6">
      <c r="A2" s="41" t="s">
        <v>577</v>
      </c>
      <c r="B2" s="40"/>
      <c r="C2" s="40"/>
      <c r="D2" s="40"/>
      <c r="E2" s="40"/>
      <c r="F2" s="40"/>
      <c r="G2" s="40"/>
    </row>
    <row r="3" spans="1:7" x14ac:dyDescent="0.6">
      <c r="A3" s="41" t="s">
        <v>578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579</v>
      </c>
      <c r="C4" s="12" t="s">
        <v>5</v>
      </c>
      <c r="D4" s="12" t="s">
        <v>6</v>
      </c>
      <c r="E4" s="12" t="s">
        <v>8</v>
      </c>
    </row>
    <row r="5" spans="1:7" x14ac:dyDescent="0.6">
      <c r="A5" s="13" t="s">
        <v>381</v>
      </c>
      <c r="B5" s="11" t="s">
        <v>580</v>
      </c>
      <c r="C5" s="35">
        <v>3596.43</v>
      </c>
      <c r="D5" s="11"/>
      <c r="E5" s="11" t="s">
        <v>383</v>
      </c>
    </row>
    <row r="6" spans="1:7" x14ac:dyDescent="0.6">
      <c r="A6" s="13" t="s">
        <v>375</v>
      </c>
      <c r="B6" s="11" t="s">
        <v>581</v>
      </c>
      <c r="C6" s="35">
        <v>1091.22</v>
      </c>
      <c r="D6" s="11"/>
      <c r="E6" s="11" t="s">
        <v>377</v>
      </c>
    </row>
    <row r="7" spans="1:7" x14ac:dyDescent="0.6">
      <c r="A7" s="13" t="s">
        <v>378</v>
      </c>
      <c r="B7" s="11" t="s">
        <v>582</v>
      </c>
      <c r="C7" s="35">
        <v>1023.34</v>
      </c>
      <c r="D7" s="11"/>
      <c r="E7" s="11"/>
    </row>
    <row r="8" spans="1:7" x14ac:dyDescent="0.6">
      <c r="A8" s="13" t="s">
        <v>384</v>
      </c>
      <c r="B8" s="11" t="s">
        <v>583</v>
      </c>
      <c r="C8" s="35">
        <v>141.77799999999999</v>
      </c>
      <c r="D8" s="11" t="s">
        <v>151</v>
      </c>
      <c r="E8" s="11"/>
    </row>
    <row r="9" spans="1:7" x14ac:dyDescent="0.6">
      <c r="A9" s="13" t="s">
        <v>385</v>
      </c>
      <c r="B9" s="11" t="s">
        <v>584</v>
      </c>
      <c r="C9" s="35">
        <v>147.76900000000001</v>
      </c>
      <c r="D9" s="11" t="s">
        <v>151</v>
      </c>
      <c r="E9" s="11" t="s">
        <v>368</v>
      </c>
    </row>
    <row r="10" spans="1:7" x14ac:dyDescent="0.6">
      <c r="A10" s="13" t="s">
        <v>387</v>
      </c>
      <c r="B10" s="11" t="s">
        <v>585</v>
      </c>
      <c r="C10" s="35">
        <v>13536.18</v>
      </c>
      <c r="D10" s="11" t="s">
        <v>151</v>
      </c>
      <c r="E10" s="11"/>
    </row>
    <row r="11" spans="1:7" x14ac:dyDescent="0.6">
      <c r="A11" s="13" t="s">
        <v>388</v>
      </c>
      <c r="B11" s="11" t="s">
        <v>389</v>
      </c>
      <c r="C11" s="35">
        <f>100*141.778/13536.18</f>
        <v>1.0474003744040046</v>
      </c>
      <c r="D11" s="11"/>
      <c r="E11" s="11" t="s">
        <v>586</v>
      </c>
    </row>
    <row r="12" spans="1:7" x14ac:dyDescent="0.6">
      <c r="A12" s="13" t="s">
        <v>391</v>
      </c>
      <c r="B12" s="11" t="s">
        <v>392</v>
      </c>
      <c r="C12" s="35">
        <f>PI()/(100*141.778/13536.18/100)</f>
        <v>299.94190668276525</v>
      </c>
      <c r="D12" s="11"/>
      <c r="E12" s="11" t="s">
        <v>587</v>
      </c>
    </row>
    <row r="13" spans="1:7" x14ac:dyDescent="0.6">
      <c r="A13" s="13" t="s">
        <v>588</v>
      </c>
      <c r="B13" s="11" t="s">
        <v>125</v>
      </c>
      <c r="C13" s="35">
        <f>T_CMB</f>
        <v>2.7254999999999998</v>
      </c>
      <c r="D13" s="11" t="s">
        <v>126</v>
      </c>
      <c r="E13" s="11" t="s">
        <v>589</v>
      </c>
    </row>
    <row r="16" spans="1:7" x14ac:dyDescent="0.6">
      <c r="A16" s="13" t="s">
        <v>590</v>
      </c>
    </row>
    <row r="17" spans="1:5" x14ac:dyDescent="0.6">
      <c r="A17" s="11" t="s">
        <v>591</v>
      </c>
      <c r="C17" s="2">
        <v>1100</v>
      </c>
      <c r="E17" s="11" t="s">
        <v>592</v>
      </c>
    </row>
    <row r="18" spans="1:5" x14ac:dyDescent="0.6">
      <c r="A18" s="11" t="s">
        <v>593</v>
      </c>
      <c r="C18" s="36">
        <f>T_CMB*(1+C17)</f>
        <v>3000.7754999999997</v>
      </c>
      <c r="D18" s="11" t="s">
        <v>126</v>
      </c>
    </row>
    <row r="20" spans="1:5" x14ac:dyDescent="0.6">
      <c r="A20" s="13" t="s">
        <v>594</v>
      </c>
    </row>
    <row r="21" spans="1:5" x14ac:dyDescent="0.6">
      <c r="A21" s="11" t="s">
        <v>595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2"/>
  <sheetViews>
    <sheetView workbookViewId="0">
      <pane ySplit="4" topLeftCell="A5" activePane="bottomLeft" state="frozen"/>
      <selection pane="bottomLeft" activeCell="C15" sqref="C15"/>
    </sheetView>
  </sheetViews>
  <sheetFormatPr defaultRowHeight="14.2" x14ac:dyDescent="0.6"/>
  <cols>
    <col min="1" max="1" width="36" customWidth="1"/>
    <col min="2" max="2" width="30" customWidth="1"/>
    <col min="3" max="3" width="22" customWidth="1"/>
    <col min="4" max="4" width="12" customWidth="1"/>
    <col min="5" max="5" width="36" customWidth="1"/>
  </cols>
  <sheetData>
    <row r="1" spans="1:7" ht="22.05" customHeight="1" x14ac:dyDescent="0.85">
      <c r="A1" s="42" t="s">
        <v>596</v>
      </c>
      <c r="B1" s="40"/>
      <c r="C1" s="40"/>
      <c r="D1" s="40"/>
      <c r="E1" s="40"/>
      <c r="F1" s="40"/>
      <c r="G1" s="40"/>
    </row>
    <row r="2" spans="1:7" x14ac:dyDescent="0.6">
      <c r="A2" s="41" t="s">
        <v>597</v>
      </c>
      <c r="B2" s="40"/>
      <c r="C2" s="40"/>
      <c r="D2" s="40"/>
      <c r="E2" s="40"/>
      <c r="F2" s="40"/>
      <c r="G2" s="40"/>
    </row>
    <row r="3" spans="1:7" x14ac:dyDescent="0.6">
      <c r="A3" s="41" t="s">
        <v>598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296</v>
      </c>
      <c r="C4" s="12" t="s">
        <v>5</v>
      </c>
      <c r="D4" s="12" t="s">
        <v>6</v>
      </c>
      <c r="E4" s="12" t="s">
        <v>8</v>
      </c>
    </row>
    <row r="5" spans="1:7" x14ac:dyDescent="0.6">
      <c r="A5" s="13" t="s">
        <v>115</v>
      </c>
      <c r="B5" s="11" t="s">
        <v>116</v>
      </c>
      <c r="C5" s="26">
        <f>Omega_L</f>
        <v>0.68169011381620936</v>
      </c>
      <c r="D5" s="11"/>
      <c r="E5" s="11" t="s">
        <v>599</v>
      </c>
    </row>
    <row r="6" spans="1:7" x14ac:dyDescent="0.6">
      <c r="A6" s="13" t="s">
        <v>600</v>
      </c>
      <c r="B6" s="11"/>
      <c r="C6" s="26">
        <f>SQRT(Omega_L)</f>
        <v>0.82564527117655639</v>
      </c>
      <c r="D6" s="11"/>
      <c r="E6" s="11"/>
    </row>
    <row r="7" spans="1:7" x14ac:dyDescent="0.6">
      <c r="A7" s="13" t="s">
        <v>601</v>
      </c>
      <c r="B7" s="11"/>
      <c r="C7" s="26">
        <f>Omega_L^(3/2)</f>
        <v>0.56283421888016172</v>
      </c>
      <c r="D7" s="11"/>
      <c r="E7" s="11" t="s">
        <v>654</v>
      </c>
    </row>
    <row r="8" spans="1:7" x14ac:dyDescent="0.6">
      <c r="A8" s="13" t="s">
        <v>602</v>
      </c>
      <c r="B8" s="11" t="s">
        <v>652</v>
      </c>
      <c r="C8" s="26">
        <f>Omega_m</f>
        <v>0.31830988618379069</v>
      </c>
      <c r="D8" s="11"/>
      <c r="E8" s="11" t="s">
        <v>603</v>
      </c>
    </row>
    <row r="9" spans="1:7" x14ac:dyDescent="0.6">
      <c r="A9" s="13" t="s">
        <v>604</v>
      </c>
      <c r="B9" s="11" t="s">
        <v>653</v>
      </c>
      <c r="C9" s="26">
        <f>1 - Omega_m</f>
        <v>0.68169011381620925</v>
      </c>
      <c r="D9" s="11"/>
      <c r="E9" s="11" t="s">
        <v>605</v>
      </c>
    </row>
    <row r="10" spans="1:7" x14ac:dyDescent="0.6">
      <c r="A10" s="13" t="s">
        <v>606</v>
      </c>
      <c r="B10" s="11" t="s">
        <v>607</v>
      </c>
      <c r="C10" s="26">
        <f>H_0_SAM * SQRT(Omega_L)</f>
        <v>55.524954264617755</v>
      </c>
      <c r="D10" s="11" t="s">
        <v>209</v>
      </c>
      <c r="E10" s="11" t="s">
        <v>608</v>
      </c>
    </row>
    <row r="11" spans="1:7" x14ac:dyDescent="0.6">
      <c r="A11" s="13" t="s">
        <v>609</v>
      </c>
      <c r="B11" s="11" t="s">
        <v>610</v>
      </c>
      <c r="C11" s="26">
        <f>H_0_SAM * Omega_L^(3/2)</f>
        <v>37.850812392287089</v>
      </c>
      <c r="D11" s="11" t="s">
        <v>209</v>
      </c>
      <c r="E11" s="11" t="s">
        <v>611</v>
      </c>
    </row>
    <row r="12" spans="1:7" x14ac:dyDescent="0.6">
      <c r="A12" s="13" t="s">
        <v>612</v>
      </c>
      <c r="B12" s="11" t="s">
        <v>613</v>
      </c>
      <c r="C12" s="26">
        <f>73.04 * Omega_L^(3/2)</f>
        <v>41.109411347007018</v>
      </c>
      <c r="D12" s="11" t="s">
        <v>209</v>
      </c>
      <c r="E12" s="11" t="s">
        <v>614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workbookViewId="0">
      <pane ySplit="4" topLeftCell="A5" activePane="bottomLeft" state="frozen"/>
      <selection pane="bottomLeft" sqref="A1:G1"/>
    </sheetView>
  </sheetViews>
  <sheetFormatPr defaultRowHeight="14.2" x14ac:dyDescent="0.6"/>
  <cols>
    <col min="1" max="1" width="28" customWidth="1"/>
    <col min="2" max="2" width="36" customWidth="1"/>
    <col min="3" max="3" width="28" customWidth="1"/>
    <col min="4" max="4" width="12" customWidth="1"/>
    <col min="5" max="5" width="36" customWidth="1"/>
  </cols>
  <sheetData>
    <row r="1" spans="1:7" ht="22.05" customHeight="1" x14ac:dyDescent="0.85">
      <c r="A1" s="42" t="s">
        <v>615</v>
      </c>
      <c r="B1" s="40"/>
      <c r="C1" s="40"/>
      <c r="D1" s="40"/>
      <c r="E1" s="40"/>
      <c r="F1" s="40"/>
      <c r="G1" s="40"/>
    </row>
    <row r="2" spans="1:7" x14ac:dyDescent="0.6">
      <c r="A2" s="41" t="s">
        <v>616</v>
      </c>
      <c r="B2" s="40"/>
      <c r="C2" s="40"/>
      <c r="D2" s="40"/>
      <c r="E2" s="40"/>
      <c r="F2" s="40"/>
      <c r="G2" s="40"/>
    </row>
    <row r="3" spans="1:7" x14ac:dyDescent="0.6">
      <c r="A3" s="41" t="s">
        <v>617</v>
      </c>
      <c r="B3" s="40"/>
      <c r="C3" s="40"/>
      <c r="D3" s="40"/>
      <c r="E3" s="40"/>
      <c r="F3" s="40"/>
      <c r="G3" s="40"/>
    </row>
    <row r="4" spans="1:7" x14ac:dyDescent="0.6">
      <c r="A4" s="12" t="s">
        <v>295</v>
      </c>
      <c r="B4" s="12" t="s">
        <v>296</v>
      </c>
      <c r="C4" s="12" t="s">
        <v>5</v>
      </c>
      <c r="D4" s="12" t="s">
        <v>618</v>
      </c>
      <c r="E4" s="12" t="s">
        <v>8</v>
      </c>
    </row>
    <row r="5" spans="1:7" x14ac:dyDescent="0.6">
      <c r="A5" s="13" t="s">
        <v>619</v>
      </c>
      <c r="B5" s="11" t="s">
        <v>620</v>
      </c>
      <c r="C5" s="33">
        <v>1</v>
      </c>
      <c r="D5" s="11" t="s">
        <v>621</v>
      </c>
      <c r="E5" s="11" t="s">
        <v>622</v>
      </c>
    </row>
    <row r="6" spans="1:7" x14ac:dyDescent="0.6">
      <c r="A6" s="13" t="s">
        <v>623</v>
      </c>
      <c r="B6" s="11" t="s">
        <v>624</v>
      </c>
      <c r="C6" s="33">
        <f>4*pi_val*d_hat</f>
        <v>37.699111843077517</v>
      </c>
      <c r="D6" s="11" t="s">
        <v>625</v>
      </c>
      <c r="E6" s="11" t="s">
        <v>626</v>
      </c>
    </row>
    <row r="7" spans="1:7" x14ac:dyDescent="0.6">
      <c r="A7" s="13" t="s">
        <v>627</v>
      </c>
      <c r="B7" s="11" t="s">
        <v>628</v>
      </c>
      <c r="C7" s="33">
        <f>1/(4*pi_val*d_hat)</f>
        <v>2.6525823848649224E-2</v>
      </c>
      <c r="D7" s="11" t="s">
        <v>629</v>
      </c>
      <c r="E7" s="11" t="s">
        <v>447</v>
      </c>
    </row>
    <row r="8" spans="1:7" x14ac:dyDescent="0.6">
      <c r="A8" s="13" t="s">
        <v>630</v>
      </c>
      <c r="B8" s="11" t="s">
        <v>631</v>
      </c>
      <c r="C8" s="37">
        <f>A_0 - 1/(12*pi_val)</f>
        <v>0</v>
      </c>
      <c r="D8" s="11" t="s">
        <v>55</v>
      </c>
      <c r="E8" s="11" t="s">
        <v>56</v>
      </c>
    </row>
    <row r="9" spans="1:7" x14ac:dyDescent="0.6">
      <c r="A9" s="13" t="s">
        <v>95</v>
      </c>
      <c r="B9" s="11" t="s">
        <v>632</v>
      </c>
      <c r="C9" s="33">
        <f>A_share</f>
        <v>8.3333333333333329E-2</v>
      </c>
      <c r="D9" s="11" t="s">
        <v>633</v>
      </c>
      <c r="E9" s="11" t="s">
        <v>634</v>
      </c>
    </row>
    <row r="10" spans="1:7" x14ac:dyDescent="0.6">
      <c r="A10" s="13" t="s">
        <v>103</v>
      </c>
      <c r="B10" s="11" t="s">
        <v>635</v>
      </c>
      <c r="C10" s="33">
        <f>Omega_m</f>
        <v>0.31830988618379069</v>
      </c>
      <c r="D10" s="11" t="s">
        <v>633</v>
      </c>
      <c r="E10" s="11" t="s">
        <v>636</v>
      </c>
    </row>
    <row r="11" spans="1:7" x14ac:dyDescent="0.6">
      <c r="A11" s="13" t="s">
        <v>637</v>
      </c>
      <c r="B11" s="11" t="s">
        <v>638</v>
      </c>
      <c r="C11" s="33">
        <v>0.66666666666666674</v>
      </c>
      <c r="D11" s="11" t="s">
        <v>621</v>
      </c>
      <c r="E11" s="11" t="s">
        <v>639</v>
      </c>
    </row>
    <row r="12" spans="1:7" x14ac:dyDescent="0.6">
      <c r="A12" s="13" t="s">
        <v>640</v>
      </c>
      <c r="B12" s="11" t="s">
        <v>641</v>
      </c>
      <c r="C12" s="33">
        <v>0.33333333333333331</v>
      </c>
      <c r="D12" s="11" t="s">
        <v>621</v>
      </c>
      <c r="E12" s="11" t="s">
        <v>642</v>
      </c>
    </row>
    <row r="13" spans="1:7" x14ac:dyDescent="0.6">
      <c r="A13" s="13" t="s">
        <v>643</v>
      </c>
      <c r="B13" s="11" t="s">
        <v>644</v>
      </c>
      <c r="C13" s="33">
        <f>2*G_newton*C14/c_light^2</f>
        <v>2954.007736491099</v>
      </c>
      <c r="D13" s="11" t="s">
        <v>645</v>
      </c>
      <c r="E13" s="11" t="s">
        <v>646</v>
      </c>
    </row>
    <row r="14" spans="1:7" x14ac:dyDescent="0.6">
      <c r="A14" s="13" t="s">
        <v>647</v>
      </c>
      <c r="C14" s="38">
        <v>1.9889199999999999E+30</v>
      </c>
      <c r="D14" s="11" t="s">
        <v>158</v>
      </c>
      <c r="E14" s="11" t="s">
        <v>648</v>
      </c>
    </row>
    <row r="16" spans="1:7" x14ac:dyDescent="0.6">
      <c r="A16" s="13" t="s">
        <v>649</v>
      </c>
    </row>
    <row r="17" spans="1:1" x14ac:dyDescent="0.6">
      <c r="A17" s="11" t="s">
        <v>650</v>
      </c>
    </row>
    <row r="18" spans="1:1" x14ac:dyDescent="0.6">
      <c r="A18" s="11" t="s">
        <v>651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6567-39AF-4513-8388-F194140FFD9F}">
  <dimension ref="A1:AD1705"/>
  <sheetViews>
    <sheetView workbookViewId="0">
      <pane ySplit="4" topLeftCell="A5" activePane="bottomLeft" state="frozen"/>
      <selection pane="bottomLeft"/>
    </sheetView>
  </sheetViews>
  <sheetFormatPr defaultRowHeight="14.2" outlineLevelCol="1" x14ac:dyDescent="0.6"/>
  <cols>
    <col min="1" max="1" width="164.1484375" bestFit="1" customWidth="1"/>
    <col min="9" max="30" width="8.796875" outlineLevel="1"/>
  </cols>
  <sheetData>
    <row r="1" spans="1:30" ht="16.95" x14ac:dyDescent="0.7">
      <c r="A1" s="86" t="s">
        <v>804</v>
      </c>
      <c r="I1" t="s">
        <v>814</v>
      </c>
      <c r="J1">
        <v>0</v>
      </c>
      <c r="K1">
        <v>0.05</v>
      </c>
      <c r="L1">
        <v>0.1</v>
      </c>
      <c r="M1">
        <v>0.15</v>
      </c>
      <c r="N1">
        <v>0.2</v>
      </c>
      <c r="O1">
        <v>0.25</v>
      </c>
      <c r="P1">
        <v>0.3</v>
      </c>
      <c r="Q1">
        <v>0.35</v>
      </c>
      <c r="R1">
        <v>0.4</v>
      </c>
      <c r="S1">
        <v>0.45</v>
      </c>
      <c r="T1">
        <v>0.5</v>
      </c>
      <c r="U1">
        <v>0.55000000000000004</v>
      </c>
      <c r="V1">
        <v>0.6</v>
      </c>
      <c r="W1">
        <v>0.65</v>
      </c>
      <c r="X1">
        <v>0.7</v>
      </c>
      <c r="Y1">
        <v>0.75</v>
      </c>
      <c r="Z1">
        <v>0.8</v>
      </c>
      <c r="AA1">
        <v>0.85</v>
      </c>
      <c r="AB1">
        <v>0.9</v>
      </c>
      <c r="AC1">
        <v>0.95</v>
      </c>
      <c r="AD1">
        <v>1</v>
      </c>
    </row>
    <row r="2" spans="1:30" x14ac:dyDescent="0.6">
      <c r="A2" t="s">
        <v>805</v>
      </c>
      <c r="I2" t="s">
        <v>815</v>
      </c>
      <c r="J2">
        <v>1</v>
      </c>
      <c r="K2">
        <v>4</v>
      </c>
      <c r="L2">
        <v>2</v>
      </c>
      <c r="M2">
        <v>4</v>
      </c>
      <c r="N2">
        <v>2</v>
      </c>
      <c r="O2">
        <v>4</v>
      </c>
      <c r="P2">
        <v>2</v>
      </c>
      <c r="Q2">
        <v>4</v>
      </c>
      <c r="R2">
        <v>2</v>
      </c>
      <c r="S2">
        <v>4</v>
      </c>
      <c r="T2">
        <v>2</v>
      </c>
      <c r="U2">
        <v>4</v>
      </c>
      <c r="V2">
        <v>2</v>
      </c>
      <c r="W2">
        <v>4</v>
      </c>
      <c r="X2">
        <v>2</v>
      </c>
      <c r="Y2">
        <v>4</v>
      </c>
      <c r="Z2">
        <v>2</v>
      </c>
      <c r="AA2">
        <v>4</v>
      </c>
      <c r="AB2">
        <v>2</v>
      </c>
      <c r="AC2">
        <v>4</v>
      </c>
      <c r="AD2">
        <v>1</v>
      </c>
    </row>
    <row r="3" spans="1:30" x14ac:dyDescent="0.6">
      <c r="A3" t="s">
        <v>806</v>
      </c>
    </row>
    <row r="4" spans="1:30" x14ac:dyDescent="0.6">
      <c r="A4" s="53" t="s">
        <v>807</v>
      </c>
      <c r="B4" s="53" t="s">
        <v>808</v>
      </c>
      <c r="C4" s="53" t="s">
        <v>809</v>
      </c>
      <c r="D4" s="53" t="s">
        <v>810</v>
      </c>
      <c r="E4" s="53" t="s">
        <v>811</v>
      </c>
      <c r="F4" s="53" t="s">
        <v>812</v>
      </c>
      <c r="G4" s="53" t="s">
        <v>813</v>
      </c>
    </row>
    <row r="5" spans="1:30" x14ac:dyDescent="0.6">
      <c r="A5" s="76" t="s">
        <v>816</v>
      </c>
      <c r="B5" s="87">
        <v>1.2199999999999999E-3</v>
      </c>
      <c r="C5" s="88">
        <v>28.998699999999999</v>
      </c>
      <c r="D5" s="88">
        <v>1.5164500000000001</v>
      </c>
      <c r="E5" s="76">
        <v>1</v>
      </c>
      <c r="F5" s="89" cm="1">
        <f t="array" ref="F5">5*LOG10(((c_light/1000/H_0_SAM)*(B5/60)*SUMPRODUCT($J$2:$AD$2,1/SQRT(Omega_m*(1+$J$1:$AD$1*B5)^3+Omega_L)))*(1+B5)*100000)</f>
        <v>28.679444004500937</v>
      </c>
      <c r="G5" s="89">
        <f>F5-C5</f>
        <v>-0.31925599549906281</v>
      </c>
    </row>
    <row r="6" spans="1:30" x14ac:dyDescent="0.6">
      <c r="A6" s="76" t="s">
        <v>816</v>
      </c>
      <c r="B6" s="87">
        <v>1.2199999999999999E-3</v>
      </c>
      <c r="C6" s="88">
        <v>29.055900000000001</v>
      </c>
      <c r="D6" s="88">
        <v>1.5174700000000001</v>
      </c>
      <c r="E6" s="76">
        <v>1</v>
      </c>
      <c r="F6" s="89" cm="1">
        <f t="array" ref="F6">5*LOG10(((c_light/1000/H_0_SAM)*(B6/60)*SUMPRODUCT($J$2:$AD$2,1/SQRT(Omega_m*(1+$J$1:$AD$1*B6)^3+Omega_L)))*(1+B6)*100000)</f>
        <v>28.679444004500937</v>
      </c>
      <c r="G6" s="89">
        <f t="shared" ref="G6:G69" si="0">F6-C6</f>
        <v>-0.3764559954990645</v>
      </c>
    </row>
    <row r="7" spans="1:30" x14ac:dyDescent="0.6">
      <c r="A7" s="76" t="s">
        <v>817</v>
      </c>
      <c r="B7" s="87">
        <v>2.5600000000000002E-3</v>
      </c>
      <c r="C7" s="88">
        <v>30.723299999999998</v>
      </c>
      <c r="D7" s="88">
        <v>0.78237000000000001</v>
      </c>
      <c r="E7" s="76">
        <v>1</v>
      </c>
      <c r="F7" s="89" cm="1">
        <f t="array" ref="F7">5*LOG10(((c_light/1000/H_0_SAM)*(B7/60)*SUMPRODUCT($J$2:$AD$2,1/SQRT(Omega_m*(1+$J$1:$AD$1*B7)^3+Omega_L)))*(1+B7)*100000)</f>
        <v>30.291053496225985</v>
      </c>
      <c r="G7" s="89">
        <f t="shared" si="0"/>
        <v>-0.43224650377401375</v>
      </c>
    </row>
    <row r="8" spans="1:30" x14ac:dyDescent="0.6">
      <c r="A8" s="76" t="s">
        <v>817</v>
      </c>
      <c r="B8" s="87">
        <v>2.5600000000000002E-3</v>
      </c>
      <c r="C8" s="88">
        <v>30.744900000000001</v>
      </c>
      <c r="D8" s="88">
        <v>0.79906999999999995</v>
      </c>
      <c r="E8" s="76">
        <v>1</v>
      </c>
      <c r="F8" s="89" cm="1">
        <f t="array" ref="F8">5*LOG10(((c_light/1000/H_0_SAM)*(B8/60)*SUMPRODUCT($J$2:$AD$2,1/SQRT(Omega_m*(1+$J$1:$AD$1*B8)^3+Omega_L)))*(1+B8)*100000)</f>
        <v>30.291053496225985</v>
      </c>
      <c r="G8" s="89">
        <f t="shared" si="0"/>
        <v>-0.4538465037740167</v>
      </c>
    </row>
    <row r="9" spans="1:30" x14ac:dyDescent="0.6">
      <c r="A9" s="76" t="s">
        <v>818</v>
      </c>
      <c r="B9" s="87">
        <v>2.99E-3</v>
      </c>
      <c r="C9" s="88">
        <v>30.775700000000001</v>
      </c>
      <c r="D9" s="88">
        <v>0.88121000000000005</v>
      </c>
      <c r="E9" s="76">
        <v>0</v>
      </c>
      <c r="F9" s="89" cm="1">
        <f t="array" ref="F9">5*LOG10(((c_light/1000/H_0_SAM)*(B9/60)*SUMPRODUCT($J$2:$AD$2,1/SQRT(Omega_m*(1+$J$1:$AD$1*B9)^3+Omega_L)))*(1+B9)*100000)</f>
        <v>30.628917467419456</v>
      </c>
      <c r="G9" s="89">
        <f t="shared" si="0"/>
        <v>-0.14678253258054497</v>
      </c>
    </row>
    <row r="10" spans="1:30" x14ac:dyDescent="0.6">
      <c r="A10" s="76" t="s">
        <v>819</v>
      </c>
      <c r="B10" s="87">
        <v>3.1700000000000001E-3</v>
      </c>
      <c r="C10" s="88">
        <v>30.794599999999999</v>
      </c>
      <c r="D10" s="88">
        <v>0.61453999999999998</v>
      </c>
      <c r="E10" s="76">
        <v>1</v>
      </c>
      <c r="F10" s="89" cm="1">
        <f t="array" ref="F10">5*LOG10(((c_light/1000/H_0_SAM)*(B10/60)*SUMPRODUCT($J$2:$AD$2,1/SQRT(Omega_m*(1+$J$1:$AD$1*B10)^3+Omega_L)))*(1+B10)*100000)</f>
        <v>30.756154012766579</v>
      </c>
      <c r="G10" s="89">
        <f t="shared" si="0"/>
        <v>-3.8445987233419743E-2</v>
      </c>
    </row>
    <row r="11" spans="1:30" x14ac:dyDescent="0.6">
      <c r="A11" s="76" t="s">
        <v>820</v>
      </c>
      <c r="B11" s="87">
        <v>3.31E-3</v>
      </c>
      <c r="C11" s="88">
        <v>30.4604</v>
      </c>
      <c r="D11" s="88">
        <v>0.59467999999999999</v>
      </c>
      <c r="E11" s="76">
        <v>1</v>
      </c>
      <c r="F11" s="89" cm="1">
        <f t="array" ref="F11">5*LOG10(((c_light/1000/H_0_SAM)*(B11/60)*SUMPRODUCT($J$2:$AD$2,1/SQRT(Omega_m*(1+$J$1:$AD$1*B11)^3+Omega_L)))*(1+B11)*100000)</f>
        <v>30.850227974117072</v>
      </c>
      <c r="G11" s="89">
        <f t="shared" si="0"/>
        <v>0.38982797411707182</v>
      </c>
    </row>
    <row r="12" spans="1:30" x14ac:dyDescent="0.6">
      <c r="A12" s="76" t="s">
        <v>820</v>
      </c>
      <c r="B12" s="87">
        <v>3.31E-3</v>
      </c>
      <c r="C12" s="88">
        <v>30.552800000000001</v>
      </c>
      <c r="D12" s="88">
        <v>0.58025000000000004</v>
      </c>
      <c r="E12" s="76">
        <v>1</v>
      </c>
      <c r="F12" s="89" cm="1">
        <f t="array" ref="F12">5*LOG10(((c_light/1000/H_0_SAM)*(B12/60)*SUMPRODUCT($J$2:$AD$2,1/SQRT(Omega_m*(1+$J$1:$AD$1*B12)^3+Omega_L)))*(1+B12)*100000)</f>
        <v>30.850227974117072</v>
      </c>
      <c r="G12" s="89">
        <f t="shared" si="0"/>
        <v>0.29742797411707045</v>
      </c>
    </row>
    <row r="13" spans="1:30" x14ac:dyDescent="0.6">
      <c r="A13" s="76" t="s">
        <v>821</v>
      </c>
      <c r="B13" s="87">
        <v>3.31E-3</v>
      </c>
      <c r="C13" s="88">
        <v>30.401299999999999</v>
      </c>
      <c r="D13" s="88">
        <v>0.57843999999999995</v>
      </c>
      <c r="E13" s="76">
        <v>1</v>
      </c>
      <c r="F13" s="89" cm="1">
        <f t="array" ref="F13">5*LOG10(((c_light/1000/H_0_SAM)*(B13/60)*SUMPRODUCT($J$2:$AD$2,1/SQRT(Omega_m*(1+$J$1:$AD$1*B13)^3+Omega_L)))*(1+B13)*100000)</f>
        <v>30.850227974117072</v>
      </c>
      <c r="G13" s="89">
        <f t="shared" si="0"/>
        <v>0.44892797411707264</v>
      </c>
    </row>
    <row r="14" spans="1:30" x14ac:dyDescent="0.6">
      <c r="A14" s="76" t="s">
        <v>821</v>
      </c>
      <c r="B14" s="87">
        <v>3.31E-3</v>
      </c>
      <c r="C14" s="88">
        <v>30.5107</v>
      </c>
      <c r="D14" s="88">
        <v>0.57855000000000001</v>
      </c>
      <c r="E14" s="76">
        <v>1</v>
      </c>
      <c r="F14" s="89" cm="1">
        <f t="array" ref="F14">5*LOG10(((c_light/1000/H_0_SAM)*(B14/60)*SUMPRODUCT($J$2:$AD$2,1/SQRT(Omega_m*(1+$J$1:$AD$1*B14)^3+Omega_L)))*(1+B14)*100000)</f>
        <v>30.850227974117072</v>
      </c>
      <c r="G14" s="89">
        <f t="shared" si="0"/>
        <v>0.33952797411707181</v>
      </c>
    </row>
    <row r="15" spans="1:30" x14ac:dyDescent="0.6">
      <c r="A15" s="76" t="s">
        <v>822</v>
      </c>
      <c r="B15" s="87">
        <v>3.3300000000000001E-3</v>
      </c>
      <c r="C15" s="88">
        <v>31.501100000000001</v>
      </c>
      <c r="D15" s="88">
        <v>0.59101000000000004</v>
      </c>
      <c r="E15" s="76">
        <v>1</v>
      </c>
      <c r="F15" s="89" cm="1">
        <f t="array" ref="F15">5*LOG10(((c_light/1000/H_0_SAM)*(B15/60)*SUMPRODUCT($J$2:$AD$2,1/SQRT(Omega_m*(1+$J$1:$AD$1*B15)^3+Omega_L)))*(1+B15)*100000)</f>
        <v>30.863342069318385</v>
      </c>
      <c r="G15" s="89">
        <f t="shared" si="0"/>
        <v>-0.6377579306816159</v>
      </c>
    </row>
    <row r="16" spans="1:30" x14ac:dyDescent="0.6">
      <c r="A16" s="76" t="s">
        <v>823</v>
      </c>
      <c r="B16" s="87">
        <v>3.49E-3</v>
      </c>
      <c r="C16" s="88">
        <v>31.793299999999999</v>
      </c>
      <c r="D16" s="88">
        <v>0.55271999999999999</v>
      </c>
      <c r="E16" s="76">
        <v>1</v>
      </c>
      <c r="F16" s="89" cm="1">
        <f t="array" ref="F16">5*LOG10(((c_light/1000/H_0_SAM)*(B16/60)*SUMPRODUCT($J$2:$AD$2,1/SQRT(Omega_m*(1+$J$1:$AD$1*B16)^3+Omega_L)))*(1+B16)*100000)</f>
        <v>30.965511173333475</v>
      </c>
      <c r="G16" s="89">
        <f t="shared" si="0"/>
        <v>-0.82778882666652365</v>
      </c>
    </row>
    <row r="17" spans="1:7" x14ac:dyDescent="0.6">
      <c r="A17" s="76" t="s">
        <v>824</v>
      </c>
      <c r="B17" s="87">
        <v>3.49E-3</v>
      </c>
      <c r="C17" s="88">
        <v>31.496700000000001</v>
      </c>
      <c r="D17" s="88">
        <v>0.54549000000000003</v>
      </c>
      <c r="E17" s="76">
        <v>1</v>
      </c>
      <c r="F17" s="89" cm="1">
        <f t="array" ref="F17">5*LOG10(((c_light/1000/H_0_SAM)*(B17/60)*SUMPRODUCT($J$2:$AD$2,1/SQRT(Omega_m*(1+$J$1:$AD$1*B17)^3+Omega_L)))*(1+B17)*100000)</f>
        <v>30.965511173333475</v>
      </c>
      <c r="G17" s="89">
        <f t="shared" si="0"/>
        <v>-0.53118882666652567</v>
      </c>
    </row>
    <row r="18" spans="1:7" x14ac:dyDescent="0.6">
      <c r="A18" s="76" t="s">
        <v>825</v>
      </c>
      <c r="B18" s="87">
        <v>3.5899999999999999E-3</v>
      </c>
      <c r="C18" s="88">
        <v>31.696899999999999</v>
      </c>
      <c r="D18" s="88">
        <v>0.55098999999999998</v>
      </c>
      <c r="E18" s="76">
        <v>1</v>
      </c>
      <c r="F18" s="89" cm="1">
        <f t="array" ref="F18">5*LOG10(((c_light/1000/H_0_SAM)*(B18/60)*SUMPRODUCT($J$2:$AD$2,1/SQRT(Omega_m*(1+$J$1:$AD$1*B18)^3+Omega_L)))*(1+B18)*100000)</f>
        <v>31.0270207097333</v>
      </c>
      <c r="G18" s="89">
        <f t="shared" si="0"/>
        <v>-0.66987929026669946</v>
      </c>
    </row>
    <row r="19" spans="1:7" x14ac:dyDescent="0.6">
      <c r="A19" s="76" t="s">
        <v>826</v>
      </c>
      <c r="B19" s="87">
        <v>3.8400000000000001E-3</v>
      </c>
      <c r="C19" s="88">
        <v>30.9999</v>
      </c>
      <c r="D19" s="88">
        <v>0.56650999999999996</v>
      </c>
      <c r="E19" s="76">
        <v>1</v>
      </c>
      <c r="F19" s="89" cm="1">
        <f t="array" ref="F19">5*LOG10(((c_light/1000/H_0_SAM)*(B19/60)*SUMPRODUCT($J$2:$AD$2,1/SQRT(Omega_m*(1+$J$1:$AD$1*B19)^3+Omega_L)))*(1+B19)*100000)</f>
        <v>31.173615551228323</v>
      </c>
      <c r="G19" s="89">
        <f t="shared" si="0"/>
        <v>0.17371555122832305</v>
      </c>
    </row>
    <row r="20" spans="1:7" x14ac:dyDescent="0.6">
      <c r="A20" s="76" t="s">
        <v>827</v>
      </c>
      <c r="B20" s="87">
        <v>4.0699999999999998E-3</v>
      </c>
      <c r="C20" s="88">
        <v>31.3933</v>
      </c>
      <c r="D20" s="88">
        <v>0.47639999999999999</v>
      </c>
      <c r="E20" s="76">
        <v>1</v>
      </c>
      <c r="F20" s="89" cm="1">
        <f t="array" ref="F20">5*LOG10(((c_light/1000/H_0_SAM)*(B20/60)*SUMPRODUCT($J$2:$AD$2,1/SQRT(Omega_m*(1+$J$1:$AD$1*B20)^3+Omega_L)))*(1+B20)*100000)</f>
        <v>31.300309424582483</v>
      </c>
      <c r="G20" s="89">
        <f t="shared" si="0"/>
        <v>-9.2990575417516652E-2</v>
      </c>
    </row>
    <row r="21" spans="1:7" x14ac:dyDescent="0.6">
      <c r="A21" s="76" t="s">
        <v>828</v>
      </c>
      <c r="B21" s="87">
        <v>4.0699999999999998E-3</v>
      </c>
      <c r="C21" s="88">
        <v>31.3779</v>
      </c>
      <c r="D21" s="88">
        <v>0.47927999999999998</v>
      </c>
      <c r="E21" s="76">
        <v>1</v>
      </c>
      <c r="F21" s="89" cm="1">
        <f t="array" ref="F21">5*LOG10(((c_light/1000/H_0_SAM)*(B21/60)*SUMPRODUCT($J$2:$AD$2,1/SQRT(Omega_m*(1+$J$1:$AD$1*B21)^3+Omega_L)))*(1+B21)*100000)</f>
        <v>31.300309424582483</v>
      </c>
      <c r="G21" s="89">
        <f t="shared" si="0"/>
        <v>-7.7590575417517016E-2</v>
      </c>
    </row>
    <row r="22" spans="1:7" x14ac:dyDescent="0.6">
      <c r="A22" s="76" t="s">
        <v>829</v>
      </c>
      <c r="B22" s="87">
        <v>4.3200000000000001E-3</v>
      </c>
      <c r="C22" s="88">
        <v>31.498999999999999</v>
      </c>
      <c r="D22" s="88">
        <v>0.51426000000000005</v>
      </c>
      <c r="E22" s="76">
        <v>1</v>
      </c>
      <c r="F22" s="89" cm="1">
        <f t="array" ref="F22">5*LOG10(((c_light/1000/H_0_SAM)*(B22/60)*SUMPRODUCT($J$2:$AD$2,1/SQRT(Omega_m*(1+$J$1:$AD$1*B22)^3+Omega_L)))*(1+B22)*100000)</f>
        <v>31.43016677845749</v>
      </c>
      <c r="G22" s="89">
        <f t="shared" si="0"/>
        <v>-6.8833221542508483E-2</v>
      </c>
    </row>
    <row r="23" spans="1:7" x14ac:dyDescent="0.6">
      <c r="A23" s="76" t="s">
        <v>829</v>
      </c>
      <c r="B23" s="87">
        <v>4.3200000000000001E-3</v>
      </c>
      <c r="C23" s="88">
        <v>31.5611</v>
      </c>
      <c r="D23" s="88">
        <v>0.53083999999999998</v>
      </c>
      <c r="E23" s="76">
        <v>1</v>
      </c>
      <c r="F23" s="89" cm="1">
        <f t="array" ref="F23">5*LOG10(((c_light/1000/H_0_SAM)*(B23/60)*SUMPRODUCT($J$2:$AD$2,1/SQRT(Omega_m*(1+$J$1:$AD$1*B23)^3+Omega_L)))*(1+B23)*100000)</f>
        <v>31.43016677845749</v>
      </c>
      <c r="G23" s="89">
        <f t="shared" si="0"/>
        <v>-0.13093322154250941</v>
      </c>
    </row>
    <row r="24" spans="1:7" x14ac:dyDescent="0.6">
      <c r="A24" s="76" t="s">
        <v>830</v>
      </c>
      <c r="B24" s="87">
        <v>4.6499999999999996E-3</v>
      </c>
      <c r="C24" s="88">
        <v>31.930900000000001</v>
      </c>
      <c r="D24" s="88">
        <v>0.44202000000000002</v>
      </c>
      <c r="E24" s="76">
        <v>1</v>
      </c>
      <c r="F24" s="89" cm="1">
        <f t="array" ref="F24">5*LOG10(((c_light/1000/H_0_SAM)*(B24/60)*SUMPRODUCT($J$2:$AD$2,1/SQRT(Omega_m*(1+$J$1:$AD$1*B24)^3+Omega_L)))*(1+B24)*100000)</f>
        <v>31.590554651483558</v>
      </c>
      <c r="G24" s="89">
        <f t="shared" si="0"/>
        <v>-0.34034534851644338</v>
      </c>
    </row>
    <row r="25" spans="1:7" x14ac:dyDescent="0.6">
      <c r="A25" s="76" t="s">
        <v>830</v>
      </c>
      <c r="B25" s="87">
        <v>4.6499999999999996E-3</v>
      </c>
      <c r="C25" s="88">
        <v>32.033000000000001</v>
      </c>
      <c r="D25" s="88">
        <v>0.4204</v>
      </c>
      <c r="E25" s="76">
        <v>1</v>
      </c>
      <c r="F25" s="89" cm="1">
        <f t="array" ref="F25">5*LOG10(((c_light/1000/H_0_SAM)*(B25/60)*SUMPRODUCT($J$2:$AD$2,1/SQRT(Omega_m*(1+$J$1:$AD$1*B25)^3+Omega_L)))*(1+B25)*100000)</f>
        <v>31.590554651483558</v>
      </c>
      <c r="G25" s="89">
        <f t="shared" si="0"/>
        <v>-0.44244534851644346</v>
      </c>
    </row>
    <row r="26" spans="1:7" x14ac:dyDescent="0.6">
      <c r="A26" s="76" t="s">
        <v>831</v>
      </c>
      <c r="B26" s="87">
        <v>4.8199999999999996E-3</v>
      </c>
      <c r="C26" s="88">
        <v>31.247599999999998</v>
      </c>
      <c r="D26" s="88">
        <v>0.55859999999999999</v>
      </c>
      <c r="E26" s="76">
        <v>0</v>
      </c>
      <c r="F26" s="89" cm="1">
        <f t="array" ref="F26">5*LOG10(((c_light/1000/H_0_SAM)*(B26/60)*SUMPRODUCT($J$2:$AD$2,1/SQRT(Omega_m*(1+$J$1:$AD$1*B26)^3+Omega_L)))*(1+B26)*100000)</f>
        <v>31.6688041043708</v>
      </c>
      <c r="G26" s="89">
        <f t="shared" si="0"/>
        <v>0.42120410437080125</v>
      </c>
    </row>
    <row r="27" spans="1:7" x14ac:dyDescent="0.6">
      <c r="A27" s="76" t="s">
        <v>832</v>
      </c>
      <c r="B27" s="87">
        <v>4.8300000000000001E-3</v>
      </c>
      <c r="C27" s="88">
        <v>31.133099999999999</v>
      </c>
      <c r="D27" s="88">
        <v>0.44688</v>
      </c>
      <c r="E27" s="76">
        <v>1</v>
      </c>
      <c r="F27" s="89" cm="1">
        <f t="array" ref="F27">5*LOG10(((c_light/1000/H_0_SAM)*(B27/60)*SUMPRODUCT($J$2:$AD$2,1/SQRT(Omega_m*(1+$J$1:$AD$1*B27)^3+Omega_L)))*(1+B27)*100000)</f>
        <v>31.67332097801555</v>
      </c>
      <c r="G27" s="89">
        <f t="shared" si="0"/>
        <v>0.54022097801555091</v>
      </c>
    </row>
    <row r="28" spans="1:7" x14ac:dyDescent="0.6">
      <c r="A28" s="76" t="s">
        <v>833</v>
      </c>
      <c r="B28" s="87">
        <v>4.8300000000000001E-3</v>
      </c>
      <c r="C28" s="88">
        <v>31.6525</v>
      </c>
      <c r="D28" s="88">
        <v>0.56472</v>
      </c>
      <c r="E28" s="76">
        <v>0</v>
      </c>
      <c r="F28" s="89" cm="1">
        <f t="array" ref="F28">5*LOG10(((c_light/1000/H_0_SAM)*(B28/60)*SUMPRODUCT($J$2:$AD$2,1/SQRT(Omega_m*(1+$J$1:$AD$1*B28)^3+Omega_L)))*(1+B28)*100000)</f>
        <v>31.67332097801555</v>
      </c>
      <c r="G28" s="89">
        <f t="shared" si="0"/>
        <v>2.082097801554994E-2</v>
      </c>
    </row>
    <row r="29" spans="1:7" x14ac:dyDescent="0.6">
      <c r="A29" s="76" t="s">
        <v>832</v>
      </c>
      <c r="B29" s="87">
        <v>4.8300000000000001E-3</v>
      </c>
      <c r="C29" s="88">
        <v>31.223400000000002</v>
      </c>
      <c r="D29" s="88">
        <v>0.41058</v>
      </c>
      <c r="E29" s="76">
        <v>1</v>
      </c>
      <c r="F29" s="89" cm="1">
        <f t="array" ref="F29">5*LOG10(((c_light/1000/H_0_SAM)*(B29/60)*SUMPRODUCT($J$2:$AD$2,1/SQRT(Omega_m*(1+$J$1:$AD$1*B29)^3+Omega_L)))*(1+B29)*100000)</f>
        <v>31.67332097801555</v>
      </c>
      <c r="G29" s="89">
        <f t="shared" si="0"/>
        <v>0.4499209780155482</v>
      </c>
    </row>
    <row r="30" spans="1:7" x14ac:dyDescent="0.6">
      <c r="A30" s="76" t="s">
        <v>834</v>
      </c>
      <c r="B30" s="87">
        <v>4.8300000000000001E-3</v>
      </c>
      <c r="C30" s="88">
        <v>31.34</v>
      </c>
      <c r="D30" s="88">
        <v>0.56259000000000003</v>
      </c>
      <c r="E30" s="76">
        <v>0</v>
      </c>
      <c r="F30" s="89" cm="1">
        <f t="array" ref="F30">5*LOG10(((c_light/1000/H_0_SAM)*(B30/60)*SUMPRODUCT($J$2:$AD$2,1/SQRT(Omega_m*(1+$J$1:$AD$1*B30)^3+Omega_L)))*(1+B30)*100000)</f>
        <v>31.67332097801555</v>
      </c>
      <c r="G30" s="89">
        <f t="shared" si="0"/>
        <v>0.33332097801554994</v>
      </c>
    </row>
    <row r="31" spans="1:7" x14ac:dyDescent="0.6">
      <c r="A31" s="76" t="s">
        <v>833</v>
      </c>
      <c r="B31" s="87">
        <v>4.8300000000000001E-3</v>
      </c>
      <c r="C31" s="88">
        <v>31.763500000000001</v>
      </c>
      <c r="D31" s="88">
        <v>0.57443999999999995</v>
      </c>
      <c r="E31" s="76">
        <v>0</v>
      </c>
      <c r="F31" s="89" cm="1">
        <f t="array" ref="F31">5*LOG10(((c_light/1000/H_0_SAM)*(B31/60)*SUMPRODUCT($J$2:$AD$2,1/SQRT(Omega_m*(1+$J$1:$AD$1*B31)^3+Omega_L)))*(1+B31)*100000)</f>
        <v>31.67332097801555</v>
      </c>
      <c r="G31" s="89">
        <f t="shared" si="0"/>
        <v>-9.0179021984450713E-2</v>
      </c>
    </row>
    <row r="32" spans="1:7" x14ac:dyDescent="0.6">
      <c r="A32" s="76" t="s">
        <v>835</v>
      </c>
      <c r="B32" s="87">
        <v>4.8799999999999998E-3</v>
      </c>
      <c r="C32" s="88">
        <v>31.447299999999998</v>
      </c>
      <c r="D32" s="88">
        <v>0.44825999999999999</v>
      </c>
      <c r="E32" s="76">
        <v>1</v>
      </c>
      <c r="F32" s="89" cm="1">
        <f t="array" ref="F32">5*LOG10(((c_light/1000/H_0_SAM)*(B32/60)*SUMPRODUCT($J$2:$AD$2,1/SQRT(Omega_m*(1+$J$1:$AD$1*B32)^3+Omega_L)))*(1+B32)*100000)</f>
        <v>31.695766485977479</v>
      </c>
      <c r="G32" s="89">
        <f t="shared" si="0"/>
        <v>0.248466485977481</v>
      </c>
    </row>
    <row r="33" spans="1:7" x14ac:dyDescent="0.6">
      <c r="A33" s="76" t="s">
        <v>835</v>
      </c>
      <c r="B33" s="87">
        <v>4.8799999999999998E-3</v>
      </c>
      <c r="C33" s="88">
        <v>31.539000000000001</v>
      </c>
      <c r="D33" s="88">
        <v>0.40703</v>
      </c>
      <c r="E33" s="76">
        <v>1</v>
      </c>
      <c r="F33" s="89" cm="1">
        <f t="array" ref="F33">5*LOG10(((c_light/1000/H_0_SAM)*(B33/60)*SUMPRODUCT($J$2:$AD$2,1/SQRT(Omega_m*(1+$J$1:$AD$1*B33)^3+Omega_L)))*(1+B33)*100000)</f>
        <v>31.695766485977479</v>
      </c>
      <c r="G33" s="89">
        <f t="shared" si="0"/>
        <v>0.156766485977478</v>
      </c>
    </row>
    <row r="34" spans="1:7" x14ac:dyDescent="0.6">
      <c r="A34" s="76" t="s">
        <v>836</v>
      </c>
      <c r="B34" s="87">
        <v>5.3800000000000002E-3</v>
      </c>
      <c r="C34" s="88">
        <v>31.651199999999999</v>
      </c>
      <c r="D34" s="88">
        <v>0.51439999999999997</v>
      </c>
      <c r="E34" s="76">
        <v>0</v>
      </c>
      <c r="F34" s="89" cm="1">
        <f t="array" ref="F34">5*LOG10(((c_light/1000/H_0_SAM)*(B34/60)*SUMPRODUCT($J$2:$AD$2,1/SQRT(Omega_m*(1+$J$1:$AD$1*B34)^3+Omega_L)))*(1+B34)*100000)</f>
        <v>31.908398932201159</v>
      </c>
      <c r="G34" s="89">
        <f t="shared" si="0"/>
        <v>0.25719893220115964</v>
      </c>
    </row>
    <row r="35" spans="1:7" x14ac:dyDescent="0.6">
      <c r="A35" s="76" t="s">
        <v>837</v>
      </c>
      <c r="B35" s="87">
        <v>5.4799999999999996E-3</v>
      </c>
      <c r="C35" s="88">
        <v>31.728200000000001</v>
      </c>
      <c r="D35" s="88">
        <v>0.50143000000000004</v>
      </c>
      <c r="E35" s="76">
        <v>0</v>
      </c>
      <c r="F35" s="89" cm="1">
        <f t="array" ref="F35">5*LOG10(((c_light/1000/H_0_SAM)*(B35/60)*SUMPRODUCT($J$2:$AD$2,1/SQRT(Omega_m*(1+$J$1:$AD$1*B35)^3+Omega_L)))*(1+B35)*100000)</f>
        <v>31.948554307906718</v>
      </c>
      <c r="G35" s="89">
        <f t="shared" si="0"/>
        <v>0.22035430790671739</v>
      </c>
    </row>
    <row r="36" spans="1:7" x14ac:dyDescent="0.6">
      <c r="A36" s="76" t="s">
        <v>838</v>
      </c>
      <c r="B36" s="87">
        <v>5.7000000000000002E-3</v>
      </c>
      <c r="C36" s="88">
        <v>31.9117</v>
      </c>
      <c r="D36" s="88">
        <v>0.46962999999999999</v>
      </c>
      <c r="E36" s="76">
        <v>0</v>
      </c>
      <c r="F36" s="89" cm="1">
        <f t="array" ref="F36">5*LOG10(((c_light/1000/H_0_SAM)*(B36/60)*SUMPRODUCT($J$2:$AD$2,1/SQRT(Omega_m*(1+$J$1:$AD$1*B36)^3+Omega_L)))*(1+B36)*100000)</f>
        <v>32.034386422662841</v>
      </c>
      <c r="G36" s="89">
        <f t="shared" si="0"/>
        <v>0.12268642266284147</v>
      </c>
    </row>
    <row r="37" spans="1:7" x14ac:dyDescent="0.6">
      <c r="A37" s="76" t="s">
        <v>839</v>
      </c>
      <c r="B37" s="87">
        <v>5.7000000000000002E-3</v>
      </c>
      <c r="C37" s="88">
        <v>31.898499999999999</v>
      </c>
      <c r="D37" s="88">
        <v>0.48366999999999999</v>
      </c>
      <c r="E37" s="76">
        <v>0</v>
      </c>
      <c r="F37" s="89" cm="1">
        <f t="array" ref="F37">5*LOG10(((c_light/1000/H_0_SAM)*(B37/60)*SUMPRODUCT($J$2:$AD$2,1/SQRT(Omega_m*(1+$J$1:$AD$1*B37)^3+Omega_L)))*(1+B37)*100000)</f>
        <v>32.034386422662841</v>
      </c>
      <c r="G37" s="89">
        <f t="shared" si="0"/>
        <v>0.13588642266284268</v>
      </c>
    </row>
    <row r="38" spans="1:7" x14ac:dyDescent="0.6">
      <c r="A38" s="76" t="s">
        <v>840</v>
      </c>
      <c r="B38" s="87">
        <v>5.7099999999999998E-3</v>
      </c>
      <c r="C38" s="88">
        <v>31.6799</v>
      </c>
      <c r="D38" s="88">
        <v>0.37591000000000002</v>
      </c>
      <c r="E38" s="76">
        <v>1</v>
      </c>
      <c r="F38" s="89" cm="1">
        <f t="array" ref="F38">5*LOG10(((c_light/1000/H_0_SAM)*(B38/60)*SUMPRODUCT($J$2:$AD$2,1/SQRT(Omega_m*(1+$J$1:$AD$1*B38)^3+Omega_L)))*(1+B38)*100000)</f>
        <v>32.038209074915336</v>
      </c>
      <c r="G38" s="89">
        <f t="shared" si="0"/>
        <v>0.35830907491533637</v>
      </c>
    </row>
    <row r="39" spans="1:7" x14ac:dyDescent="0.6">
      <c r="A39" s="76" t="s">
        <v>840</v>
      </c>
      <c r="B39" s="87">
        <v>5.7099999999999998E-3</v>
      </c>
      <c r="C39" s="88">
        <v>31.629200000000001</v>
      </c>
      <c r="D39" s="88">
        <v>0.38575999999999999</v>
      </c>
      <c r="E39" s="76">
        <v>1</v>
      </c>
      <c r="F39" s="89" cm="1">
        <f t="array" ref="F39">5*LOG10(((c_light/1000/H_0_SAM)*(B39/60)*SUMPRODUCT($J$2:$AD$2,1/SQRT(Omega_m*(1+$J$1:$AD$1*B39)^3+Omega_L)))*(1+B39)*100000)</f>
        <v>32.038209074915336</v>
      </c>
      <c r="G39" s="89">
        <f t="shared" si="0"/>
        <v>0.40900907491533545</v>
      </c>
    </row>
    <row r="40" spans="1:7" x14ac:dyDescent="0.6">
      <c r="A40" s="76" t="s">
        <v>841</v>
      </c>
      <c r="B40" s="87">
        <v>5.8700000000000002E-3</v>
      </c>
      <c r="C40" s="88">
        <v>31.740300000000001</v>
      </c>
      <c r="D40" s="88">
        <v>0.49136999999999997</v>
      </c>
      <c r="E40" s="76">
        <v>0</v>
      </c>
      <c r="F40" s="89" cm="1">
        <f t="array" ref="F40">5*LOG10(((c_light/1000/H_0_SAM)*(B40/60)*SUMPRODUCT($J$2:$AD$2,1/SQRT(Omega_m*(1+$J$1:$AD$1*B40)^3+Omega_L)))*(1+B40)*100000)</f>
        <v>32.098481236598666</v>
      </c>
      <c r="G40" s="89">
        <f t="shared" si="0"/>
        <v>0.3581812365986643</v>
      </c>
    </row>
    <row r="41" spans="1:7" x14ac:dyDescent="0.6">
      <c r="A41" s="76" t="s">
        <v>842</v>
      </c>
      <c r="B41" s="87">
        <v>5.8799999999999998E-3</v>
      </c>
      <c r="C41" s="88">
        <v>32.182200000000002</v>
      </c>
      <c r="D41" s="88">
        <v>0.33964</v>
      </c>
      <c r="E41" s="76">
        <v>1</v>
      </c>
      <c r="F41" s="89" cm="1">
        <f t="array" ref="F41">5*LOG10(((c_light/1000/H_0_SAM)*(B41/60)*SUMPRODUCT($J$2:$AD$2,1/SQRT(Omega_m*(1+$J$1:$AD$1*B41)^3+Omega_L)))*(1+B41)*100000)</f>
        <v>32.102193745940141</v>
      </c>
      <c r="G41" s="89">
        <f t="shared" si="0"/>
        <v>-8.0006254059860282E-2</v>
      </c>
    </row>
    <row r="42" spans="1:7" x14ac:dyDescent="0.6">
      <c r="A42" s="76" t="s">
        <v>843</v>
      </c>
      <c r="B42" s="87">
        <v>5.9199999999999999E-3</v>
      </c>
      <c r="C42" s="88">
        <v>32.468499999999999</v>
      </c>
      <c r="D42" s="88">
        <v>0.48705999999999999</v>
      </c>
      <c r="E42" s="76">
        <v>0</v>
      </c>
      <c r="F42" s="89" cm="1">
        <f t="array" ref="F42">5*LOG10(((c_light/1000/H_0_SAM)*(B42/60)*SUMPRODUCT($J$2:$AD$2,1/SQRT(Omega_m*(1+$J$1:$AD$1*B42)^3+Omega_L)))*(1+B42)*100000)</f>
        <v>32.116981187507115</v>
      </c>
      <c r="G42" s="89">
        <f t="shared" si="0"/>
        <v>-0.35151881249288408</v>
      </c>
    </row>
    <row r="43" spans="1:7" x14ac:dyDescent="0.6">
      <c r="A43" s="76" t="s">
        <v>844</v>
      </c>
      <c r="B43" s="87">
        <v>6.0200000000000002E-3</v>
      </c>
      <c r="C43" s="88">
        <v>31.9404</v>
      </c>
      <c r="D43" s="88">
        <v>0.34433999999999998</v>
      </c>
      <c r="E43" s="76">
        <v>1</v>
      </c>
      <c r="F43" s="89" cm="1">
        <f t="array" ref="F43">5*LOG10(((c_light/1000/H_0_SAM)*(B43/60)*SUMPRODUCT($J$2:$AD$2,1/SQRT(Omega_m*(1+$J$1:$AD$1*B43)^3+Omega_L)))*(1+B43)*100000)</f>
        <v>32.153518938779463</v>
      </c>
      <c r="G43" s="89">
        <f t="shared" si="0"/>
        <v>0.21311893877946275</v>
      </c>
    </row>
    <row r="44" spans="1:7" x14ac:dyDescent="0.6">
      <c r="A44" s="76" t="s">
        <v>844</v>
      </c>
      <c r="B44" s="87">
        <v>6.0200000000000002E-3</v>
      </c>
      <c r="C44" s="88">
        <v>32.066600000000001</v>
      </c>
      <c r="D44" s="88">
        <v>0.34371000000000002</v>
      </c>
      <c r="E44" s="76">
        <v>1</v>
      </c>
      <c r="F44" s="89" cm="1">
        <f t="array" ref="F44">5*LOG10(((c_light/1000/H_0_SAM)*(B44/60)*SUMPRODUCT($J$2:$AD$2,1/SQRT(Omega_m*(1+$J$1:$AD$1*B44)^3+Omega_L)))*(1+B44)*100000)</f>
        <v>32.153518938779463</v>
      </c>
      <c r="G44" s="89">
        <f t="shared" si="0"/>
        <v>8.6918938779461996E-2</v>
      </c>
    </row>
    <row r="45" spans="1:7" x14ac:dyDescent="0.6">
      <c r="A45" s="76" t="s">
        <v>844</v>
      </c>
      <c r="B45" s="87">
        <v>6.0200000000000002E-3</v>
      </c>
      <c r="C45" s="88">
        <v>31.9102</v>
      </c>
      <c r="D45" s="88">
        <v>0.35025000000000001</v>
      </c>
      <c r="E45" s="76">
        <v>1</v>
      </c>
      <c r="F45" s="89" cm="1">
        <f t="array" ref="F45">5*LOG10(((c_light/1000/H_0_SAM)*(B45/60)*SUMPRODUCT($J$2:$AD$2,1/SQRT(Omega_m*(1+$J$1:$AD$1*B45)^3+Omega_L)))*(1+B45)*100000)</f>
        <v>32.153518938779463</v>
      </c>
      <c r="G45" s="89">
        <f t="shared" si="0"/>
        <v>0.24331893877946342</v>
      </c>
    </row>
    <row r="46" spans="1:7" x14ac:dyDescent="0.6">
      <c r="A46" s="76" t="s">
        <v>845</v>
      </c>
      <c r="B46" s="87">
        <v>6.1599999999999997E-3</v>
      </c>
      <c r="C46" s="88">
        <v>30.907900000000001</v>
      </c>
      <c r="D46" s="88">
        <v>0.52498999999999996</v>
      </c>
      <c r="E46" s="76">
        <v>0</v>
      </c>
      <c r="F46" s="89" cm="1">
        <f t="array" ref="F46">5*LOG10(((c_light/1000/H_0_SAM)*(B46/60)*SUMPRODUCT($J$2:$AD$2,1/SQRT(Omega_m*(1+$J$1:$AD$1*B46)^3+Omega_L)))*(1+B46)*100000)</f>
        <v>32.203669361993505</v>
      </c>
      <c r="G46" s="89">
        <f t="shared" si="0"/>
        <v>1.2957693619935036</v>
      </c>
    </row>
    <row r="47" spans="1:7" x14ac:dyDescent="0.6">
      <c r="A47" s="76" t="s">
        <v>846</v>
      </c>
      <c r="B47" s="87">
        <v>6.1599999999999997E-3</v>
      </c>
      <c r="C47" s="88">
        <v>31.185700000000001</v>
      </c>
      <c r="D47" s="88">
        <v>0.45223000000000002</v>
      </c>
      <c r="E47" s="76">
        <v>0</v>
      </c>
      <c r="F47" s="89" cm="1">
        <f t="array" ref="F47">5*LOG10(((c_light/1000/H_0_SAM)*(B47/60)*SUMPRODUCT($J$2:$AD$2,1/SQRT(Omega_m*(1+$J$1:$AD$1*B47)^3+Omega_L)))*(1+B47)*100000)</f>
        <v>32.203669361993505</v>
      </c>
      <c r="G47" s="89">
        <f t="shared" si="0"/>
        <v>1.0179693619935044</v>
      </c>
    </row>
    <row r="48" spans="1:7" x14ac:dyDescent="0.6">
      <c r="A48" s="76" t="s">
        <v>847</v>
      </c>
      <c r="B48" s="87">
        <v>6.2500000000000003E-3</v>
      </c>
      <c r="C48" s="88">
        <v>32.066699999999997</v>
      </c>
      <c r="D48" s="88">
        <v>0.32593</v>
      </c>
      <c r="E48" s="76">
        <v>1</v>
      </c>
      <c r="F48" s="89" cm="1">
        <f t="array" ref="F48">5*LOG10(((c_light/1000/H_0_SAM)*(B48/60)*SUMPRODUCT($J$2:$AD$2,1/SQRT(Omega_m*(1+$J$1:$AD$1*B48)^3+Omega_L)))*(1+B48)*100000)</f>
        <v>32.235313281571216</v>
      </c>
      <c r="G48" s="89">
        <f t="shared" si="0"/>
        <v>0.16861328157121847</v>
      </c>
    </row>
    <row r="49" spans="1:7" x14ac:dyDescent="0.6">
      <c r="A49" s="76" t="s">
        <v>847</v>
      </c>
      <c r="B49" s="87">
        <v>6.2500000000000003E-3</v>
      </c>
      <c r="C49" s="88">
        <v>32.002299999999998</v>
      </c>
      <c r="D49" s="88">
        <v>0.36155999999999999</v>
      </c>
      <c r="E49" s="76">
        <v>1</v>
      </c>
      <c r="F49" s="89" cm="1">
        <f t="array" ref="F49">5*LOG10(((c_light/1000/H_0_SAM)*(B49/60)*SUMPRODUCT($J$2:$AD$2,1/SQRT(Omega_m*(1+$J$1:$AD$1*B49)^3+Omega_L)))*(1+B49)*100000)</f>
        <v>32.235313281571216</v>
      </c>
      <c r="G49" s="89">
        <f t="shared" si="0"/>
        <v>0.23301328157121759</v>
      </c>
    </row>
    <row r="50" spans="1:7" x14ac:dyDescent="0.6">
      <c r="A50" s="76" t="s">
        <v>847</v>
      </c>
      <c r="B50" s="87">
        <v>6.2500000000000003E-3</v>
      </c>
      <c r="C50" s="88">
        <v>32.099899999999998</v>
      </c>
      <c r="D50" s="88">
        <v>0.32280999999999999</v>
      </c>
      <c r="E50" s="76">
        <v>1</v>
      </c>
      <c r="F50" s="89" cm="1">
        <f t="array" ref="F50">5*LOG10(((c_light/1000/H_0_SAM)*(B50/60)*SUMPRODUCT($J$2:$AD$2,1/SQRT(Omega_m*(1+$J$1:$AD$1*B50)^3+Omega_L)))*(1+B50)*100000)</f>
        <v>32.235313281571216</v>
      </c>
      <c r="G50" s="89">
        <f t="shared" si="0"/>
        <v>0.13541328157121768</v>
      </c>
    </row>
    <row r="51" spans="1:7" x14ac:dyDescent="0.6">
      <c r="A51" s="76" t="s">
        <v>847</v>
      </c>
      <c r="B51" s="87">
        <v>6.2500000000000003E-3</v>
      </c>
      <c r="C51" s="88">
        <v>32.033700000000003</v>
      </c>
      <c r="D51" s="88">
        <v>0.33917000000000003</v>
      </c>
      <c r="E51" s="76">
        <v>1</v>
      </c>
      <c r="F51" s="89" cm="1">
        <f t="array" ref="F51">5*LOG10(((c_light/1000/H_0_SAM)*(B51/60)*SUMPRODUCT($J$2:$AD$2,1/SQRT(Omega_m*(1+$J$1:$AD$1*B51)^3+Omega_L)))*(1+B51)*100000)</f>
        <v>32.235313281571216</v>
      </c>
      <c r="G51" s="89">
        <f t="shared" si="0"/>
        <v>0.20161328157121261</v>
      </c>
    </row>
    <row r="52" spans="1:7" x14ac:dyDescent="0.6">
      <c r="A52" s="76" t="s">
        <v>848</v>
      </c>
      <c r="B52" s="87">
        <v>6.3E-3</v>
      </c>
      <c r="C52" s="88">
        <v>32.075400000000002</v>
      </c>
      <c r="D52" s="88">
        <v>0.53398999999999996</v>
      </c>
      <c r="E52" s="76">
        <v>0</v>
      </c>
      <c r="F52" s="89" cm="1">
        <f t="array" ref="F52">5*LOG10(((c_light/1000/H_0_SAM)*(B52/60)*SUMPRODUCT($J$2:$AD$2,1/SQRT(Omega_m*(1+$J$1:$AD$1*B52)^3+Omega_L)))*(1+B52)*100000)</f>
        <v>32.252697818883888</v>
      </c>
      <c r="G52" s="89">
        <f t="shared" si="0"/>
        <v>0.17729781888388629</v>
      </c>
    </row>
    <row r="53" spans="1:7" x14ac:dyDescent="0.6">
      <c r="A53" s="76" t="s">
        <v>848</v>
      </c>
      <c r="B53" s="87">
        <v>6.3E-3</v>
      </c>
      <c r="C53" s="88">
        <v>32.084299999999999</v>
      </c>
      <c r="D53" s="88">
        <v>0.53734000000000004</v>
      </c>
      <c r="E53" s="76">
        <v>0</v>
      </c>
      <c r="F53" s="89" cm="1">
        <f t="array" ref="F53">5*LOG10(((c_light/1000/H_0_SAM)*(B53/60)*SUMPRODUCT($J$2:$AD$2,1/SQRT(Omega_m*(1+$J$1:$AD$1*B53)^3+Omega_L)))*(1+B53)*100000)</f>
        <v>32.252697818883888</v>
      </c>
      <c r="G53" s="89">
        <f t="shared" si="0"/>
        <v>0.16839781888388927</v>
      </c>
    </row>
    <row r="54" spans="1:7" x14ac:dyDescent="0.6">
      <c r="A54" s="76" t="s">
        <v>848</v>
      </c>
      <c r="B54" s="87">
        <v>6.3E-3</v>
      </c>
      <c r="C54" s="88">
        <v>32.020299999999999</v>
      </c>
      <c r="D54" s="88">
        <v>0.53815999999999997</v>
      </c>
      <c r="E54" s="76">
        <v>0</v>
      </c>
      <c r="F54" s="89" cm="1">
        <f t="array" ref="F54">5*LOG10(((c_light/1000/H_0_SAM)*(B54/60)*SUMPRODUCT($J$2:$AD$2,1/SQRT(Omega_m*(1+$J$1:$AD$1*B54)^3+Omega_L)))*(1+B54)*100000)</f>
        <v>32.252697818883888</v>
      </c>
      <c r="G54" s="89">
        <f t="shared" si="0"/>
        <v>0.23239781888388933</v>
      </c>
    </row>
    <row r="55" spans="1:7" x14ac:dyDescent="0.6">
      <c r="A55" s="76" t="s">
        <v>849</v>
      </c>
      <c r="B55" s="87">
        <v>6.3099999999999996E-3</v>
      </c>
      <c r="C55" s="88">
        <v>32.833300000000001</v>
      </c>
      <c r="D55" s="88">
        <v>0.56289999999999996</v>
      </c>
      <c r="E55" s="76">
        <v>0</v>
      </c>
      <c r="F55" s="89" cm="1">
        <f t="array" ref="F55">5*LOG10(((c_light/1000/H_0_SAM)*(B55/60)*SUMPRODUCT($J$2:$AD$2,1/SQRT(Omega_m*(1+$J$1:$AD$1*B55)^3+Omega_L)))*(1+B55)*100000)</f>
        <v>32.256158242451548</v>
      </c>
      <c r="G55" s="89">
        <f t="shared" si="0"/>
        <v>-0.57714175754845343</v>
      </c>
    </row>
    <row r="56" spans="1:7" x14ac:dyDescent="0.6">
      <c r="A56" s="76" t="s">
        <v>850</v>
      </c>
      <c r="B56" s="87">
        <v>6.3400000000000001E-3</v>
      </c>
      <c r="C56" s="88">
        <v>32.400100000000002</v>
      </c>
      <c r="D56" s="88">
        <v>0.48257</v>
      </c>
      <c r="E56" s="76">
        <v>0</v>
      </c>
      <c r="F56" s="89" cm="1">
        <f t="array" ref="F56">5*LOG10(((c_light/1000/H_0_SAM)*(B56/60)*SUMPRODUCT($J$2:$AD$2,1/SQRT(Omega_m*(1+$J$1:$AD$1*B56)^3+Omega_L)))*(1+B56)*100000)</f>
        <v>32.266506858008078</v>
      </c>
      <c r="G56" s="89">
        <f t="shared" si="0"/>
        <v>-0.1335931419919234</v>
      </c>
    </row>
    <row r="57" spans="1:7" x14ac:dyDescent="0.6">
      <c r="A57" s="76" t="s">
        <v>851</v>
      </c>
      <c r="B57" s="87">
        <v>6.4799999999999996E-3</v>
      </c>
      <c r="C57" s="88">
        <v>32.460799999999999</v>
      </c>
      <c r="D57" s="88">
        <v>0.31846999999999998</v>
      </c>
      <c r="E57" s="76">
        <v>1</v>
      </c>
      <c r="F57" s="89" cm="1">
        <f t="array" ref="F57">5*LOG10(((c_light/1000/H_0_SAM)*(B57/60)*SUMPRODUCT($J$2:$AD$2,1/SQRT(Omega_m*(1+$J$1:$AD$1*B57)^3+Omega_L)))*(1+B57)*100000)</f>
        <v>32.314164806398416</v>
      </c>
      <c r="G57" s="89">
        <f t="shared" si="0"/>
        <v>-0.14663519360158261</v>
      </c>
    </row>
    <row r="58" spans="1:7" x14ac:dyDescent="0.6">
      <c r="A58" s="76" t="s">
        <v>851</v>
      </c>
      <c r="B58" s="87">
        <v>6.4799999999999996E-3</v>
      </c>
      <c r="C58" s="88">
        <v>32.433799999999998</v>
      </c>
      <c r="D58" s="88">
        <v>0.32229000000000002</v>
      </c>
      <c r="E58" s="76">
        <v>1</v>
      </c>
      <c r="F58" s="89" cm="1">
        <f t="array" ref="F58">5*LOG10(((c_light/1000/H_0_SAM)*(B58/60)*SUMPRODUCT($J$2:$AD$2,1/SQRT(Omega_m*(1+$J$1:$AD$1*B58)^3+Omega_L)))*(1+B58)*100000)</f>
        <v>32.314164806398416</v>
      </c>
      <c r="G58" s="89">
        <f t="shared" si="0"/>
        <v>-0.11963519360158159</v>
      </c>
    </row>
    <row r="59" spans="1:7" x14ac:dyDescent="0.6">
      <c r="A59" s="76" t="s">
        <v>852</v>
      </c>
      <c r="B59" s="87">
        <v>6.6499999999999997E-3</v>
      </c>
      <c r="C59" s="88">
        <v>31.732099999999999</v>
      </c>
      <c r="D59" s="88">
        <v>0.53117000000000003</v>
      </c>
      <c r="E59" s="76">
        <v>0</v>
      </c>
      <c r="F59" s="89" cm="1">
        <f t="array" ref="F59">5*LOG10(((c_light/1000/H_0_SAM)*(B59/60)*SUMPRODUCT($J$2:$AD$2,1/SQRT(Omega_m*(1+$J$1:$AD$1*B59)^3+Omega_L)))*(1+B59)*100000)</f>
        <v>32.370676263296602</v>
      </c>
      <c r="G59" s="89">
        <f t="shared" si="0"/>
        <v>0.63857626329660278</v>
      </c>
    </row>
    <row r="60" spans="1:7" x14ac:dyDescent="0.6">
      <c r="A60" s="76" t="s">
        <v>853</v>
      </c>
      <c r="B60" s="87">
        <v>6.6800000000000002E-3</v>
      </c>
      <c r="C60" s="88">
        <v>31.221699999999998</v>
      </c>
      <c r="D60" s="88">
        <v>0.42070999999999997</v>
      </c>
      <c r="E60" s="76">
        <v>0</v>
      </c>
      <c r="F60" s="89" cm="1">
        <f t="array" ref="F60">5*LOG10(((c_light/1000/H_0_SAM)*(B60/60)*SUMPRODUCT($J$2:$AD$2,1/SQRT(Omega_m*(1+$J$1:$AD$1*B60)^3+Omega_L)))*(1+B60)*100000)</f>
        <v>32.380499446441405</v>
      </c>
      <c r="G60" s="89">
        <f t="shared" si="0"/>
        <v>1.1587994464414066</v>
      </c>
    </row>
    <row r="61" spans="1:7" x14ac:dyDescent="0.6">
      <c r="A61" s="76" t="s">
        <v>854</v>
      </c>
      <c r="B61" s="87">
        <v>6.7299999999999999E-3</v>
      </c>
      <c r="C61" s="88">
        <v>32.359299999999998</v>
      </c>
      <c r="D61" s="88">
        <v>0.35944999999999999</v>
      </c>
      <c r="E61" s="76">
        <v>1</v>
      </c>
      <c r="F61" s="89" cm="1">
        <f t="array" ref="F61">5*LOG10(((c_light/1000/H_0_SAM)*(B61/60)*SUMPRODUCT($J$2:$AD$2,1/SQRT(Omega_m*(1+$J$1:$AD$1*B61)^3+Omega_L)))*(1+B61)*100000)</f>
        <v>32.396774279070954</v>
      </c>
      <c r="G61" s="89">
        <f t="shared" si="0"/>
        <v>3.7474279070956129E-2</v>
      </c>
    </row>
    <row r="62" spans="1:7" x14ac:dyDescent="0.6">
      <c r="A62" s="76" t="s">
        <v>855</v>
      </c>
      <c r="B62" s="87">
        <v>6.7600000000000004E-3</v>
      </c>
      <c r="C62" s="88">
        <v>31.973299999999998</v>
      </c>
      <c r="D62" s="88">
        <v>0.41546</v>
      </c>
      <c r="E62" s="76">
        <v>0</v>
      </c>
      <c r="F62" s="89" cm="1">
        <f t="array" ref="F62">5*LOG10(((c_light/1000/H_0_SAM)*(B62/60)*SUMPRODUCT($J$2:$AD$2,1/SQRT(Omega_m*(1+$J$1:$AD$1*B62)^3+Omega_L)))*(1+B62)*100000)</f>
        <v>32.406481529041734</v>
      </c>
      <c r="G62" s="89">
        <f t="shared" si="0"/>
        <v>0.43318152904173601</v>
      </c>
    </row>
    <row r="63" spans="1:7" x14ac:dyDescent="0.6">
      <c r="A63" s="76" t="s">
        <v>856</v>
      </c>
      <c r="B63" s="87">
        <v>6.77E-3</v>
      </c>
      <c r="C63" s="88">
        <v>32.195099999999996</v>
      </c>
      <c r="D63" s="88">
        <v>0.34053</v>
      </c>
      <c r="E63" s="76">
        <v>1</v>
      </c>
      <c r="F63" s="89" cm="1">
        <f t="array" ref="F63">5*LOG10(((c_light/1000/H_0_SAM)*(B63/60)*SUMPRODUCT($J$2:$AD$2,1/SQRT(Omega_m*(1+$J$1:$AD$1*B63)^3+Omega_L)))*(1+B63)*100000)</f>
        <v>32.409707756061806</v>
      </c>
      <c r="G63" s="89">
        <f t="shared" si="0"/>
        <v>0.2146077560618096</v>
      </c>
    </row>
    <row r="64" spans="1:7" x14ac:dyDescent="0.6">
      <c r="A64" s="76" t="s">
        <v>856</v>
      </c>
      <c r="B64" s="87">
        <v>6.77E-3</v>
      </c>
      <c r="C64" s="88">
        <v>32.172899999999998</v>
      </c>
      <c r="D64" s="88">
        <v>0.37112000000000001</v>
      </c>
      <c r="E64" s="76">
        <v>1</v>
      </c>
      <c r="F64" s="89" cm="1">
        <f t="array" ref="F64">5*LOG10(((c_light/1000/H_0_SAM)*(B64/60)*SUMPRODUCT($J$2:$AD$2,1/SQRT(Omega_m*(1+$J$1:$AD$1*B64)^3+Omega_L)))*(1+B64)*100000)</f>
        <v>32.409707756061806</v>
      </c>
      <c r="G64" s="89">
        <f t="shared" si="0"/>
        <v>0.23680775606180759</v>
      </c>
    </row>
    <row r="65" spans="1:7" x14ac:dyDescent="0.6">
      <c r="A65" s="76" t="s">
        <v>856</v>
      </c>
      <c r="B65" s="87">
        <v>6.77E-3</v>
      </c>
      <c r="C65" s="88">
        <v>32.204799999999999</v>
      </c>
      <c r="D65" s="88">
        <v>0.34794999999999998</v>
      </c>
      <c r="E65" s="76">
        <v>1</v>
      </c>
      <c r="F65" s="89" cm="1">
        <f t="array" ref="F65">5*LOG10(((c_light/1000/H_0_SAM)*(B65/60)*SUMPRODUCT($J$2:$AD$2,1/SQRT(Omega_m*(1+$J$1:$AD$1*B65)^3+Omega_L)))*(1+B65)*100000)</f>
        <v>32.409707756061806</v>
      </c>
      <c r="G65" s="89">
        <f t="shared" si="0"/>
        <v>0.20490775606180733</v>
      </c>
    </row>
    <row r="66" spans="1:7" x14ac:dyDescent="0.6">
      <c r="A66" s="76" t="s">
        <v>857</v>
      </c>
      <c r="B66" s="87">
        <v>6.9199999999999999E-3</v>
      </c>
      <c r="C66" s="88">
        <v>32.4405</v>
      </c>
      <c r="D66" s="88">
        <v>0.43963000000000002</v>
      </c>
      <c r="E66" s="76">
        <v>0</v>
      </c>
      <c r="F66" s="89" cm="1">
        <f t="array" ref="F66">5*LOG10(((c_light/1000/H_0_SAM)*(B66/60)*SUMPRODUCT($J$2:$AD$2,1/SQRT(Omega_m*(1+$J$1:$AD$1*B66)^3+Omega_L)))*(1+B66)*100000)</f>
        <v>32.457540304963864</v>
      </c>
      <c r="G66" s="89">
        <f t="shared" si="0"/>
        <v>1.7040304963863662E-2</v>
      </c>
    </row>
    <row r="67" spans="1:7" x14ac:dyDescent="0.6">
      <c r="A67" s="76" t="s">
        <v>858</v>
      </c>
      <c r="B67" s="87">
        <v>7.1000000000000004E-3</v>
      </c>
      <c r="C67" s="88">
        <v>32.319299999999998</v>
      </c>
      <c r="D67" s="88">
        <v>0.32558999999999999</v>
      </c>
      <c r="E67" s="76">
        <v>1</v>
      </c>
      <c r="F67" s="89" cm="1">
        <f t="array" ref="F67">5*LOG10(((c_light/1000/H_0_SAM)*(B67/60)*SUMPRODUCT($J$2:$AD$2,1/SQRT(Omega_m*(1+$J$1:$AD$1*B67)^3+Omega_L)))*(1+B67)*100000)</f>
        <v>32.513596007346969</v>
      </c>
      <c r="G67" s="89">
        <f t="shared" si="0"/>
        <v>0.19429600734697061</v>
      </c>
    </row>
    <row r="68" spans="1:7" x14ac:dyDescent="0.6">
      <c r="A68" s="76" t="s">
        <v>858</v>
      </c>
      <c r="B68" s="87">
        <v>7.1000000000000004E-3</v>
      </c>
      <c r="C68" s="88">
        <v>32.332700000000003</v>
      </c>
      <c r="D68" s="88">
        <v>0.34832000000000002</v>
      </c>
      <c r="E68" s="76">
        <v>1</v>
      </c>
      <c r="F68" s="89" cm="1">
        <f t="array" ref="F68">5*LOG10(((c_light/1000/H_0_SAM)*(B68/60)*SUMPRODUCT($J$2:$AD$2,1/SQRT(Omega_m*(1+$J$1:$AD$1*B68)^3+Omega_L)))*(1+B68)*100000)</f>
        <v>32.513596007346969</v>
      </c>
      <c r="G68" s="89">
        <f t="shared" si="0"/>
        <v>0.18089600734696631</v>
      </c>
    </row>
    <row r="69" spans="1:7" x14ac:dyDescent="0.6">
      <c r="A69" s="76" t="s">
        <v>858</v>
      </c>
      <c r="B69" s="87">
        <v>7.1000000000000004E-3</v>
      </c>
      <c r="C69" s="88">
        <v>32.322099999999999</v>
      </c>
      <c r="D69" s="88">
        <v>0.32266</v>
      </c>
      <c r="E69" s="76">
        <v>1</v>
      </c>
      <c r="F69" s="89" cm="1">
        <f t="array" ref="F69">5*LOG10(((c_light/1000/H_0_SAM)*(B69/60)*SUMPRODUCT($J$2:$AD$2,1/SQRT(Omega_m*(1+$J$1:$AD$1*B69)^3+Omega_L)))*(1+B69)*100000)</f>
        <v>32.513596007346969</v>
      </c>
      <c r="G69" s="89">
        <f t="shared" si="0"/>
        <v>0.19149600734697003</v>
      </c>
    </row>
    <row r="70" spans="1:7" x14ac:dyDescent="0.6">
      <c r="A70" s="76" t="s">
        <v>859</v>
      </c>
      <c r="B70" s="87">
        <v>7.1900000000000002E-3</v>
      </c>
      <c r="C70" s="88">
        <v>32.442300000000003</v>
      </c>
      <c r="D70" s="88">
        <v>0.30031000000000002</v>
      </c>
      <c r="E70" s="76">
        <v>1</v>
      </c>
      <c r="F70" s="89" cm="1">
        <f t="array" ref="F70">5*LOG10(((c_light/1000/H_0_SAM)*(B70/60)*SUMPRODUCT($J$2:$AD$2,1/SQRT(Omega_m*(1+$J$1:$AD$1*B70)^3+Omega_L)))*(1+B70)*100000)</f>
        <v>32.541095901354083</v>
      </c>
      <c r="G70" s="89">
        <f t="shared" ref="G70:G133" si="1">F70-C70</f>
        <v>9.8795901354080229E-2</v>
      </c>
    </row>
    <row r="71" spans="1:7" x14ac:dyDescent="0.6">
      <c r="A71" s="76" t="s">
        <v>859</v>
      </c>
      <c r="B71" s="87">
        <v>7.1900000000000002E-3</v>
      </c>
      <c r="C71" s="88">
        <v>32.464199999999998</v>
      </c>
      <c r="D71" s="88">
        <v>0.30026999999999998</v>
      </c>
      <c r="E71" s="76">
        <v>1</v>
      </c>
      <c r="F71" s="89" cm="1">
        <f t="array" ref="F71">5*LOG10(((c_light/1000/H_0_SAM)*(B71/60)*SUMPRODUCT($J$2:$AD$2,1/SQRT(Omega_m*(1+$J$1:$AD$1*B71)^3+Omega_L)))*(1+B71)*100000)</f>
        <v>32.541095901354083</v>
      </c>
      <c r="G71" s="89">
        <f t="shared" si="1"/>
        <v>7.6895901354085083E-2</v>
      </c>
    </row>
    <row r="72" spans="1:7" x14ac:dyDescent="0.6">
      <c r="A72" s="76" t="s">
        <v>860</v>
      </c>
      <c r="B72" s="87">
        <v>7.4700000000000001E-3</v>
      </c>
      <c r="C72" s="88">
        <v>32.7943</v>
      </c>
      <c r="D72" s="88">
        <v>0.28913</v>
      </c>
      <c r="E72" s="76">
        <v>1</v>
      </c>
      <c r="F72" s="89" cm="1">
        <f t="array" ref="F72">5*LOG10(((c_light/1000/H_0_SAM)*(B72/60)*SUMPRODUCT($J$2:$AD$2,1/SQRT(Omega_m*(1+$J$1:$AD$1*B72)^3+Omega_L)))*(1+B72)*100000)</f>
        <v>32.624512242340757</v>
      </c>
      <c r="G72" s="89">
        <f t="shared" si="1"/>
        <v>-0.16978775765924325</v>
      </c>
    </row>
    <row r="73" spans="1:7" x14ac:dyDescent="0.6">
      <c r="A73" s="76" t="s">
        <v>860</v>
      </c>
      <c r="B73" s="87">
        <v>7.4700000000000001E-3</v>
      </c>
      <c r="C73" s="88">
        <v>32.7423</v>
      </c>
      <c r="D73" s="88">
        <v>0.29476000000000002</v>
      </c>
      <c r="E73" s="76">
        <v>1</v>
      </c>
      <c r="F73" s="89" cm="1">
        <f t="array" ref="F73">5*LOG10(((c_light/1000/H_0_SAM)*(B73/60)*SUMPRODUCT($J$2:$AD$2,1/SQRT(Omega_m*(1+$J$1:$AD$1*B73)^3+Omega_L)))*(1+B73)*100000)</f>
        <v>32.624512242340757</v>
      </c>
      <c r="G73" s="89">
        <f t="shared" si="1"/>
        <v>-0.11778775765924365</v>
      </c>
    </row>
    <row r="74" spans="1:7" x14ac:dyDescent="0.6">
      <c r="A74" s="76" t="s">
        <v>860</v>
      </c>
      <c r="B74" s="87">
        <v>7.4700000000000001E-3</v>
      </c>
      <c r="C74" s="88">
        <v>32.768500000000003</v>
      </c>
      <c r="D74" s="88">
        <v>0.29241</v>
      </c>
      <c r="E74" s="76">
        <v>1</v>
      </c>
      <c r="F74" s="89" cm="1">
        <f t="array" ref="F74">5*LOG10(((c_light/1000/H_0_SAM)*(B74/60)*SUMPRODUCT($J$2:$AD$2,1/SQRT(Omega_m*(1+$J$1:$AD$1*B74)^3+Omega_L)))*(1+B74)*100000)</f>
        <v>32.624512242340757</v>
      </c>
      <c r="G74" s="89">
        <f t="shared" si="1"/>
        <v>-0.14398775765924654</v>
      </c>
    </row>
    <row r="75" spans="1:7" x14ac:dyDescent="0.6">
      <c r="A75" s="76" t="s">
        <v>861</v>
      </c>
      <c r="B75" s="87">
        <v>7.4999999999999997E-3</v>
      </c>
      <c r="C75" s="88">
        <v>32.331200000000003</v>
      </c>
      <c r="D75" s="88">
        <v>0.37384000000000001</v>
      </c>
      <c r="E75" s="76">
        <v>0</v>
      </c>
      <c r="F75" s="89" cm="1">
        <f t="array" ref="F75">5*LOG10(((c_light/1000/H_0_SAM)*(B75/60)*SUMPRODUCT($J$2:$AD$2,1/SQRT(Omega_m*(1+$J$1:$AD$1*B75)^3+Omega_L)))*(1+B75)*100000)</f>
        <v>32.633264587073121</v>
      </c>
      <c r="G75" s="89">
        <f t="shared" si="1"/>
        <v>0.30206458707311867</v>
      </c>
    </row>
    <row r="76" spans="1:7" x14ac:dyDescent="0.6">
      <c r="A76" s="76" t="s">
        <v>861</v>
      </c>
      <c r="B76" s="87">
        <v>7.4999999999999997E-3</v>
      </c>
      <c r="C76" s="88">
        <v>32.299799999999998</v>
      </c>
      <c r="D76" s="88">
        <v>0.39665</v>
      </c>
      <c r="E76" s="76">
        <v>0</v>
      </c>
      <c r="F76" s="89" cm="1">
        <f t="array" ref="F76">5*LOG10(((c_light/1000/H_0_SAM)*(B76/60)*SUMPRODUCT($J$2:$AD$2,1/SQRT(Omega_m*(1+$J$1:$AD$1*B76)^3+Omega_L)))*(1+B76)*100000)</f>
        <v>32.633264587073121</v>
      </c>
      <c r="G76" s="89">
        <f t="shared" si="1"/>
        <v>0.33346458707312365</v>
      </c>
    </row>
    <row r="77" spans="1:7" x14ac:dyDescent="0.6">
      <c r="A77" s="76" t="s">
        <v>862</v>
      </c>
      <c r="B77" s="87">
        <v>7.9500000000000005E-3</v>
      </c>
      <c r="C77" s="88">
        <v>32.641800000000003</v>
      </c>
      <c r="D77" s="88">
        <v>0.36271999999999999</v>
      </c>
      <c r="E77" s="76">
        <v>0</v>
      </c>
      <c r="F77" s="89" cm="1">
        <f t="array" ref="F77">5*LOG10(((c_light/1000/H_0_SAM)*(B77/60)*SUMPRODUCT($J$2:$AD$2,1/SQRT(Omega_m*(1+$J$1:$AD$1*B77)^3+Omega_L)))*(1+B77)*100000)</f>
        <v>32.760529201147293</v>
      </c>
      <c r="G77" s="89">
        <f t="shared" si="1"/>
        <v>0.11872920114728913</v>
      </c>
    </row>
    <row r="78" spans="1:7" x14ac:dyDescent="0.6">
      <c r="A78" s="76" t="s">
        <v>863</v>
      </c>
      <c r="B78" s="87">
        <v>8.1399999999999997E-3</v>
      </c>
      <c r="C78" s="88">
        <v>32.7164</v>
      </c>
      <c r="D78" s="88">
        <v>0.31702999999999998</v>
      </c>
      <c r="E78" s="76">
        <v>1</v>
      </c>
      <c r="F78" s="89" cm="1">
        <f t="array" ref="F78">5*LOG10(((c_light/1000/H_0_SAM)*(B78/60)*SUMPRODUCT($J$2:$AD$2,1/SQRT(Omega_m*(1+$J$1:$AD$1*B78)^3+Omega_L)))*(1+B78)*100000)</f>
        <v>32.812125888012694</v>
      </c>
      <c r="G78" s="89">
        <f t="shared" si="1"/>
        <v>9.5725888012694327E-2</v>
      </c>
    </row>
    <row r="79" spans="1:7" x14ac:dyDescent="0.6">
      <c r="A79" s="76" t="s">
        <v>863</v>
      </c>
      <c r="B79" s="87">
        <v>8.1399999999999997E-3</v>
      </c>
      <c r="C79" s="88">
        <v>32.615099999999998</v>
      </c>
      <c r="D79" s="88">
        <v>0.31746000000000002</v>
      </c>
      <c r="E79" s="76">
        <v>1</v>
      </c>
      <c r="F79" s="89" cm="1">
        <f t="array" ref="F79">5*LOG10(((c_light/1000/H_0_SAM)*(B79/60)*SUMPRODUCT($J$2:$AD$2,1/SQRT(Omega_m*(1+$J$1:$AD$1*B79)^3+Omega_L)))*(1+B79)*100000)</f>
        <v>32.812125888012694</v>
      </c>
      <c r="G79" s="89">
        <f t="shared" si="1"/>
        <v>0.19702588801269627</v>
      </c>
    </row>
    <row r="80" spans="1:7" x14ac:dyDescent="0.6">
      <c r="A80" s="76" t="s">
        <v>864</v>
      </c>
      <c r="B80" s="87">
        <v>8.1399999999999997E-3</v>
      </c>
      <c r="C80" s="88">
        <v>32.709200000000003</v>
      </c>
      <c r="D80" s="88">
        <v>0.36754999999999999</v>
      </c>
      <c r="E80" s="76">
        <v>0</v>
      </c>
      <c r="F80" s="89" cm="1">
        <f t="array" ref="F80">5*LOG10(((c_light/1000/H_0_SAM)*(B80/60)*SUMPRODUCT($J$2:$AD$2,1/SQRT(Omega_m*(1+$J$1:$AD$1*B80)^3+Omega_L)))*(1+B80)*100000)</f>
        <v>32.812125888012694</v>
      </c>
      <c r="G80" s="89">
        <f t="shared" si="1"/>
        <v>0.10292588801269176</v>
      </c>
    </row>
    <row r="81" spans="1:7" x14ac:dyDescent="0.6">
      <c r="A81" s="76" t="s">
        <v>865</v>
      </c>
      <c r="B81" s="87">
        <v>8.1499999999999993E-3</v>
      </c>
      <c r="C81" s="88">
        <v>32.371099999999998</v>
      </c>
      <c r="D81" s="88">
        <v>0.37192999999999998</v>
      </c>
      <c r="E81" s="76">
        <v>1</v>
      </c>
      <c r="F81" s="89" cm="1">
        <f t="array" ref="F81">5*LOG10(((c_light/1000/H_0_SAM)*(B81/60)*SUMPRODUCT($J$2:$AD$2,1/SQRT(Omega_m*(1+$J$1:$AD$1*B81)^3+Omega_L)))*(1+B81)*100000)</f>
        <v>32.814808236693935</v>
      </c>
      <c r="G81" s="89">
        <f t="shared" si="1"/>
        <v>0.44370823669393644</v>
      </c>
    </row>
    <row r="82" spans="1:7" x14ac:dyDescent="0.6">
      <c r="A82" s="76" t="s">
        <v>865</v>
      </c>
      <c r="B82" s="87">
        <v>8.1499999999999993E-3</v>
      </c>
      <c r="C82" s="88">
        <v>32.743400000000001</v>
      </c>
      <c r="D82" s="88">
        <v>0.28015000000000001</v>
      </c>
      <c r="E82" s="76">
        <v>1</v>
      </c>
      <c r="F82" s="89" cm="1">
        <f t="array" ref="F82">5*LOG10(((c_light/1000/H_0_SAM)*(B82/60)*SUMPRODUCT($J$2:$AD$2,1/SQRT(Omega_m*(1+$J$1:$AD$1*B82)^3+Omega_L)))*(1+B82)*100000)</f>
        <v>32.814808236693935</v>
      </c>
      <c r="G82" s="89">
        <f t="shared" si="1"/>
        <v>7.1408236693933702E-2</v>
      </c>
    </row>
    <row r="83" spans="1:7" x14ac:dyDescent="0.6">
      <c r="A83" s="76" t="s">
        <v>865</v>
      </c>
      <c r="B83" s="87">
        <v>8.1499999999999993E-3</v>
      </c>
      <c r="C83" s="88">
        <v>32.670699999999997</v>
      </c>
      <c r="D83" s="88">
        <v>0.28697</v>
      </c>
      <c r="E83" s="76">
        <v>1</v>
      </c>
      <c r="F83" s="89" cm="1">
        <f t="array" ref="F83">5*LOG10(((c_light/1000/H_0_SAM)*(B83/60)*SUMPRODUCT($J$2:$AD$2,1/SQRT(Omega_m*(1+$J$1:$AD$1*B83)^3+Omega_L)))*(1+B83)*100000)</f>
        <v>32.814808236693935</v>
      </c>
      <c r="G83" s="89">
        <f t="shared" si="1"/>
        <v>0.14410823669393835</v>
      </c>
    </row>
    <row r="84" spans="1:7" x14ac:dyDescent="0.6">
      <c r="A84" s="76" t="s">
        <v>866</v>
      </c>
      <c r="B84" s="87">
        <v>8.1700000000000002E-3</v>
      </c>
      <c r="C84" s="88">
        <v>32.445500000000003</v>
      </c>
      <c r="D84" s="88">
        <v>0.49079</v>
      </c>
      <c r="E84" s="76">
        <v>0</v>
      </c>
      <c r="F84" s="89" cm="1">
        <f t="array" ref="F84">5*LOG10(((c_light/1000/H_0_SAM)*(B84/60)*SUMPRODUCT($J$2:$AD$2,1/SQRT(Omega_m*(1+$J$1:$AD$1*B84)^3+Omega_L)))*(1+B84)*100000)</f>
        <v>32.820163133775452</v>
      </c>
      <c r="G84" s="89">
        <f t="shared" si="1"/>
        <v>0.37466313377544935</v>
      </c>
    </row>
    <row r="85" spans="1:7" x14ac:dyDescent="0.6">
      <c r="A85" s="76" t="s">
        <v>867</v>
      </c>
      <c r="B85" s="87">
        <v>8.1799999999999998E-3</v>
      </c>
      <c r="C85" s="88">
        <v>32.484000000000002</v>
      </c>
      <c r="D85" s="88">
        <v>0.34266000000000002</v>
      </c>
      <c r="E85" s="76">
        <v>0</v>
      </c>
      <c r="F85" s="89" cm="1">
        <f t="array" ref="F85">5*LOG10(((c_light/1000/H_0_SAM)*(B85/60)*SUMPRODUCT($J$2:$AD$2,1/SQRT(Omega_m*(1+$J$1:$AD$1*B85)^3+Omega_L)))*(1+B85)*100000)</f>
        <v>32.822835698161967</v>
      </c>
      <c r="G85" s="89">
        <f t="shared" si="1"/>
        <v>0.33883569816196513</v>
      </c>
    </row>
    <row r="86" spans="1:7" x14ac:dyDescent="0.6">
      <c r="A86" s="76" t="s">
        <v>868</v>
      </c>
      <c r="B86" s="87">
        <v>8.2100000000000003E-3</v>
      </c>
      <c r="C86" s="88">
        <v>33.213799999999999</v>
      </c>
      <c r="D86" s="88">
        <v>0.46283000000000002</v>
      </c>
      <c r="E86" s="76">
        <v>0</v>
      </c>
      <c r="F86" s="89" cm="1">
        <f t="array" ref="F86">5*LOG10(((c_light/1000/H_0_SAM)*(B86/60)*SUMPRODUCT($J$2:$AD$2,1/SQRT(Omega_m*(1+$J$1:$AD$1*B86)^3+Omega_L)))*(1+B86)*100000)</f>
        <v>32.830833950007779</v>
      </c>
      <c r="G86" s="89">
        <f t="shared" si="1"/>
        <v>-0.38296604999221984</v>
      </c>
    </row>
    <row r="87" spans="1:7" x14ac:dyDescent="0.6">
      <c r="A87" s="76" t="s">
        <v>869</v>
      </c>
      <c r="B87" s="87">
        <v>8.3800000000000003E-3</v>
      </c>
      <c r="C87" s="88">
        <v>32.521000000000001</v>
      </c>
      <c r="D87" s="88">
        <v>0.46561000000000002</v>
      </c>
      <c r="E87" s="76">
        <v>0</v>
      </c>
      <c r="F87" s="89" cm="1">
        <f t="array" ref="F87">5*LOG10(((c_light/1000/H_0_SAM)*(B87/60)*SUMPRODUCT($J$2:$AD$2,1/SQRT(Omega_m*(1+$J$1:$AD$1*B87)^3+Omega_L)))*(1+B87)*100000)</f>
        <v>32.875615795327647</v>
      </c>
      <c r="G87" s="89">
        <f t="shared" si="1"/>
        <v>0.35461579532764631</v>
      </c>
    </row>
    <row r="88" spans="1:7" x14ac:dyDescent="0.6">
      <c r="A88" s="76" t="s">
        <v>869</v>
      </c>
      <c r="B88" s="87">
        <v>8.3800000000000003E-3</v>
      </c>
      <c r="C88" s="88">
        <v>32.6922</v>
      </c>
      <c r="D88" s="88">
        <v>0.48486000000000001</v>
      </c>
      <c r="E88" s="76">
        <v>0</v>
      </c>
      <c r="F88" s="89" cm="1">
        <f t="array" ref="F88">5*LOG10(((c_light/1000/H_0_SAM)*(B88/60)*SUMPRODUCT($J$2:$AD$2,1/SQRT(Omega_m*(1+$J$1:$AD$1*B88)^3+Omega_L)))*(1+B88)*100000)</f>
        <v>32.875615795327647</v>
      </c>
      <c r="G88" s="89">
        <f t="shared" si="1"/>
        <v>0.1834157953276474</v>
      </c>
    </row>
    <row r="89" spans="1:7" x14ac:dyDescent="0.6">
      <c r="A89" s="76" t="s">
        <v>870</v>
      </c>
      <c r="B89" s="87">
        <v>8.5500000000000003E-3</v>
      </c>
      <c r="C89" s="88">
        <v>32.692799999999998</v>
      </c>
      <c r="D89" s="88">
        <v>0.35921999999999998</v>
      </c>
      <c r="E89" s="76">
        <v>1</v>
      </c>
      <c r="F89" s="89" cm="1">
        <f t="array" ref="F89">5*LOG10(((c_light/1000/H_0_SAM)*(B89/60)*SUMPRODUCT($J$2:$AD$2,1/SQRT(Omega_m*(1+$J$1:$AD$1*B89)^3+Omega_L)))*(1+B89)*100000)</f>
        <v>32.919503742771482</v>
      </c>
      <c r="G89" s="89">
        <f t="shared" si="1"/>
        <v>0.22670374277148397</v>
      </c>
    </row>
    <row r="90" spans="1:7" x14ac:dyDescent="0.6">
      <c r="A90" s="76" t="s">
        <v>871</v>
      </c>
      <c r="B90" s="87">
        <v>8.5500000000000003E-3</v>
      </c>
      <c r="C90" s="88">
        <v>32.851999999999997</v>
      </c>
      <c r="D90" s="88">
        <v>0.31802999999999998</v>
      </c>
      <c r="E90" s="76">
        <v>1</v>
      </c>
      <c r="F90" s="89" cm="1">
        <f t="array" ref="F90">5*LOG10(((c_light/1000/H_0_SAM)*(B90/60)*SUMPRODUCT($J$2:$AD$2,1/SQRT(Omega_m*(1+$J$1:$AD$1*B90)^3+Omega_L)))*(1+B90)*100000)</f>
        <v>32.919503742771482</v>
      </c>
      <c r="G90" s="89">
        <f t="shared" si="1"/>
        <v>6.750374277148552E-2</v>
      </c>
    </row>
    <row r="91" spans="1:7" x14ac:dyDescent="0.6">
      <c r="A91" s="76" t="s">
        <v>872</v>
      </c>
      <c r="B91" s="87">
        <v>8.5699999999999995E-3</v>
      </c>
      <c r="C91" s="88">
        <v>32.752699999999997</v>
      </c>
      <c r="D91" s="88">
        <v>0.26757999999999998</v>
      </c>
      <c r="E91" s="76">
        <v>1</v>
      </c>
      <c r="F91" s="89" cm="1">
        <f t="array" ref="F91">5*LOG10(((c_light/1000/H_0_SAM)*(B91/60)*SUMPRODUCT($J$2:$AD$2,1/SQRT(Omega_m*(1+$J$1:$AD$1*B91)^3+Omega_L)))*(1+B91)*100000)</f>
        <v>32.924609917263403</v>
      </c>
      <c r="G91" s="89">
        <f t="shared" si="1"/>
        <v>0.17190991726340599</v>
      </c>
    </row>
    <row r="92" spans="1:7" x14ac:dyDescent="0.6">
      <c r="A92" s="76" t="s">
        <v>873</v>
      </c>
      <c r="B92" s="87">
        <v>8.6099999999999996E-3</v>
      </c>
      <c r="C92" s="88">
        <v>32.722299999999997</v>
      </c>
      <c r="D92" s="88">
        <v>0.38342999999999999</v>
      </c>
      <c r="E92" s="76">
        <v>0</v>
      </c>
      <c r="F92" s="89" cm="1">
        <f t="array" ref="F92">5*LOG10(((c_light/1000/H_0_SAM)*(B92/60)*SUMPRODUCT($J$2:$AD$2,1/SQRT(Omega_m*(1+$J$1:$AD$1*B92)^3+Omega_L)))*(1+B92)*100000)</f>
        <v>32.934786839010151</v>
      </c>
      <c r="G92" s="89">
        <f t="shared" si="1"/>
        <v>0.21248683901015397</v>
      </c>
    </row>
    <row r="93" spans="1:7" x14ac:dyDescent="0.6">
      <c r="A93" s="76" t="s">
        <v>874</v>
      </c>
      <c r="B93" s="87">
        <v>8.6300000000000005E-3</v>
      </c>
      <c r="C93" s="88">
        <v>32.374400000000001</v>
      </c>
      <c r="D93" s="88">
        <v>0.33832000000000001</v>
      </c>
      <c r="E93" s="76">
        <v>0</v>
      </c>
      <c r="F93" s="89" cm="1">
        <f t="array" ref="F93">5*LOG10(((c_light/1000/H_0_SAM)*(B93/60)*SUMPRODUCT($J$2:$AD$2,1/SQRT(Omega_m*(1+$J$1:$AD$1*B93)^3+Omega_L)))*(1+B93)*100000)</f>
        <v>32.939857695895682</v>
      </c>
      <c r="G93" s="89">
        <f t="shared" si="1"/>
        <v>0.56545769589568096</v>
      </c>
    </row>
    <row r="94" spans="1:7" x14ac:dyDescent="0.6">
      <c r="A94" s="76" t="s">
        <v>874</v>
      </c>
      <c r="B94" s="87">
        <v>8.6300000000000005E-3</v>
      </c>
      <c r="C94" s="88">
        <v>32.394500000000001</v>
      </c>
      <c r="D94" s="88">
        <v>0.33129999999999998</v>
      </c>
      <c r="E94" s="76">
        <v>0</v>
      </c>
      <c r="F94" s="89" cm="1">
        <f t="array" ref="F94">5*LOG10(((c_light/1000/H_0_SAM)*(B94/60)*SUMPRODUCT($J$2:$AD$2,1/SQRT(Omega_m*(1+$J$1:$AD$1*B94)^3+Omega_L)))*(1+B94)*100000)</f>
        <v>32.939857695895682</v>
      </c>
      <c r="G94" s="89">
        <f t="shared" si="1"/>
        <v>0.54535769589568162</v>
      </c>
    </row>
    <row r="95" spans="1:7" x14ac:dyDescent="0.6">
      <c r="A95" s="76" t="s">
        <v>874</v>
      </c>
      <c r="B95" s="87">
        <v>8.6300000000000005E-3</v>
      </c>
      <c r="C95" s="88">
        <v>32.335000000000001</v>
      </c>
      <c r="D95" s="88">
        <v>0.33788000000000001</v>
      </c>
      <c r="E95" s="76">
        <v>0</v>
      </c>
      <c r="F95" s="89" cm="1">
        <f t="array" ref="F95">5*LOG10(((c_light/1000/H_0_SAM)*(B95/60)*SUMPRODUCT($J$2:$AD$2,1/SQRT(Omega_m*(1+$J$1:$AD$1*B95)^3+Omega_L)))*(1+B95)*100000)</f>
        <v>32.939857695895682</v>
      </c>
      <c r="G95" s="89">
        <f t="shared" si="1"/>
        <v>0.6048576958956815</v>
      </c>
    </row>
    <row r="96" spans="1:7" x14ac:dyDescent="0.6">
      <c r="A96" s="76" t="s">
        <v>875</v>
      </c>
      <c r="B96" s="87">
        <v>8.6400000000000001E-3</v>
      </c>
      <c r="C96" s="88">
        <v>32.419800000000002</v>
      </c>
      <c r="D96" s="88">
        <v>0.42521999999999999</v>
      </c>
      <c r="E96" s="76">
        <v>1</v>
      </c>
      <c r="F96" s="89" cm="1">
        <f t="array" ref="F96">5*LOG10(((c_light/1000/H_0_SAM)*(B96/60)*SUMPRODUCT($J$2:$AD$2,1/SQRT(Omega_m*(1+$J$1:$AD$1*B96)^3+Omega_L)))*(1+B96)*100000)</f>
        <v>32.942388747135624</v>
      </c>
      <c r="G96" s="89">
        <f t="shared" si="1"/>
        <v>0.52258874713562165</v>
      </c>
    </row>
    <row r="97" spans="1:7" x14ac:dyDescent="0.6">
      <c r="A97" s="76" t="s">
        <v>876</v>
      </c>
      <c r="B97" s="87">
        <v>8.8299999999999993E-3</v>
      </c>
      <c r="C97" s="88">
        <v>32.861600000000003</v>
      </c>
      <c r="D97" s="88">
        <v>0.32704</v>
      </c>
      <c r="E97" s="76">
        <v>0</v>
      </c>
      <c r="F97" s="89" cm="1">
        <f t="array" ref="F97">5*LOG10(((c_light/1000/H_0_SAM)*(B97/60)*SUMPRODUCT($J$2:$AD$2,1/SQRT(Omega_m*(1+$J$1:$AD$1*B97)^3+Omega_L)))*(1+B97)*100000)</f>
        <v>32.989933537113323</v>
      </c>
      <c r="G97" s="89">
        <f t="shared" si="1"/>
        <v>0.12833353711332052</v>
      </c>
    </row>
    <row r="98" spans="1:7" x14ac:dyDescent="0.6">
      <c r="A98" s="76" t="s">
        <v>877</v>
      </c>
      <c r="B98" s="87">
        <v>9.0600000000000003E-3</v>
      </c>
      <c r="C98" s="88">
        <v>32.798999999999999</v>
      </c>
      <c r="D98" s="88">
        <v>0.36886000000000002</v>
      </c>
      <c r="E98" s="76">
        <v>0</v>
      </c>
      <c r="F98" s="89" cm="1">
        <f t="array" ref="F98">5*LOG10(((c_light/1000/H_0_SAM)*(B98/60)*SUMPRODUCT($J$2:$AD$2,1/SQRT(Omega_m*(1+$J$1:$AD$1*B98)^3+Omega_L)))*(1+B98)*100000)</f>
        <v>33.046146133748458</v>
      </c>
      <c r="G98" s="89">
        <f t="shared" si="1"/>
        <v>0.2471461337484584</v>
      </c>
    </row>
    <row r="99" spans="1:7" x14ac:dyDescent="0.6">
      <c r="A99" s="76" t="s">
        <v>877</v>
      </c>
      <c r="B99" s="87">
        <v>9.0600000000000003E-3</v>
      </c>
      <c r="C99" s="88">
        <v>32.7498</v>
      </c>
      <c r="D99" s="88">
        <v>0.40952</v>
      </c>
      <c r="E99" s="76">
        <v>0</v>
      </c>
      <c r="F99" s="89" cm="1">
        <f t="array" ref="F99">5*LOG10(((c_light/1000/H_0_SAM)*(B99/60)*SUMPRODUCT($J$2:$AD$2,1/SQRT(Omega_m*(1+$J$1:$AD$1*B99)^3+Omega_L)))*(1+B99)*100000)</f>
        <v>33.046146133748458</v>
      </c>
      <c r="G99" s="89">
        <f t="shared" si="1"/>
        <v>0.29634613374845742</v>
      </c>
    </row>
    <row r="100" spans="1:7" x14ac:dyDescent="0.6">
      <c r="A100" s="76" t="s">
        <v>878</v>
      </c>
      <c r="B100" s="87">
        <v>9.2499999999999995E-3</v>
      </c>
      <c r="C100" s="88">
        <v>32.891399999999997</v>
      </c>
      <c r="D100" s="88">
        <v>0.28642000000000001</v>
      </c>
      <c r="E100" s="76">
        <v>1</v>
      </c>
      <c r="F100" s="89" cm="1">
        <f t="array" ref="F100">5*LOG10(((c_light/1000/H_0_SAM)*(B100/60)*SUMPRODUCT($J$2:$AD$2,1/SQRT(Omega_m*(1+$J$1:$AD$1*B100)^3+Omega_L)))*(1+B100)*100000)</f>
        <v>33.091523598235412</v>
      </c>
      <c r="G100" s="89">
        <f t="shared" si="1"/>
        <v>0.20012359823541459</v>
      </c>
    </row>
    <row r="101" spans="1:7" x14ac:dyDescent="0.6">
      <c r="A101" s="76" t="s">
        <v>878</v>
      </c>
      <c r="B101" s="87">
        <v>9.2499999999999995E-3</v>
      </c>
      <c r="C101" s="88">
        <v>32.897300000000001</v>
      </c>
      <c r="D101" s="88">
        <v>0.28287000000000001</v>
      </c>
      <c r="E101" s="76">
        <v>1</v>
      </c>
      <c r="F101" s="89" cm="1">
        <f t="array" ref="F101">5*LOG10(((c_light/1000/H_0_SAM)*(B101/60)*SUMPRODUCT($J$2:$AD$2,1/SQRT(Omega_m*(1+$J$1:$AD$1*B101)^3+Omega_L)))*(1+B101)*100000)</f>
        <v>33.091523598235412</v>
      </c>
      <c r="G101" s="89">
        <f t="shared" si="1"/>
        <v>0.19422359823541058</v>
      </c>
    </row>
    <row r="102" spans="1:7" x14ac:dyDescent="0.6">
      <c r="A102" s="76" t="s">
        <v>878</v>
      </c>
      <c r="B102" s="87">
        <v>9.2499999999999995E-3</v>
      </c>
      <c r="C102" s="88">
        <v>32.915900000000001</v>
      </c>
      <c r="D102" s="88">
        <v>0.28550999999999999</v>
      </c>
      <c r="E102" s="76">
        <v>1</v>
      </c>
      <c r="F102" s="89" cm="1">
        <f t="array" ref="F102">5*LOG10(((c_light/1000/H_0_SAM)*(B102/60)*SUMPRODUCT($J$2:$AD$2,1/SQRT(Omega_m*(1+$J$1:$AD$1*B102)^3+Omega_L)))*(1+B102)*100000)</f>
        <v>33.091523598235412</v>
      </c>
      <c r="G102" s="89">
        <f t="shared" si="1"/>
        <v>0.17562359823541129</v>
      </c>
    </row>
    <row r="103" spans="1:7" x14ac:dyDescent="0.6">
      <c r="A103" s="76" t="s">
        <v>879</v>
      </c>
      <c r="B103" s="87">
        <v>9.3500000000000007E-3</v>
      </c>
      <c r="C103" s="88">
        <v>32.335299999999997</v>
      </c>
      <c r="D103" s="88">
        <v>0.40137</v>
      </c>
      <c r="E103" s="76">
        <v>0</v>
      </c>
      <c r="F103" s="89" cm="1">
        <f t="array" ref="F103">5*LOG10(((c_light/1000/H_0_SAM)*(B103/60)*SUMPRODUCT($J$2:$AD$2,1/SQRT(Omega_m*(1+$J$1:$AD$1*B103)^3+Omega_L)))*(1+B103)*100000)</f>
        <v>33.11503600036847</v>
      </c>
      <c r="G103" s="89">
        <f t="shared" si="1"/>
        <v>0.77973600036847301</v>
      </c>
    </row>
    <row r="104" spans="1:7" x14ac:dyDescent="0.6">
      <c r="A104" s="76" t="s">
        <v>880</v>
      </c>
      <c r="B104" s="87">
        <v>9.5399999999999999E-3</v>
      </c>
      <c r="C104" s="88">
        <v>33.039900000000003</v>
      </c>
      <c r="D104" s="88">
        <v>0.26898</v>
      </c>
      <c r="E104" s="76">
        <v>1</v>
      </c>
      <c r="F104" s="89" cm="1">
        <f t="array" ref="F104">5*LOG10(((c_light/1000/H_0_SAM)*(B104/60)*SUMPRODUCT($J$2:$AD$2,1/SQRT(Omega_m*(1+$J$1:$AD$1*B104)^3+Omega_L)))*(1+B104)*100000)</f>
        <v>33.159029473941295</v>
      </c>
      <c r="G104" s="89">
        <f t="shared" si="1"/>
        <v>0.11912947394129247</v>
      </c>
    </row>
    <row r="105" spans="1:7" x14ac:dyDescent="0.6">
      <c r="A105" s="76" t="s">
        <v>880</v>
      </c>
      <c r="B105" s="87">
        <v>9.5399999999999999E-3</v>
      </c>
      <c r="C105" s="88">
        <v>33.213500000000003</v>
      </c>
      <c r="D105" s="88">
        <v>0.25363000000000002</v>
      </c>
      <c r="E105" s="76">
        <v>1</v>
      </c>
      <c r="F105" s="89" cm="1">
        <f t="array" ref="F105">5*LOG10(((c_light/1000/H_0_SAM)*(B105/60)*SUMPRODUCT($J$2:$AD$2,1/SQRT(Omega_m*(1+$J$1:$AD$1*B105)^3+Omega_L)))*(1+B105)*100000)</f>
        <v>33.159029473941295</v>
      </c>
      <c r="G105" s="89">
        <f t="shared" si="1"/>
        <v>-5.4470526058707947E-2</v>
      </c>
    </row>
    <row r="106" spans="1:7" x14ac:dyDescent="0.6">
      <c r="A106" s="76" t="s">
        <v>881</v>
      </c>
      <c r="B106" s="87">
        <v>9.5399999999999999E-3</v>
      </c>
      <c r="C106" s="88">
        <v>33.230899999999998</v>
      </c>
      <c r="D106" s="88">
        <v>0.25191000000000002</v>
      </c>
      <c r="E106" s="76">
        <v>1</v>
      </c>
      <c r="F106" s="89" cm="1">
        <f t="array" ref="F106">5*LOG10(((c_light/1000/H_0_SAM)*(B106/60)*SUMPRODUCT($J$2:$AD$2,1/SQRT(Omega_m*(1+$J$1:$AD$1*B106)^3+Omega_L)))*(1+B106)*100000)</f>
        <v>33.159029473941295</v>
      </c>
      <c r="G106" s="89">
        <f t="shared" si="1"/>
        <v>-7.1870526058702922E-2</v>
      </c>
    </row>
    <row r="107" spans="1:7" x14ac:dyDescent="0.6">
      <c r="A107" s="76" t="s">
        <v>881</v>
      </c>
      <c r="B107" s="87">
        <v>9.5399999999999999E-3</v>
      </c>
      <c r="C107" s="88">
        <v>33.246899999999997</v>
      </c>
      <c r="D107" s="88">
        <v>0.25488</v>
      </c>
      <c r="E107" s="76">
        <v>1</v>
      </c>
      <c r="F107" s="89" cm="1">
        <f t="array" ref="F107">5*LOG10(((c_light/1000/H_0_SAM)*(B107/60)*SUMPRODUCT($J$2:$AD$2,1/SQRT(Omega_m*(1+$J$1:$AD$1*B107)^3+Omega_L)))*(1+B107)*100000)</f>
        <v>33.159029473941295</v>
      </c>
      <c r="G107" s="89">
        <f t="shared" si="1"/>
        <v>-8.7870526058701159E-2</v>
      </c>
    </row>
    <row r="108" spans="1:7" x14ac:dyDescent="0.6">
      <c r="A108" s="76" t="s">
        <v>882</v>
      </c>
      <c r="B108" s="87">
        <v>9.5700000000000004E-3</v>
      </c>
      <c r="C108" s="88">
        <v>32.901000000000003</v>
      </c>
      <c r="D108" s="88">
        <v>0.30954999999999999</v>
      </c>
      <c r="E108" s="76">
        <v>0</v>
      </c>
      <c r="F108" s="89" cm="1">
        <f t="array" ref="F108">5*LOG10(((c_light/1000/H_0_SAM)*(B108/60)*SUMPRODUCT($J$2:$AD$2,1/SQRT(Omega_m*(1+$J$1:$AD$1*B108)^3+Omega_L)))*(1+B108)*100000)</f>
        <v>33.165896174039396</v>
      </c>
      <c r="G108" s="89">
        <f t="shared" si="1"/>
        <v>0.26489617403939292</v>
      </c>
    </row>
    <row r="109" spans="1:7" x14ac:dyDescent="0.6">
      <c r="A109" s="76" t="s">
        <v>882</v>
      </c>
      <c r="B109" s="87">
        <v>9.5700000000000004E-3</v>
      </c>
      <c r="C109" s="88">
        <v>32.865400000000001</v>
      </c>
      <c r="D109" s="88">
        <v>0.33449000000000001</v>
      </c>
      <c r="E109" s="76">
        <v>0</v>
      </c>
      <c r="F109" s="89" cm="1">
        <f t="array" ref="F109">5*LOG10(((c_light/1000/H_0_SAM)*(B109/60)*SUMPRODUCT($J$2:$AD$2,1/SQRT(Omega_m*(1+$J$1:$AD$1*B109)^3+Omega_L)))*(1+B109)*100000)</f>
        <v>33.165896174039396</v>
      </c>
      <c r="G109" s="89">
        <f t="shared" si="1"/>
        <v>0.30049617403939521</v>
      </c>
    </row>
    <row r="110" spans="1:7" x14ac:dyDescent="0.6">
      <c r="A110" s="76" t="s">
        <v>883</v>
      </c>
      <c r="B110" s="87">
        <v>9.6600000000000002E-3</v>
      </c>
      <c r="C110" s="88">
        <v>32.802900000000001</v>
      </c>
      <c r="D110" s="88">
        <v>0.35788999999999999</v>
      </c>
      <c r="E110" s="76">
        <v>0</v>
      </c>
      <c r="F110" s="89" cm="1">
        <f t="array" ref="F110">5*LOG10(((c_light/1000/H_0_SAM)*(B110/60)*SUMPRODUCT($J$2:$AD$2,1/SQRT(Omega_m*(1+$J$1:$AD$1*B110)^3+Omega_L)))*(1+B110)*100000)</f>
        <v>33.18636875823627</v>
      </c>
      <c r="G110" s="89">
        <f t="shared" si="1"/>
        <v>0.38346875823626903</v>
      </c>
    </row>
    <row r="111" spans="1:7" x14ac:dyDescent="0.6">
      <c r="A111" s="76" t="s">
        <v>883</v>
      </c>
      <c r="B111" s="87">
        <v>9.6600000000000002E-3</v>
      </c>
      <c r="C111" s="88">
        <v>32.916499999999999</v>
      </c>
      <c r="D111" s="88">
        <v>0.37282999999999999</v>
      </c>
      <c r="E111" s="76">
        <v>0</v>
      </c>
      <c r="F111" s="89" cm="1">
        <f t="array" ref="F111">5*LOG10(((c_light/1000/H_0_SAM)*(B111/60)*SUMPRODUCT($J$2:$AD$2,1/SQRT(Omega_m*(1+$J$1:$AD$1*B111)^3+Omega_L)))*(1+B111)*100000)</f>
        <v>33.18636875823627</v>
      </c>
      <c r="G111" s="89">
        <f t="shared" si="1"/>
        <v>0.26986875823627088</v>
      </c>
    </row>
    <row r="112" spans="1:7" x14ac:dyDescent="0.6">
      <c r="A112" s="76" t="s">
        <v>884</v>
      </c>
      <c r="B112" s="87">
        <v>9.9299999999999996E-3</v>
      </c>
      <c r="C112" s="88">
        <v>33.475299999999997</v>
      </c>
      <c r="D112" s="88">
        <v>0.37287999999999999</v>
      </c>
      <c r="E112" s="76">
        <v>0</v>
      </c>
      <c r="F112" s="89" cm="1">
        <f t="array" ref="F112">5*LOG10(((c_light/1000/H_0_SAM)*(B112/60)*SUMPRODUCT($J$2:$AD$2,1/SQRT(Omega_m*(1+$J$1:$AD$1*B112)^3+Omega_L)))*(1+B112)*100000)</f>
        <v>33.246669172882001</v>
      </c>
      <c r="G112" s="89">
        <f t="shared" si="1"/>
        <v>-0.2286308271179962</v>
      </c>
    </row>
    <row r="113" spans="1:7" x14ac:dyDescent="0.6">
      <c r="A113" s="76" t="s">
        <v>885</v>
      </c>
      <c r="B113" s="87">
        <v>9.9600000000000001E-3</v>
      </c>
      <c r="C113" s="88">
        <v>32.645699999999998</v>
      </c>
      <c r="D113" s="88">
        <v>0.40909000000000001</v>
      </c>
      <c r="E113" s="76">
        <v>1</v>
      </c>
      <c r="F113" s="89" cm="1">
        <f t="array" ref="F113">5*LOG10(((c_light/1000/H_0_SAM)*(B113/60)*SUMPRODUCT($J$2:$AD$2,1/SQRT(Omega_m*(1+$J$1:$AD$1*B113)^3+Omega_L)))*(1+B113)*100000)</f>
        <v>33.253268478668176</v>
      </c>
      <c r="G113" s="89">
        <f t="shared" si="1"/>
        <v>0.60756847866817765</v>
      </c>
    </row>
    <row r="114" spans="1:7" x14ac:dyDescent="0.6">
      <c r="A114" s="76" t="s">
        <v>885</v>
      </c>
      <c r="B114" s="87">
        <v>9.9600000000000001E-3</v>
      </c>
      <c r="C114" s="88">
        <v>32.745800000000003</v>
      </c>
      <c r="D114" s="88">
        <v>0.36030000000000001</v>
      </c>
      <c r="E114" s="76">
        <v>1</v>
      </c>
      <c r="F114" s="89" cm="1">
        <f t="array" ref="F114">5*LOG10(((c_light/1000/H_0_SAM)*(B114/60)*SUMPRODUCT($J$2:$AD$2,1/SQRT(Omega_m*(1+$J$1:$AD$1*B114)^3+Omega_L)))*(1+B114)*100000)</f>
        <v>33.253268478668176</v>
      </c>
      <c r="G114" s="89">
        <f t="shared" si="1"/>
        <v>0.50746847866817291</v>
      </c>
    </row>
    <row r="115" spans="1:7" x14ac:dyDescent="0.6">
      <c r="A115" s="76" t="s">
        <v>885</v>
      </c>
      <c r="B115" s="87">
        <v>9.9600000000000001E-3</v>
      </c>
      <c r="C115" s="88">
        <v>32.901499999999999</v>
      </c>
      <c r="D115" s="88">
        <v>0.33400999999999997</v>
      </c>
      <c r="E115" s="76">
        <v>1</v>
      </c>
      <c r="F115" s="89" cm="1">
        <f t="array" ref="F115">5*LOG10(((c_light/1000/H_0_SAM)*(B115/60)*SUMPRODUCT($J$2:$AD$2,1/SQRT(Omega_m*(1+$J$1:$AD$1*B115)^3+Omega_L)))*(1+B115)*100000)</f>
        <v>33.253268478668176</v>
      </c>
      <c r="G115" s="89">
        <f t="shared" si="1"/>
        <v>0.35176847866817695</v>
      </c>
    </row>
    <row r="116" spans="1:7" x14ac:dyDescent="0.6">
      <c r="A116" s="76" t="s">
        <v>886</v>
      </c>
      <c r="B116" s="87">
        <v>1.0160000000000001E-2</v>
      </c>
      <c r="C116" s="88">
        <v>32.779400000000003</v>
      </c>
      <c r="D116" s="88">
        <v>0.34855000000000003</v>
      </c>
      <c r="E116" s="76">
        <v>0</v>
      </c>
      <c r="F116" s="89" cm="1">
        <f t="array" ref="F116">5*LOG10(((c_light/1000/H_0_SAM)*(B116/60)*SUMPRODUCT($J$2:$AD$2,1/SQRT(Omega_m*(1+$J$1:$AD$1*B116)^3+Omega_L)))*(1+B116)*100000)</f>
        <v>33.29676597774737</v>
      </c>
      <c r="G116" s="89">
        <f t="shared" si="1"/>
        <v>0.51736597774736737</v>
      </c>
    </row>
    <row r="117" spans="1:7" x14ac:dyDescent="0.6">
      <c r="A117" s="76" t="s">
        <v>887</v>
      </c>
      <c r="B117" s="87">
        <v>1.017E-2</v>
      </c>
      <c r="C117" s="88">
        <v>32.918199999999999</v>
      </c>
      <c r="D117" s="88">
        <v>0.36521999999999999</v>
      </c>
      <c r="E117" s="76">
        <v>0</v>
      </c>
      <c r="F117" s="89" cm="1">
        <f t="array" ref="F117">5*LOG10(((c_light/1000/H_0_SAM)*(B117/60)*SUMPRODUCT($J$2:$AD$2,1/SQRT(Omega_m*(1+$J$1:$AD$1*B117)^3+Omega_L)))*(1+B117)*100000)</f>
        <v>33.298918482630519</v>
      </c>
      <c r="G117" s="89">
        <f t="shared" si="1"/>
        <v>0.38071848263052033</v>
      </c>
    </row>
    <row r="118" spans="1:7" x14ac:dyDescent="0.6">
      <c r="A118" s="76" t="s">
        <v>887</v>
      </c>
      <c r="B118" s="87">
        <v>1.017E-2</v>
      </c>
      <c r="C118" s="88">
        <v>32.967399999999998</v>
      </c>
      <c r="D118" s="88">
        <v>0.34188000000000002</v>
      </c>
      <c r="E118" s="76">
        <v>0</v>
      </c>
      <c r="F118" s="89" cm="1">
        <f t="array" ref="F118">5*LOG10(((c_light/1000/H_0_SAM)*(B118/60)*SUMPRODUCT($J$2:$AD$2,1/SQRT(Omega_m*(1+$J$1:$AD$1*B118)^3+Omega_L)))*(1+B118)*100000)</f>
        <v>33.298918482630519</v>
      </c>
      <c r="G118" s="89">
        <f t="shared" si="1"/>
        <v>0.33151848263052131</v>
      </c>
    </row>
    <row r="119" spans="1:7" x14ac:dyDescent="0.6">
      <c r="A119" s="76" t="s">
        <v>888</v>
      </c>
      <c r="B119" s="87">
        <v>1.026E-2</v>
      </c>
      <c r="C119" s="88">
        <v>33.337800000000001</v>
      </c>
      <c r="D119" s="88">
        <v>0.30629000000000001</v>
      </c>
      <c r="E119" s="76">
        <v>0</v>
      </c>
      <c r="F119" s="89" cm="1">
        <f t="array" ref="F119">5*LOG10(((c_light/1000/H_0_SAM)*(B119/60)*SUMPRODUCT($J$2:$AD$2,1/SQRT(Omega_m*(1+$J$1:$AD$1*B119)^3+Omega_L)))*(1+B119)*100000)</f>
        <v>33.318197030989758</v>
      </c>
      <c r="G119" s="89">
        <f t="shared" si="1"/>
        <v>-1.9602969010243498E-2</v>
      </c>
    </row>
    <row r="120" spans="1:7" x14ac:dyDescent="0.6">
      <c r="A120" s="76" t="s">
        <v>888</v>
      </c>
      <c r="B120" s="87">
        <v>1.026E-2</v>
      </c>
      <c r="C120" s="88">
        <v>33.225299999999997</v>
      </c>
      <c r="D120" s="88">
        <v>0.29909000000000002</v>
      </c>
      <c r="E120" s="76">
        <v>0</v>
      </c>
      <c r="F120" s="89" cm="1">
        <f t="array" ref="F120">5*LOG10(((c_light/1000/H_0_SAM)*(B120/60)*SUMPRODUCT($J$2:$AD$2,1/SQRT(Omega_m*(1+$J$1:$AD$1*B120)^3+Omega_L)))*(1+B120)*100000)</f>
        <v>33.318197030989758</v>
      </c>
      <c r="G120" s="89">
        <f t="shared" si="1"/>
        <v>9.2897030989760765E-2</v>
      </c>
    </row>
    <row r="121" spans="1:7" x14ac:dyDescent="0.6">
      <c r="A121" s="76" t="s">
        <v>889</v>
      </c>
      <c r="B121" s="87">
        <v>1.0279999999999999E-2</v>
      </c>
      <c r="C121" s="88">
        <v>33.278799999999997</v>
      </c>
      <c r="D121" s="88">
        <v>0.24795</v>
      </c>
      <c r="E121" s="76">
        <v>1</v>
      </c>
      <c r="F121" s="89" cm="1">
        <f t="array" ref="F121">5*LOG10(((c_light/1000/H_0_SAM)*(B121/60)*SUMPRODUCT($J$2:$AD$2,1/SQRT(Omega_m*(1+$J$1:$AD$1*B121)^3+Omega_L)))*(1+B121)*100000)</f>
        <v>33.32245835529816</v>
      </c>
      <c r="G121" s="89">
        <f t="shared" si="1"/>
        <v>4.3658355298163087E-2</v>
      </c>
    </row>
    <row r="122" spans="1:7" x14ac:dyDescent="0.6">
      <c r="A122" s="76" t="s">
        <v>890</v>
      </c>
      <c r="B122" s="87">
        <v>1.042E-2</v>
      </c>
      <c r="C122" s="88">
        <v>33.123600000000003</v>
      </c>
      <c r="D122" s="88">
        <v>0.31723000000000001</v>
      </c>
      <c r="E122" s="76">
        <v>0</v>
      </c>
      <c r="F122" s="89" cm="1">
        <f t="array" ref="F122">5*LOG10(((c_light/1000/H_0_SAM)*(B122/60)*SUMPRODUCT($J$2:$AD$2,1/SQRT(Omega_m*(1+$J$1:$AD$1*B122)^3+Omega_L)))*(1+B122)*100000)</f>
        <v>33.352059233720048</v>
      </c>
      <c r="G122" s="89">
        <f t="shared" si="1"/>
        <v>0.22845923372004506</v>
      </c>
    </row>
    <row r="123" spans="1:7" x14ac:dyDescent="0.6">
      <c r="A123" s="76" t="s">
        <v>891</v>
      </c>
      <c r="B123" s="87">
        <v>1.044E-2</v>
      </c>
      <c r="C123" s="88">
        <v>33.0869</v>
      </c>
      <c r="D123" s="88">
        <v>0.34392</v>
      </c>
      <c r="E123" s="76">
        <v>1</v>
      </c>
      <c r="F123" s="89" cm="1">
        <f t="array" ref="F123">5*LOG10(((c_light/1000/H_0_SAM)*(B123/60)*SUMPRODUCT($J$2:$AD$2,1/SQRT(Omega_m*(1+$J$1:$AD$1*B123)^3+Omega_L)))*(1+B123)*100000)</f>
        <v>33.356255679314714</v>
      </c>
      <c r="G123" s="89">
        <f t="shared" si="1"/>
        <v>0.26935567931471383</v>
      </c>
    </row>
    <row r="124" spans="1:7" x14ac:dyDescent="0.6">
      <c r="A124" s="76" t="s">
        <v>892</v>
      </c>
      <c r="B124" s="87">
        <v>1.061E-2</v>
      </c>
      <c r="C124" s="88">
        <v>33.380600000000001</v>
      </c>
      <c r="D124" s="88">
        <v>0.30901000000000001</v>
      </c>
      <c r="E124" s="76">
        <v>1</v>
      </c>
      <c r="F124" s="89" cm="1">
        <f t="array" ref="F124">5*LOG10(((c_light/1000/H_0_SAM)*(B124/60)*SUMPRODUCT($J$2:$AD$2,1/SQRT(Omega_m*(1+$J$1:$AD$1*B124)^3+Omega_L)))*(1+B124)*100000)</f>
        <v>33.391606716272662</v>
      </c>
      <c r="G124" s="89">
        <f t="shared" si="1"/>
        <v>1.100671627266081E-2</v>
      </c>
    </row>
    <row r="125" spans="1:7" x14ac:dyDescent="0.6">
      <c r="A125" s="76" t="s">
        <v>892</v>
      </c>
      <c r="B125" s="87">
        <v>1.061E-2</v>
      </c>
      <c r="C125" s="88">
        <v>33.293100000000003</v>
      </c>
      <c r="D125" s="88">
        <v>0.27456999999999998</v>
      </c>
      <c r="E125" s="76">
        <v>1</v>
      </c>
      <c r="F125" s="89" cm="1">
        <f t="array" ref="F125">5*LOG10(((c_light/1000/H_0_SAM)*(B125/60)*SUMPRODUCT($J$2:$AD$2,1/SQRT(Omega_m*(1+$J$1:$AD$1*B125)^3+Omega_L)))*(1+B125)*100000)</f>
        <v>33.391606716272662</v>
      </c>
      <c r="G125" s="89">
        <f t="shared" si="1"/>
        <v>9.8506716272659389E-2</v>
      </c>
    </row>
    <row r="126" spans="1:7" x14ac:dyDescent="0.6">
      <c r="A126" s="76" t="s">
        <v>893</v>
      </c>
      <c r="B126" s="87">
        <v>1.073E-2</v>
      </c>
      <c r="C126" s="88">
        <v>33.1081</v>
      </c>
      <c r="D126" s="88">
        <v>0.36466999999999999</v>
      </c>
      <c r="E126" s="76">
        <v>0</v>
      </c>
      <c r="F126" s="89" cm="1">
        <f t="array" ref="F126">5*LOG10(((c_light/1000/H_0_SAM)*(B126/60)*SUMPRODUCT($J$2:$AD$2,1/SQRT(Omega_m*(1+$J$1:$AD$1*B126)^3+Omega_L)))*(1+B126)*100000)</f>
        <v>33.416223618818584</v>
      </c>
      <c r="G126" s="89">
        <f t="shared" si="1"/>
        <v>0.30812361881858408</v>
      </c>
    </row>
    <row r="127" spans="1:7" x14ac:dyDescent="0.6">
      <c r="A127" s="76" t="s">
        <v>894</v>
      </c>
      <c r="B127" s="87">
        <v>1.0789999999999999E-2</v>
      </c>
      <c r="C127" s="88">
        <v>33.068300000000001</v>
      </c>
      <c r="D127" s="88">
        <v>0.32401999999999997</v>
      </c>
      <c r="E127" s="76">
        <v>1</v>
      </c>
      <c r="F127" s="89" cm="1">
        <f t="array" ref="F127">5*LOG10(((c_light/1000/H_0_SAM)*(B127/60)*SUMPRODUCT($J$2:$AD$2,1/SQRT(Omega_m*(1+$J$1:$AD$1*B127)^3+Omega_L)))*(1+B127)*100000)</f>
        <v>33.428429825344622</v>
      </c>
      <c r="G127" s="89">
        <f t="shared" si="1"/>
        <v>0.36012982534462168</v>
      </c>
    </row>
    <row r="128" spans="1:7" x14ac:dyDescent="0.6">
      <c r="A128" s="76" t="s">
        <v>895</v>
      </c>
      <c r="B128" s="87">
        <v>1.0789999999999999E-2</v>
      </c>
      <c r="C128" s="88">
        <v>33.180900000000001</v>
      </c>
      <c r="D128" s="88">
        <v>0.37796999999999997</v>
      </c>
      <c r="E128" s="76">
        <v>1</v>
      </c>
      <c r="F128" s="89" cm="1">
        <f t="array" ref="F128">5*LOG10(((c_light/1000/H_0_SAM)*(B128/60)*SUMPRODUCT($J$2:$AD$2,1/SQRT(Omega_m*(1+$J$1:$AD$1*B128)^3+Omega_L)))*(1+B128)*100000)</f>
        <v>33.428429825344622</v>
      </c>
      <c r="G128" s="89">
        <f t="shared" si="1"/>
        <v>0.2475298253446212</v>
      </c>
    </row>
    <row r="129" spans="1:7" x14ac:dyDescent="0.6">
      <c r="A129" s="76" t="s">
        <v>896</v>
      </c>
      <c r="B129" s="87">
        <v>1.0959999999999999E-2</v>
      </c>
      <c r="C129" s="88">
        <v>33.570900000000002</v>
      </c>
      <c r="D129" s="88">
        <v>0.31485999999999997</v>
      </c>
      <c r="E129" s="76">
        <v>0</v>
      </c>
      <c r="F129" s="89" cm="1">
        <f t="array" ref="F129">5*LOG10(((c_light/1000/H_0_SAM)*(B129/60)*SUMPRODUCT($J$2:$AD$2,1/SQRT(Omega_m*(1+$J$1:$AD$1*B129)^3+Omega_L)))*(1+B129)*100000)</f>
        <v>33.462651838335368</v>
      </c>
      <c r="G129" s="89">
        <f t="shared" si="1"/>
        <v>-0.10824816166463336</v>
      </c>
    </row>
    <row r="130" spans="1:7" x14ac:dyDescent="0.6">
      <c r="A130" s="76" t="s">
        <v>897</v>
      </c>
      <c r="B130" s="87">
        <v>1.1140000000000001E-2</v>
      </c>
      <c r="C130" s="88">
        <v>33.733699999999999</v>
      </c>
      <c r="D130" s="88">
        <v>0.34249000000000002</v>
      </c>
      <c r="E130" s="76">
        <v>0</v>
      </c>
      <c r="F130" s="89" cm="1">
        <f t="array" ref="F130">5*LOG10(((c_light/1000/H_0_SAM)*(B130/60)*SUMPRODUCT($J$2:$AD$2,1/SQRT(Omega_m*(1+$J$1:$AD$1*B130)^3+Omega_L)))*(1+B130)*100000)</f>
        <v>33.498317673344239</v>
      </c>
      <c r="G130" s="89">
        <f t="shared" si="1"/>
        <v>-0.23538232665575975</v>
      </c>
    </row>
    <row r="131" spans="1:7" x14ac:dyDescent="0.6">
      <c r="A131" s="76" t="s">
        <v>897</v>
      </c>
      <c r="B131" s="87">
        <v>1.1140000000000001E-2</v>
      </c>
      <c r="C131" s="88">
        <v>33.636899999999997</v>
      </c>
      <c r="D131" s="88">
        <v>0.29521999999999998</v>
      </c>
      <c r="E131" s="76">
        <v>0</v>
      </c>
      <c r="F131" s="89" cm="1">
        <f t="array" ref="F131">5*LOG10(((c_light/1000/H_0_SAM)*(B131/60)*SUMPRODUCT($J$2:$AD$2,1/SQRT(Omega_m*(1+$J$1:$AD$1*B131)^3+Omega_L)))*(1+B131)*100000)</f>
        <v>33.498317673344239</v>
      </c>
      <c r="G131" s="89">
        <f t="shared" si="1"/>
        <v>-0.13858232665575798</v>
      </c>
    </row>
    <row r="132" spans="1:7" x14ac:dyDescent="0.6">
      <c r="A132" s="76" t="s">
        <v>898</v>
      </c>
      <c r="B132" s="87">
        <v>1.1220000000000001E-2</v>
      </c>
      <c r="C132" s="88">
        <v>33.834699999999998</v>
      </c>
      <c r="D132" s="88">
        <v>0.35391</v>
      </c>
      <c r="E132" s="76">
        <v>0</v>
      </c>
      <c r="F132" s="89" cm="1">
        <f t="array" ref="F132">5*LOG10(((c_light/1000/H_0_SAM)*(B132/60)*SUMPRODUCT($J$2:$AD$2,1/SQRT(Omega_m*(1+$J$1:$AD$1*B132)^3+Omega_L)))*(1+B132)*100000)</f>
        <v>33.513986045772434</v>
      </c>
      <c r="G132" s="89">
        <f t="shared" si="1"/>
        <v>-0.3207139542275641</v>
      </c>
    </row>
    <row r="133" spans="1:7" x14ac:dyDescent="0.6">
      <c r="A133" s="76" t="s">
        <v>899</v>
      </c>
      <c r="B133" s="87">
        <v>1.1220000000000001E-2</v>
      </c>
      <c r="C133" s="88">
        <v>33.433599999999998</v>
      </c>
      <c r="D133" s="88">
        <v>0.28342000000000001</v>
      </c>
      <c r="E133" s="76">
        <v>0</v>
      </c>
      <c r="F133" s="89" cm="1">
        <f t="array" ref="F133">5*LOG10(((c_light/1000/H_0_SAM)*(B133/60)*SUMPRODUCT($J$2:$AD$2,1/SQRT(Omega_m*(1+$J$1:$AD$1*B133)^3+Omega_L)))*(1+B133)*100000)</f>
        <v>33.513986045772434</v>
      </c>
      <c r="G133" s="89">
        <f t="shared" si="1"/>
        <v>8.0386045772435466E-2</v>
      </c>
    </row>
    <row r="134" spans="1:7" x14ac:dyDescent="0.6">
      <c r="A134" s="76" t="s">
        <v>899</v>
      </c>
      <c r="B134" s="87">
        <v>1.1220000000000001E-2</v>
      </c>
      <c r="C134" s="88">
        <v>33.494700000000002</v>
      </c>
      <c r="D134" s="88">
        <v>0.32517000000000001</v>
      </c>
      <c r="E134" s="76">
        <v>0</v>
      </c>
      <c r="F134" s="89" cm="1">
        <f t="array" ref="F134">5*LOG10(((c_light/1000/H_0_SAM)*(B134/60)*SUMPRODUCT($J$2:$AD$2,1/SQRT(Omega_m*(1+$J$1:$AD$1*B134)^3+Omega_L)))*(1+B134)*100000)</f>
        <v>33.513986045772434</v>
      </c>
      <c r="G134" s="89">
        <f t="shared" ref="G134:G197" si="2">F134-C134</f>
        <v>1.9286045772432203E-2</v>
      </c>
    </row>
    <row r="135" spans="1:7" x14ac:dyDescent="0.6">
      <c r="A135" s="76" t="s">
        <v>900</v>
      </c>
      <c r="B135" s="87">
        <v>1.155E-2</v>
      </c>
      <c r="C135" s="88">
        <v>33.583300000000001</v>
      </c>
      <c r="D135" s="88">
        <v>0.28116999999999998</v>
      </c>
      <c r="E135" s="76">
        <v>0</v>
      </c>
      <c r="F135" s="89" cm="1">
        <f t="array" ref="F135">5*LOG10(((c_light/1000/H_0_SAM)*(B135/60)*SUMPRODUCT($J$2:$AD$2,1/SQRT(Omega_m*(1+$J$1:$AD$1*B135)^3+Omega_L)))*(1+B135)*100000)</f>
        <v>33.577467940829237</v>
      </c>
      <c r="G135" s="89">
        <f t="shared" si="2"/>
        <v>-5.8320591707641256E-3</v>
      </c>
    </row>
    <row r="136" spans="1:7" x14ac:dyDescent="0.6">
      <c r="A136" s="76" t="s">
        <v>901</v>
      </c>
      <c r="B136" s="87">
        <v>1.1950000000000001E-2</v>
      </c>
      <c r="C136" s="88">
        <v>33.497399999999999</v>
      </c>
      <c r="D136" s="88">
        <v>0.30149999999999999</v>
      </c>
      <c r="E136" s="76">
        <v>0</v>
      </c>
      <c r="F136" s="89" cm="1">
        <f t="array" ref="F136">5*LOG10(((c_light/1000/H_0_SAM)*(B136/60)*SUMPRODUCT($J$2:$AD$2,1/SQRT(Omega_m*(1+$J$1:$AD$1*B136)^3+Omega_L)))*(1+B136)*100000)</f>
        <v>33.652047200957988</v>
      </c>
      <c r="G136" s="89">
        <f t="shared" si="2"/>
        <v>0.15464720095798867</v>
      </c>
    </row>
    <row r="137" spans="1:7" x14ac:dyDescent="0.6">
      <c r="A137" s="76" t="s">
        <v>902</v>
      </c>
      <c r="B137" s="87">
        <v>1.213E-2</v>
      </c>
      <c r="C137" s="88">
        <v>33.878300000000003</v>
      </c>
      <c r="D137" s="88">
        <v>0.34638000000000002</v>
      </c>
      <c r="E137" s="76">
        <v>0</v>
      </c>
      <c r="F137" s="89" cm="1">
        <f t="array" ref="F137">5*LOG10(((c_light/1000/H_0_SAM)*(B137/60)*SUMPRODUCT($J$2:$AD$2,1/SQRT(Omega_m*(1+$J$1:$AD$1*B137)^3+Omega_L)))*(1+B137)*100000)</f>
        <v>33.684803896534049</v>
      </c>
      <c r="G137" s="89">
        <f t="shared" si="2"/>
        <v>-0.19349610346595369</v>
      </c>
    </row>
    <row r="138" spans="1:7" x14ac:dyDescent="0.6">
      <c r="A138" s="76" t="s">
        <v>903</v>
      </c>
      <c r="B138" s="87">
        <v>1.2200000000000001E-2</v>
      </c>
      <c r="C138" s="88">
        <v>33.702300000000001</v>
      </c>
      <c r="D138" s="88">
        <v>0.26667000000000002</v>
      </c>
      <c r="E138" s="76">
        <v>0</v>
      </c>
      <c r="F138" s="89" cm="1">
        <f t="array" ref="F138">5*LOG10(((c_light/1000/H_0_SAM)*(B138/60)*SUMPRODUCT($J$2:$AD$2,1/SQRT(Omega_m*(1+$J$1:$AD$1*B138)^3+Omega_L)))*(1+B138)*100000)</f>
        <v>33.697412664495388</v>
      </c>
      <c r="G138" s="89">
        <f t="shared" si="2"/>
        <v>-4.8873355046126221E-3</v>
      </c>
    </row>
    <row r="139" spans="1:7" x14ac:dyDescent="0.6">
      <c r="A139" s="76" t="s">
        <v>904</v>
      </c>
      <c r="B139" s="87">
        <v>1.2330000000000001E-2</v>
      </c>
      <c r="C139" s="88">
        <v>33.740299999999998</v>
      </c>
      <c r="D139" s="88">
        <v>0.25413000000000002</v>
      </c>
      <c r="E139" s="76">
        <v>0</v>
      </c>
      <c r="F139" s="89" cm="1">
        <f t="array" ref="F139">5*LOG10(((c_light/1000/H_0_SAM)*(B139/60)*SUMPRODUCT($J$2:$AD$2,1/SQRT(Omega_m*(1+$J$1:$AD$1*B139)^3+Omega_L)))*(1+B139)*100000)</f>
        <v>33.72063986905556</v>
      </c>
      <c r="G139" s="89">
        <f t="shared" si="2"/>
        <v>-1.9660130944437526E-2</v>
      </c>
    </row>
    <row r="140" spans="1:7" x14ac:dyDescent="0.6">
      <c r="A140" s="76" t="s">
        <v>905</v>
      </c>
      <c r="B140" s="87">
        <v>1.2460000000000001E-2</v>
      </c>
      <c r="C140" s="88">
        <v>33.828600000000002</v>
      </c>
      <c r="D140" s="88">
        <v>0.26511000000000001</v>
      </c>
      <c r="E140" s="76">
        <v>0</v>
      </c>
      <c r="F140" s="89" cm="1">
        <f t="array" ref="F140">5*LOG10(((c_light/1000/H_0_SAM)*(B140/60)*SUMPRODUCT($J$2:$AD$2,1/SQRT(Omega_m*(1+$J$1:$AD$1*B140)^3+Omega_L)))*(1+B140)*100000)</f>
        <v>33.743625631562125</v>
      </c>
      <c r="G140" s="89">
        <f t="shared" si="2"/>
        <v>-8.4974368437876535E-2</v>
      </c>
    </row>
    <row r="141" spans="1:7" x14ac:dyDescent="0.6">
      <c r="A141" s="76" t="s">
        <v>906</v>
      </c>
      <c r="B141" s="87">
        <v>1.2579999999999999E-2</v>
      </c>
      <c r="C141" s="88">
        <v>33.707999999999998</v>
      </c>
      <c r="D141" s="88">
        <v>0.24076</v>
      </c>
      <c r="E141" s="76">
        <v>0</v>
      </c>
      <c r="F141" s="89" cm="1">
        <f t="array" ref="F141">5*LOG10(((c_light/1000/H_0_SAM)*(B141/60)*SUMPRODUCT($J$2:$AD$2,1/SQRT(Omega_m*(1+$J$1:$AD$1*B141)^3+Omega_L)))*(1+B141)*100000)</f>
        <v>33.764633297222304</v>
      </c>
      <c r="G141" s="89">
        <f t="shared" si="2"/>
        <v>5.6633297222305146E-2</v>
      </c>
    </row>
    <row r="142" spans="1:7" x14ac:dyDescent="0.6">
      <c r="A142" s="76" t="s">
        <v>906</v>
      </c>
      <c r="B142" s="87">
        <v>1.2579999999999999E-2</v>
      </c>
      <c r="C142" s="88">
        <v>33.724600000000002</v>
      </c>
      <c r="D142" s="88">
        <v>0.25009999999999999</v>
      </c>
      <c r="E142" s="76">
        <v>0</v>
      </c>
      <c r="F142" s="89" cm="1">
        <f t="array" ref="F142">5*LOG10(((c_light/1000/H_0_SAM)*(B142/60)*SUMPRODUCT($J$2:$AD$2,1/SQRT(Omega_m*(1+$J$1:$AD$1*B142)^3+Omega_L)))*(1+B142)*100000)</f>
        <v>33.764633297222304</v>
      </c>
      <c r="G142" s="89">
        <f t="shared" si="2"/>
        <v>4.0033297222301201E-2</v>
      </c>
    </row>
    <row r="143" spans="1:7" x14ac:dyDescent="0.6">
      <c r="A143" s="76" t="s">
        <v>907</v>
      </c>
      <c r="B143" s="87">
        <v>1.259E-2</v>
      </c>
      <c r="C143" s="88">
        <v>33.587400000000002</v>
      </c>
      <c r="D143" s="88">
        <v>0.26006000000000001</v>
      </c>
      <c r="E143" s="76">
        <v>0</v>
      </c>
      <c r="F143" s="89" cm="1">
        <f t="array" ref="F143">5*LOG10(((c_light/1000/H_0_SAM)*(B143/60)*SUMPRODUCT($J$2:$AD$2,1/SQRT(Omega_m*(1+$J$1:$AD$1*B143)^3+Omega_L)))*(1+B143)*100000)</f>
        <v>33.766374963279958</v>
      </c>
      <c r="G143" s="89">
        <f t="shared" si="2"/>
        <v>0.17897496327995555</v>
      </c>
    </row>
    <row r="144" spans="1:7" x14ac:dyDescent="0.6">
      <c r="A144" s="76" t="s">
        <v>907</v>
      </c>
      <c r="B144" s="87">
        <v>1.259E-2</v>
      </c>
      <c r="C144" s="88">
        <v>33.517800000000001</v>
      </c>
      <c r="D144" s="88">
        <v>0.26618999999999998</v>
      </c>
      <c r="E144" s="76">
        <v>0</v>
      </c>
      <c r="F144" s="89" cm="1">
        <f t="array" ref="F144">5*LOG10(((c_light/1000/H_0_SAM)*(B144/60)*SUMPRODUCT($J$2:$AD$2,1/SQRT(Omega_m*(1+$J$1:$AD$1*B144)^3+Omega_L)))*(1+B144)*100000)</f>
        <v>33.766374963279958</v>
      </c>
      <c r="G144" s="89">
        <f t="shared" si="2"/>
        <v>0.24857496327995676</v>
      </c>
    </row>
    <row r="145" spans="1:7" x14ac:dyDescent="0.6">
      <c r="A145" s="76" t="s">
        <v>908</v>
      </c>
      <c r="B145" s="87">
        <v>1.2789999999999999E-2</v>
      </c>
      <c r="C145" s="88">
        <v>33.749200000000002</v>
      </c>
      <c r="D145" s="88">
        <v>0.41665999999999997</v>
      </c>
      <c r="E145" s="76">
        <v>0</v>
      </c>
      <c r="F145" s="89" cm="1">
        <f t="array" ref="F145">5*LOG10(((c_light/1000/H_0_SAM)*(B145/60)*SUMPRODUCT($J$2:$AD$2,1/SQRT(Omega_m*(1+$J$1:$AD$1*B145)^3+Omega_L)))*(1+B145)*100000)</f>
        <v>33.800923405404959</v>
      </c>
      <c r="G145" s="89">
        <f t="shared" si="2"/>
        <v>5.1723405404956679E-2</v>
      </c>
    </row>
    <row r="146" spans="1:7" x14ac:dyDescent="0.6">
      <c r="A146" s="76" t="s">
        <v>909</v>
      </c>
      <c r="B146" s="87">
        <v>1.2829999999999999E-2</v>
      </c>
      <c r="C146" s="88">
        <v>33.636499999999998</v>
      </c>
      <c r="D146" s="88">
        <v>0.28738000000000002</v>
      </c>
      <c r="E146" s="76">
        <v>0</v>
      </c>
      <c r="F146" s="89" cm="1">
        <f t="array" ref="F146">5*LOG10(((c_light/1000/H_0_SAM)*(B146/60)*SUMPRODUCT($J$2:$AD$2,1/SQRT(Omega_m*(1+$J$1:$AD$1*B146)^3+Omega_L)))*(1+B146)*100000)</f>
        <v>33.807768827280604</v>
      </c>
      <c r="G146" s="89">
        <f t="shared" si="2"/>
        <v>0.17126882728060622</v>
      </c>
    </row>
    <row r="147" spans="1:7" x14ac:dyDescent="0.6">
      <c r="A147" s="76" t="s">
        <v>909</v>
      </c>
      <c r="B147" s="87">
        <v>1.2829999999999999E-2</v>
      </c>
      <c r="C147" s="88">
        <v>33.502800000000001</v>
      </c>
      <c r="D147" s="88">
        <v>0.33112000000000003</v>
      </c>
      <c r="E147" s="76">
        <v>0</v>
      </c>
      <c r="F147" s="89" cm="1">
        <f t="array" ref="F147">5*LOG10(((c_light/1000/H_0_SAM)*(B147/60)*SUMPRODUCT($J$2:$AD$2,1/SQRT(Omega_m*(1+$J$1:$AD$1*B147)^3+Omega_L)))*(1+B147)*100000)</f>
        <v>33.807768827280604</v>
      </c>
      <c r="G147" s="89">
        <f t="shared" si="2"/>
        <v>0.3049688272806037</v>
      </c>
    </row>
    <row r="148" spans="1:7" x14ac:dyDescent="0.6">
      <c r="A148" s="76" t="s">
        <v>910</v>
      </c>
      <c r="B148" s="87">
        <v>1.303E-2</v>
      </c>
      <c r="C148" s="88">
        <v>33.735500000000002</v>
      </c>
      <c r="D148" s="88">
        <v>0.23977999999999999</v>
      </c>
      <c r="E148" s="76">
        <v>0</v>
      </c>
      <c r="F148" s="89" cm="1">
        <f t="array" ref="F148">5*LOG10(((c_light/1000/H_0_SAM)*(B148/60)*SUMPRODUCT($J$2:$AD$2,1/SQRT(Omega_m*(1+$J$1:$AD$1*B148)^3+Omega_L)))*(1+B148)*100000)</f>
        <v>33.841681877657436</v>
      </c>
      <c r="G148" s="89">
        <f t="shared" si="2"/>
        <v>0.10618187765743414</v>
      </c>
    </row>
    <row r="149" spans="1:7" x14ac:dyDescent="0.6">
      <c r="A149" s="76" t="s">
        <v>910</v>
      </c>
      <c r="B149" s="87">
        <v>1.303E-2</v>
      </c>
      <c r="C149" s="88">
        <v>33.7607</v>
      </c>
      <c r="D149" s="88">
        <v>0.28721999999999998</v>
      </c>
      <c r="E149" s="76">
        <v>0</v>
      </c>
      <c r="F149" s="89" cm="1">
        <f t="array" ref="F149">5*LOG10(((c_light/1000/H_0_SAM)*(B149/60)*SUMPRODUCT($J$2:$AD$2,1/SQRT(Omega_m*(1+$J$1:$AD$1*B149)^3+Omega_L)))*(1+B149)*100000)</f>
        <v>33.841681877657436</v>
      </c>
      <c r="G149" s="89">
        <f t="shared" si="2"/>
        <v>8.098187765743603E-2</v>
      </c>
    </row>
    <row r="150" spans="1:7" x14ac:dyDescent="0.6">
      <c r="A150" s="76" t="s">
        <v>911</v>
      </c>
      <c r="B150" s="87">
        <v>1.304E-2</v>
      </c>
      <c r="C150" s="88">
        <v>33.575200000000002</v>
      </c>
      <c r="D150" s="88">
        <v>0.29255999999999999</v>
      </c>
      <c r="E150" s="76">
        <v>0</v>
      </c>
      <c r="F150" s="89" cm="1">
        <f t="array" ref="F150">5*LOG10(((c_light/1000/H_0_SAM)*(B150/60)*SUMPRODUCT($J$2:$AD$2,1/SQRT(Omega_m*(1+$J$1:$AD$1*B150)^3+Omega_L)))*(1+B150)*100000)</f>
        <v>33.843363966208997</v>
      </c>
      <c r="G150" s="89">
        <f t="shared" si="2"/>
        <v>0.26816396620899496</v>
      </c>
    </row>
    <row r="151" spans="1:7" x14ac:dyDescent="0.6">
      <c r="A151" s="76" t="s">
        <v>912</v>
      </c>
      <c r="B151" s="87">
        <v>1.304E-2</v>
      </c>
      <c r="C151" s="88">
        <v>33.567300000000003</v>
      </c>
      <c r="D151" s="88">
        <v>0.28478999999999999</v>
      </c>
      <c r="E151" s="76">
        <v>0</v>
      </c>
      <c r="F151" s="89" cm="1">
        <f t="array" ref="F151">5*LOG10(((c_light/1000/H_0_SAM)*(B151/60)*SUMPRODUCT($J$2:$AD$2,1/SQRT(Omega_m*(1+$J$1:$AD$1*B151)^3+Omega_L)))*(1+B151)*100000)</f>
        <v>33.843363966208997</v>
      </c>
      <c r="G151" s="89">
        <f t="shared" si="2"/>
        <v>0.27606396620899432</v>
      </c>
    </row>
    <row r="152" spans="1:7" x14ac:dyDescent="0.6">
      <c r="A152" s="76" t="s">
        <v>913</v>
      </c>
      <c r="B152" s="87">
        <v>1.312E-2</v>
      </c>
      <c r="C152" s="88">
        <v>33.520000000000003</v>
      </c>
      <c r="D152" s="88">
        <v>0.27354000000000001</v>
      </c>
      <c r="E152" s="76">
        <v>1</v>
      </c>
      <c r="F152" s="89" cm="1">
        <f t="array" ref="F152">5*LOG10(((c_light/1000/H_0_SAM)*(B152/60)*SUMPRODUCT($J$2:$AD$2,1/SQRT(Omega_m*(1+$J$1:$AD$1*B152)^3+Omega_L)))*(1+B152)*100000)</f>
        <v>33.856774856768205</v>
      </c>
      <c r="G152" s="89">
        <f t="shared" si="2"/>
        <v>0.3367748567682014</v>
      </c>
    </row>
    <row r="153" spans="1:7" x14ac:dyDescent="0.6">
      <c r="A153" s="76" t="s">
        <v>913</v>
      </c>
      <c r="B153" s="87">
        <v>1.312E-2</v>
      </c>
      <c r="C153" s="88">
        <v>33.471699999999998</v>
      </c>
      <c r="D153" s="88">
        <v>0.2616</v>
      </c>
      <c r="E153" s="76">
        <v>1</v>
      </c>
      <c r="F153" s="89" cm="1">
        <f t="array" ref="F153">5*LOG10(((c_light/1000/H_0_SAM)*(B153/60)*SUMPRODUCT($J$2:$AD$2,1/SQRT(Omega_m*(1+$J$1:$AD$1*B153)^3+Omega_L)))*(1+B153)*100000)</f>
        <v>33.856774856768205</v>
      </c>
      <c r="G153" s="89">
        <f t="shared" si="2"/>
        <v>0.38507485676820608</v>
      </c>
    </row>
    <row r="154" spans="1:7" x14ac:dyDescent="0.6">
      <c r="A154" s="76" t="s">
        <v>914</v>
      </c>
      <c r="B154" s="87">
        <v>1.325E-2</v>
      </c>
      <c r="C154" s="88">
        <v>33.968200000000003</v>
      </c>
      <c r="D154" s="88">
        <v>0.30369000000000002</v>
      </c>
      <c r="E154" s="76">
        <v>0</v>
      </c>
      <c r="F154" s="89" cm="1">
        <f t="array" ref="F154">5*LOG10(((c_light/1000/H_0_SAM)*(B154/60)*SUMPRODUCT($J$2:$AD$2,1/SQRT(Omega_m*(1+$J$1:$AD$1*B154)^3+Omega_L)))*(1+B154)*100000)</f>
        <v>33.878395757355733</v>
      </c>
      <c r="G154" s="89">
        <f t="shared" si="2"/>
        <v>-8.9804242644270005E-2</v>
      </c>
    </row>
    <row r="155" spans="1:7" x14ac:dyDescent="0.6">
      <c r="A155" s="76" t="s">
        <v>914</v>
      </c>
      <c r="B155" s="87">
        <v>1.325E-2</v>
      </c>
      <c r="C155" s="88">
        <v>33.9846</v>
      </c>
      <c r="D155" s="88">
        <v>0.2994</v>
      </c>
      <c r="E155" s="76">
        <v>0</v>
      </c>
      <c r="F155" s="89" cm="1">
        <f t="array" ref="F155">5*LOG10(((c_light/1000/H_0_SAM)*(B155/60)*SUMPRODUCT($J$2:$AD$2,1/SQRT(Omega_m*(1+$J$1:$AD$1*B155)^3+Omega_L)))*(1+B155)*100000)</f>
        <v>33.878395757355733</v>
      </c>
      <c r="G155" s="89">
        <f t="shared" si="2"/>
        <v>-0.10620424264426731</v>
      </c>
    </row>
    <row r="156" spans="1:7" x14ac:dyDescent="0.6">
      <c r="A156" s="76" t="s">
        <v>914</v>
      </c>
      <c r="B156" s="87">
        <v>1.325E-2</v>
      </c>
      <c r="C156" s="88">
        <v>33.924700000000001</v>
      </c>
      <c r="D156" s="88">
        <v>0.30460999999999999</v>
      </c>
      <c r="E156" s="76">
        <v>0</v>
      </c>
      <c r="F156" s="89" cm="1">
        <f t="array" ref="F156">5*LOG10(((c_light/1000/H_0_SAM)*(B156/60)*SUMPRODUCT($J$2:$AD$2,1/SQRT(Omega_m*(1+$J$1:$AD$1*B156)^3+Omega_L)))*(1+B156)*100000)</f>
        <v>33.878395757355733</v>
      </c>
      <c r="G156" s="89">
        <f t="shared" si="2"/>
        <v>-4.6304242644268356E-2</v>
      </c>
    </row>
    <row r="157" spans="1:7" x14ac:dyDescent="0.6">
      <c r="A157" s="76" t="s">
        <v>915</v>
      </c>
      <c r="B157" s="87">
        <v>1.375E-2</v>
      </c>
      <c r="C157" s="88">
        <v>33.796999999999997</v>
      </c>
      <c r="D157" s="88">
        <v>0.27786</v>
      </c>
      <c r="E157" s="76">
        <v>0</v>
      </c>
      <c r="F157" s="89" cm="1">
        <f t="array" ref="F157">5*LOG10(((c_light/1000/H_0_SAM)*(B157/60)*SUMPRODUCT($J$2:$AD$2,1/SQRT(Omega_m*(1+$J$1:$AD$1*B157)^3+Omega_L)))*(1+B157)*100000)</f>
        <v>33.959639799411434</v>
      </c>
      <c r="G157" s="89">
        <f t="shared" si="2"/>
        <v>0.16263979941143702</v>
      </c>
    </row>
    <row r="158" spans="1:7" x14ac:dyDescent="0.6">
      <c r="A158" s="76" t="s">
        <v>915</v>
      </c>
      <c r="B158" s="87">
        <v>1.375E-2</v>
      </c>
      <c r="C158" s="88">
        <v>33.768300000000004</v>
      </c>
      <c r="D158" s="88">
        <v>0.23277999999999999</v>
      </c>
      <c r="E158" s="76">
        <v>0</v>
      </c>
      <c r="F158" s="89" cm="1">
        <f t="array" ref="F158">5*LOG10(((c_light/1000/H_0_SAM)*(B158/60)*SUMPRODUCT($J$2:$AD$2,1/SQRT(Omega_m*(1+$J$1:$AD$1*B158)^3+Omega_L)))*(1+B158)*100000)</f>
        <v>33.959639799411434</v>
      </c>
      <c r="G158" s="89">
        <f t="shared" si="2"/>
        <v>0.19133979941143053</v>
      </c>
    </row>
    <row r="159" spans="1:7" x14ac:dyDescent="0.6">
      <c r="A159" s="76" t="s">
        <v>915</v>
      </c>
      <c r="B159" s="87">
        <v>1.375E-2</v>
      </c>
      <c r="C159" s="88">
        <v>33.771999999999998</v>
      </c>
      <c r="D159" s="88">
        <v>0.23574999999999999</v>
      </c>
      <c r="E159" s="76">
        <v>0</v>
      </c>
      <c r="F159" s="89" cm="1">
        <f t="array" ref="F159">5*LOG10(((c_light/1000/H_0_SAM)*(B159/60)*SUMPRODUCT($J$2:$AD$2,1/SQRT(Omega_m*(1+$J$1:$AD$1*B159)^3+Omega_L)))*(1+B159)*100000)</f>
        <v>33.959639799411434</v>
      </c>
      <c r="G159" s="89">
        <f t="shared" si="2"/>
        <v>0.1876397994114356</v>
      </c>
    </row>
    <row r="160" spans="1:7" x14ac:dyDescent="0.6">
      <c r="A160" s="76" t="s">
        <v>916</v>
      </c>
      <c r="B160" s="87">
        <v>1.376E-2</v>
      </c>
      <c r="C160" s="88">
        <v>33.764899999999997</v>
      </c>
      <c r="D160" s="88">
        <v>0.28878999999999999</v>
      </c>
      <c r="E160" s="76">
        <v>0</v>
      </c>
      <c r="F160" s="89" cm="1">
        <f t="array" ref="F160">5*LOG10(((c_light/1000/H_0_SAM)*(B160/60)*SUMPRODUCT($J$2:$AD$2,1/SQRT(Omega_m*(1+$J$1:$AD$1*B160)^3+Omega_L)))*(1+B160)*100000)</f>
        <v>33.961234670745327</v>
      </c>
      <c r="G160" s="89">
        <f t="shared" si="2"/>
        <v>0.19633467074532973</v>
      </c>
    </row>
    <row r="161" spans="1:7" x14ac:dyDescent="0.6">
      <c r="A161" s="76" t="s">
        <v>917</v>
      </c>
      <c r="B161" s="87">
        <v>1.3860000000000001E-2</v>
      </c>
      <c r="C161" s="88">
        <v>33.674100000000003</v>
      </c>
      <c r="D161" s="88">
        <v>0.34537000000000001</v>
      </c>
      <c r="E161" s="76">
        <v>0</v>
      </c>
      <c r="F161" s="89" cm="1">
        <f t="array" ref="F161">5*LOG10(((c_light/1000/H_0_SAM)*(B161/60)*SUMPRODUCT($J$2:$AD$2,1/SQRT(Omega_m*(1+$J$1:$AD$1*B161)^3+Omega_L)))*(1+B161)*100000)</f>
        <v>33.977120565972633</v>
      </c>
      <c r="G161" s="89">
        <f t="shared" si="2"/>
        <v>0.30302056597263061</v>
      </c>
    </row>
    <row r="162" spans="1:7" x14ac:dyDescent="0.6">
      <c r="A162" s="76" t="s">
        <v>918</v>
      </c>
      <c r="B162" s="87">
        <v>1.388E-2</v>
      </c>
      <c r="C162" s="88">
        <v>33.696800000000003</v>
      </c>
      <c r="D162" s="88">
        <v>0.23352999999999999</v>
      </c>
      <c r="E162" s="76">
        <v>0</v>
      </c>
      <c r="F162" s="89" cm="1">
        <f t="array" ref="F162">5*LOG10(((c_light/1000/H_0_SAM)*(B162/60)*SUMPRODUCT($J$2:$AD$2,1/SQRT(Omega_m*(1+$J$1:$AD$1*B162)^3+Omega_L)))*(1+B162)*100000)</f>
        <v>33.980284124948369</v>
      </c>
      <c r="G162" s="89">
        <f t="shared" si="2"/>
        <v>0.28348412494836595</v>
      </c>
    </row>
    <row r="163" spans="1:7" x14ac:dyDescent="0.6">
      <c r="A163" s="76" t="s">
        <v>919</v>
      </c>
      <c r="B163" s="87">
        <v>1.389E-2</v>
      </c>
      <c r="C163" s="88">
        <v>33.805300000000003</v>
      </c>
      <c r="D163" s="88">
        <v>0.2888</v>
      </c>
      <c r="E163" s="76">
        <v>0</v>
      </c>
      <c r="F163" s="89" cm="1">
        <f t="array" ref="F163">5*LOG10(((c_light/1000/H_0_SAM)*(B163/60)*SUMPRODUCT($J$2:$AD$2,1/SQRT(Omega_m*(1+$J$1:$AD$1*B163)^3+Omega_L)))*(1+B163)*100000)</f>
        <v>33.981864212558961</v>
      </c>
      <c r="G163" s="89">
        <f t="shared" si="2"/>
        <v>0.17656421255895793</v>
      </c>
    </row>
    <row r="164" spans="1:7" x14ac:dyDescent="0.6">
      <c r="A164" s="76" t="s">
        <v>919</v>
      </c>
      <c r="B164" s="87">
        <v>1.389E-2</v>
      </c>
      <c r="C164" s="88">
        <v>33.665100000000002</v>
      </c>
      <c r="D164" s="88">
        <v>0.29620999999999997</v>
      </c>
      <c r="E164" s="76">
        <v>0</v>
      </c>
      <c r="F164" s="89" cm="1">
        <f t="array" ref="F164">5*LOG10(((c_light/1000/H_0_SAM)*(B164/60)*SUMPRODUCT($J$2:$AD$2,1/SQRT(Omega_m*(1+$J$1:$AD$1*B164)^3+Omega_L)))*(1+B164)*100000)</f>
        <v>33.981864212558961</v>
      </c>
      <c r="G164" s="89">
        <f t="shared" si="2"/>
        <v>0.31676421255895804</v>
      </c>
    </row>
    <row r="165" spans="1:7" x14ac:dyDescent="0.6">
      <c r="A165" s="76" t="s">
        <v>920</v>
      </c>
      <c r="B165" s="87">
        <v>1.4109999999999999E-2</v>
      </c>
      <c r="C165" s="88">
        <v>33.820599999999999</v>
      </c>
      <c r="D165" s="88">
        <v>0.25086999999999998</v>
      </c>
      <c r="E165" s="76">
        <v>0</v>
      </c>
      <c r="F165" s="89" cm="1">
        <f t="array" ref="F165">5*LOG10(((c_light/1000/H_0_SAM)*(B165/60)*SUMPRODUCT($J$2:$AD$2,1/SQRT(Omega_m*(1+$J$1:$AD$1*B165)^3+Omega_L)))*(1+B165)*100000)</f>
        <v>34.01634416070096</v>
      </c>
      <c r="G165" s="89">
        <f t="shared" si="2"/>
        <v>0.19574416070096134</v>
      </c>
    </row>
    <row r="166" spans="1:7" x14ac:dyDescent="0.6">
      <c r="A166" s="76" t="s">
        <v>921</v>
      </c>
      <c r="B166" s="87">
        <v>1.4239999999999999E-2</v>
      </c>
      <c r="C166" s="88">
        <v>33.8444</v>
      </c>
      <c r="D166" s="88">
        <v>0.26549</v>
      </c>
      <c r="E166" s="76">
        <v>0</v>
      </c>
      <c r="F166" s="89" cm="1">
        <f t="array" ref="F166">5*LOG10(((c_light/1000/H_0_SAM)*(B166/60)*SUMPRODUCT($J$2:$AD$2,1/SQRT(Omega_m*(1+$J$1:$AD$1*B166)^3+Omega_L)))*(1+B166)*100000)</f>
        <v>34.036469410805871</v>
      </c>
      <c r="G166" s="89">
        <f t="shared" si="2"/>
        <v>0.19206941080587114</v>
      </c>
    </row>
    <row r="167" spans="1:7" x14ac:dyDescent="0.6">
      <c r="A167" s="76" t="s">
        <v>922</v>
      </c>
      <c r="B167" s="87">
        <v>1.4420000000000001E-2</v>
      </c>
      <c r="C167" s="88">
        <v>34.018700000000003</v>
      </c>
      <c r="D167" s="88">
        <v>0.30719000000000002</v>
      </c>
      <c r="E167" s="76">
        <v>0</v>
      </c>
      <c r="F167" s="89" cm="1">
        <f t="array" ref="F167">5*LOG10(((c_light/1000/H_0_SAM)*(B167/60)*SUMPRODUCT($J$2:$AD$2,1/SQRT(Omega_m*(1+$J$1:$AD$1*B167)^3+Omega_L)))*(1+B167)*100000)</f>
        <v>34.064036983472256</v>
      </c>
      <c r="G167" s="89">
        <f t="shared" si="2"/>
        <v>4.5336983472253678E-2</v>
      </c>
    </row>
    <row r="168" spans="1:7" x14ac:dyDescent="0.6">
      <c r="A168" s="76" t="s">
        <v>922</v>
      </c>
      <c r="B168" s="87">
        <v>1.4420000000000001E-2</v>
      </c>
      <c r="C168" s="88">
        <v>34.024900000000002</v>
      </c>
      <c r="D168" s="88">
        <v>0.35233999999999999</v>
      </c>
      <c r="E168" s="76">
        <v>0</v>
      </c>
      <c r="F168" s="89" cm="1">
        <f t="array" ref="F168">5*LOG10(((c_light/1000/H_0_SAM)*(B168/60)*SUMPRODUCT($J$2:$AD$2,1/SQRT(Omega_m*(1+$J$1:$AD$1*B168)^3+Omega_L)))*(1+B168)*100000)</f>
        <v>34.064036983472256</v>
      </c>
      <c r="G168" s="89">
        <f t="shared" si="2"/>
        <v>3.9136983472253917E-2</v>
      </c>
    </row>
    <row r="169" spans="1:7" x14ac:dyDescent="0.6">
      <c r="A169" s="76" t="s">
        <v>923</v>
      </c>
      <c r="B169" s="87">
        <v>1.4420000000000001E-2</v>
      </c>
      <c r="C169" s="88">
        <v>34.336599999999997</v>
      </c>
      <c r="D169" s="88">
        <v>0.37071999999999999</v>
      </c>
      <c r="E169" s="76">
        <v>0</v>
      </c>
      <c r="F169" s="89" cm="1">
        <f t="array" ref="F169">5*LOG10(((c_light/1000/H_0_SAM)*(B169/60)*SUMPRODUCT($J$2:$AD$2,1/SQRT(Omega_m*(1+$J$1:$AD$1*B169)^3+Omega_L)))*(1+B169)*100000)</f>
        <v>34.064036983472256</v>
      </c>
      <c r="G169" s="89">
        <f t="shared" si="2"/>
        <v>-0.27256301652774084</v>
      </c>
    </row>
    <row r="170" spans="1:7" x14ac:dyDescent="0.6">
      <c r="A170" s="76" t="s">
        <v>923</v>
      </c>
      <c r="B170" s="87">
        <v>1.4420000000000001E-2</v>
      </c>
      <c r="C170" s="88">
        <v>34.178100000000001</v>
      </c>
      <c r="D170" s="88">
        <v>0.39690999999999999</v>
      </c>
      <c r="E170" s="76">
        <v>0</v>
      </c>
      <c r="F170" s="89" cm="1">
        <f t="array" ref="F170">5*LOG10(((c_light/1000/H_0_SAM)*(B170/60)*SUMPRODUCT($J$2:$AD$2,1/SQRT(Omega_m*(1+$J$1:$AD$1*B170)^3+Omega_L)))*(1+B170)*100000)</f>
        <v>34.064036983472256</v>
      </c>
      <c r="G170" s="89">
        <f t="shared" si="2"/>
        <v>-0.11406301652774431</v>
      </c>
    </row>
    <row r="171" spans="1:7" x14ac:dyDescent="0.6">
      <c r="A171" s="76" t="s">
        <v>923</v>
      </c>
      <c r="B171" s="87">
        <v>1.4420000000000001E-2</v>
      </c>
      <c r="C171" s="88">
        <v>34.252000000000002</v>
      </c>
      <c r="D171" s="88">
        <v>0.39723999999999998</v>
      </c>
      <c r="E171" s="76">
        <v>0</v>
      </c>
      <c r="F171" s="89" cm="1">
        <f t="array" ref="F171">5*LOG10(((c_light/1000/H_0_SAM)*(B171/60)*SUMPRODUCT($J$2:$AD$2,1/SQRT(Omega_m*(1+$J$1:$AD$1*B171)^3+Omega_L)))*(1+B171)*100000)</f>
        <v>34.064036983472256</v>
      </c>
      <c r="G171" s="89">
        <f t="shared" si="2"/>
        <v>-0.18796301652774616</v>
      </c>
    </row>
    <row r="172" spans="1:7" x14ac:dyDescent="0.6">
      <c r="A172" s="76" t="s">
        <v>924</v>
      </c>
      <c r="B172" s="87">
        <v>1.4460000000000001E-2</v>
      </c>
      <c r="C172" s="88">
        <v>33.907800000000002</v>
      </c>
      <c r="D172" s="88">
        <v>0.24052000000000001</v>
      </c>
      <c r="E172" s="76">
        <v>0</v>
      </c>
      <c r="F172" s="89" cm="1">
        <f t="array" ref="F172">5*LOG10(((c_light/1000/H_0_SAM)*(B172/60)*SUMPRODUCT($J$2:$AD$2,1/SQRT(Omega_m*(1+$J$1:$AD$1*B172)^3+Omega_L)))*(1+B172)*100000)</f>
        <v>34.070116850639266</v>
      </c>
      <c r="G172" s="89">
        <f t="shared" si="2"/>
        <v>0.16231685063926449</v>
      </c>
    </row>
    <row r="173" spans="1:7" x14ac:dyDescent="0.6">
      <c r="A173" s="76" t="s">
        <v>925</v>
      </c>
      <c r="B173" s="87">
        <v>1.4500000000000001E-2</v>
      </c>
      <c r="C173" s="88">
        <v>34.172699999999999</v>
      </c>
      <c r="D173" s="88">
        <v>0.36503000000000002</v>
      </c>
      <c r="E173" s="76">
        <v>0</v>
      </c>
      <c r="F173" s="89" cm="1">
        <f t="array" ref="F173">5*LOG10(((c_light/1000/H_0_SAM)*(B173/60)*SUMPRODUCT($J$2:$AD$2,1/SQRT(Omega_m*(1+$J$1:$AD$1*B173)^3+Omega_L)))*(1+B173)*100000)</f>
        <v>34.076180097439675</v>
      </c>
      <c r="G173" s="89">
        <f t="shared" si="2"/>
        <v>-9.6519902560324056E-2</v>
      </c>
    </row>
    <row r="174" spans="1:7" x14ac:dyDescent="0.6">
      <c r="A174" s="76" t="s">
        <v>926</v>
      </c>
      <c r="B174" s="87">
        <v>1.453E-2</v>
      </c>
      <c r="C174" s="88">
        <v>33.752600000000001</v>
      </c>
      <c r="D174" s="88">
        <v>0.21629999999999999</v>
      </c>
      <c r="E174" s="76">
        <v>0</v>
      </c>
      <c r="F174" s="89" cm="1">
        <f t="array" ref="F174">5*LOG10(((c_light/1000/H_0_SAM)*(B174/60)*SUMPRODUCT($J$2:$AD$2,1/SQRT(Omega_m*(1+$J$1:$AD$1*B174)^3+Omega_L)))*(1+B174)*100000)</f>
        <v>34.08071668052672</v>
      </c>
      <c r="G174" s="89">
        <f t="shared" si="2"/>
        <v>0.32811668052671905</v>
      </c>
    </row>
    <row r="175" spans="1:7" x14ac:dyDescent="0.6">
      <c r="A175" s="76" t="s">
        <v>927</v>
      </c>
      <c r="B175" s="87">
        <v>1.46E-2</v>
      </c>
      <c r="C175" s="88">
        <v>33.882599999999996</v>
      </c>
      <c r="D175" s="88">
        <v>0.24932000000000001</v>
      </c>
      <c r="E175" s="76">
        <v>0</v>
      </c>
      <c r="F175" s="89" cm="1">
        <f t="array" ref="F175">5*LOG10(((c_light/1000/H_0_SAM)*(B175/60)*SUMPRODUCT($J$2:$AD$2,1/SQRT(Omega_m*(1+$J$1:$AD$1*B175)^3+Omega_L)))*(1+B175)*100000)</f>
        <v>34.091266099288006</v>
      </c>
      <c r="G175" s="89">
        <f t="shared" si="2"/>
        <v>0.20866609928800983</v>
      </c>
    </row>
    <row r="176" spans="1:7" x14ac:dyDescent="0.6">
      <c r="A176" s="76" t="s">
        <v>928</v>
      </c>
      <c r="B176" s="87">
        <v>1.4619999999999999E-2</v>
      </c>
      <c r="C176" s="88">
        <v>33.9253</v>
      </c>
      <c r="D176" s="88">
        <v>0.24393000000000001</v>
      </c>
      <c r="E176" s="76">
        <v>0</v>
      </c>
      <c r="F176" s="89" cm="1">
        <f t="array" ref="F176">5*LOG10(((c_light/1000/H_0_SAM)*(B176/60)*SUMPRODUCT($J$2:$AD$2,1/SQRT(Omega_m*(1+$J$1:$AD$1*B176)^3+Omega_L)))*(1+B176)*100000)</f>
        <v>34.094271027390825</v>
      </c>
      <c r="G176" s="89">
        <f t="shared" si="2"/>
        <v>0.1689710273908247</v>
      </c>
    </row>
    <row r="177" spans="1:7" x14ac:dyDescent="0.6">
      <c r="A177" s="76" t="s">
        <v>929</v>
      </c>
      <c r="B177" s="87">
        <v>1.4630000000000001E-2</v>
      </c>
      <c r="C177" s="88">
        <v>33.755299999999998</v>
      </c>
      <c r="D177" s="88">
        <v>0.39051000000000002</v>
      </c>
      <c r="E177" s="76">
        <v>0</v>
      </c>
      <c r="F177" s="89" cm="1">
        <f t="array" ref="F177">5*LOG10(((c_light/1000/H_0_SAM)*(B177/60)*SUMPRODUCT($J$2:$AD$2,1/SQRT(Omega_m*(1+$J$1:$AD$1*B177)^3+Omega_L)))*(1+B177)*100000)</f>
        <v>34.095771966503051</v>
      </c>
      <c r="G177" s="89">
        <f t="shared" si="2"/>
        <v>0.34047196650305267</v>
      </c>
    </row>
    <row r="178" spans="1:7" x14ac:dyDescent="0.6">
      <c r="A178" s="76" t="s">
        <v>929</v>
      </c>
      <c r="B178" s="87">
        <v>1.4630000000000001E-2</v>
      </c>
      <c r="C178" s="88">
        <v>33.718899999999998</v>
      </c>
      <c r="D178" s="88">
        <v>0.39282</v>
      </c>
      <c r="E178" s="76">
        <v>0</v>
      </c>
      <c r="F178" s="89" cm="1">
        <f t="array" ref="F178">5*LOG10(((c_light/1000/H_0_SAM)*(B178/60)*SUMPRODUCT($J$2:$AD$2,1/SQRT(Omega_m*(1+$J$1:$AD$1*B178)^3+Omega_L)))*(1+B178)*100000)</f>
        <v>34.095771966503051</v>
      </c>
      <c r="G178" s="89">
        <f t="shared" si="2"/>
        <v>0.3768719665030531</v>
      </c>
    </row>
    <row r="179" spans="1:7" x14ac:dyDescent="0.6">
      <c r="A179" s="76" t="s">
        <v>930</v>
      </c>
      <c r="B179" s="87">
        <v>1.4670000000000001E-2</v>
      </c>
      <c r="C179" s="88">
        <v>33.891599999999997</v>
      </c>
      <c r="D179" s="88">
        <v>0.24068999999999999</v>
      </c>
      <c r="E179" s="76">
        <v>0</v>
      </c>
      <c r="F179" s="89" cm="1">
        <f t="array" ref="F179">5*LOG10(((c_light/1000/H_0_SAM)*(B179/60)*SUMPRODUCT($J$2:$AD$2,1/SQRT(Omega_m*(1+$J$1:$AD$1*B179)^3+Omega_L)))*(1+B179)*100000)</f>
        <v>34.101765589052391</v>
      </c>
      <c r="G179" s="89">
        <f t="shared" si="2"/>
        <v>0.21016558905239435</v>
      </c>
    </row>
    <row r="180" spans="1:7" x14ac:dyDescent="0.6">
      <c r="A180" s="76" t="s">
        <v>931</v>
      </c>
      <c r="B180" s="87">
        <v>1.472E-2</v>
      </c>
      <c r="C180" s="88">
        <v>33.789400000000001</v>
      </c>
      <c r="D180" s="88">
        <v>0.39734999999999998</v>
      </c>
      <c r="E180" s="76">
        <v>0</v>
      </c>
      <c r="F180" s="89" cm="1">
        <f t="array" ref="F180">5*LOG10(((c_light/1000/H_0_SAM)*(B180/60)*SUMPRODUCT($J$2:$AD$2,1/SQRT(Omega_m*(1+$J$1:$AD$1*B180)^3+Omega_L)))*(1+B180)*100000)</f>
        <v>34.10923491934804</v>
      </c>
      <c r="G180" s="89">
        <f t="shared" si="2"/>
        <v>0.31983491934803965</v>
      </c>
    </row>
    <row r="181" spans="1:7" x14ac:dyDescent="0.6">
      <c r="A181" s="76" t="s">
        <v>932</v>
      </c>
      <c r="B181" s="87">
        <v>1.4840000000000001E-2</v>
      </c>
      <c r="C181" s="88">
        <v>34.010899999999999</v>
      </c>
      <c r="D181" s="88">
        <v>0.27022000000000002</v>
      </c>
      <c r="E181" s="76">
        <v>0</v>
      </c>
      <c r="F181" s="89" cm="1">
        <f t="array" ref="F181">5*LOG10(((c_light/1000/H_0_SAM)*(B181/60)*SUMPRODUCT($J$2:$AD$2,1/SQRT(Omega_m*(1+$J$1:$AD$1*B181)^3+Omega_L)))*(1+B181)*100000)</f>
        <v>34.127059388187661</v>
      </c>
      <c r="G181" s="89">
        <f t="shared" si="2"/>
        <v>0.11615938818766125</v>
      </c>
    </row>
    <row r="182" spans="1:7" x14ac:dyDescent="0.6">
      <c r="A182" s="76" t="s">
        <v>933</v>
      </c>
      <c r="B182" s="87">
        <v>1.4919999999999999E-2</v>
      </c>
      <c r="C182" s="88">
        <v>34.190199999999997</v>
      </c>
      <c r="D182" s="88">
        <v>0.37267</v>
      </c>
      <c r="E182" s="76">
        <v>0</v>
      </c>
      <c r="F182" s="89" cm="1">
        <f t="array" ref="F182">5*LOG10(((c_light/1000/H_0_SAM)*(B182/60)*SUMPRODUCT($J$2:$AD$2,1/SQRT(Omega_m*(1+$J$1:$AD$1*B182)^3+Omega_L)))*(1+B182)*100000)</f>
        <v>34.138863322557469</v>
      </c>
      <c r="G182" s="89">
        <f t="shared" si="2"/>
        <v>-5.13366774425279E-2</v>
      </c>
    </row>
    <row r="183" spans="1:7" x14ac:dyDescent="0.6">
      <c r="A183" s="76" t="s">
        <v>934</v>
      </c>
      <c r="B183" s="87">
        <v>1.4930000000000001E-2</v>
      </c>
      <c r="C183" s="88">
        <v>33.852400000000003</v>
      </c>
      <c r="D183" s="88">
        <v>0.27755999999999997</v>
      </c>
      <c r="E183" s="76">
        <v>0</v>
      </c>
      <c r="F183" s="89" cm="1">
        <f t="array" ref="F183">5*LOG10(((c_light/1000/H_0_SAM)*(B183/60)*SUMPRODUCT($J$2:$AD$2,1/SQRT(Omega_m*(1+$J$1:$AD$1*B183)^3+Omega_L)))*(1+B183)*100000)</f>
        <v>34.140334409836093</v>
      </c>
      <c r="G183" s="89">
        <f t="shared" si="2"/>
        <v>0.28793440983609031</v>
      </c>
    </row>
    <row r="184" spans="1:7" x14ac:dyDescent="0.6">
      <c r="A184" s="76" t="s">
        <v>935</v>
      </c>
      <c r="B184" s="87">
        <v>1.499E-2</v>
      </c>
      <c r="C184" s="88">
        <v>33.973999999999997</v>
      </c>
      <c r="D184" s="88">
        <v>0.22955999999999999</v>
      </c>
      <c r="E184" s="76">
        <v>0</v>
      </c>
      <c r="F184" s="89" cm="1">
        <f t="array" ref="F184">5*LOG10(((c_light/1000/H_0_SAM)*(B184/60)*SUMPRODUCT($J$2:$AD$2,1/SQRT(Omega_m*(1+$J$1:$AD$1*B184)^3+Omega_L)))*(1+B184)*100000)</f>
        <v>34.14914051639385</v>
      </c>
      <c r="G184" s="89">
        <f t="shared" si="2"/>
        <v>0.17514051639385286</v>
      </c>
    </row>
    <row r="185" spans="1:7" x14ac:dyDescent="0.6">
      <c r="A185" s="76" t="s">
        <v>935</v>
      </c>
      <c r="B185" s="87">
        <v>1.499E-2</v>
      </c>
      <c r="C185" s="88">
        <v>33.926099999999998</v>
      </c>
      <c r="D185" s="88">
        <v>0.23171</v>
      </c>
      <c r="E185" s="76">
        <v>0</v>
      </c>
      <c r="F185" s="89" cm="1">
        <f t="array" ref="F185">5*LOG10(((c_light/1000/H_0_SAM)*(B185/60)*SUMPRODUCT($J$2:$AD$2,1/SQRT(Omega_m*(1+$J$1:$AD$1*B185)^3+Omega_L)))*(1+B185)*100000)</f>
        <v>34.14914051639385</v>
      </c>
      <c r="G185" s="89">
        <f t="shared" si="2"/>
        <v>0.22304051639385136</v>
      </c>
    </row>
    <row r="186" spans="1:7" x14ac:dyDescent="0.6">
      <c r="A186" s="76" t="s">
        <v>936</v>
      </c>
      <c r="B186" s="87">
        <v>1.515E-2</v>
      </c>
      <c r="C186" s="88">
        <v>33.887700000000002</v>
      </c>
      <c r="D186" s="88">
        <v>0.29498000000000002</v>
      </c>
      <c r="E186" s="76">
        <v>0</v>
      </c>
      <c r="F186" s="89" cm="1">
        <f t="array" ref="F186">5*LOG10(((c_light/1000/H_0_SAM)*(B186/60)*SUMPRODUCT($J$2:$AD$2,1/SQRT(Omega_m*(1+$J$1:$AD$1*B186)^3+Omega_L)))*(1+B186)*100000)</f>
        <v>34.172454089627877</v>
      </c>
      <c r="G186" s="89">
        <f t="shared" si="2"/>
        <v>0.28475408962787441</v>
      </c>
    </row>
    <row r="187" spans="1:7" x14ac:dyDescent="0.6">
      <c r="A187" s="76" t="s">
        <v>937</v>
      </c>
      <c r="B187" s="87">
        <v>1.519E-2</v>
      </c>
      <c r="C187" s="88">
        <v>34.179299999999998</v>
      </c>
      <c r="D187" s="88">
        <v>0.26677000000000001</v>
      </c>
      <c r="E187" s="76">
        <v>0</v>
      </c>
      <c r="F187" s="89" cm="1">
        <f t="array" ref="F187">5*LOG10(((c_light/1000/H_0_SAM)*(B187/60)*SUMPRODUCT($J$2:$AD$2,1/SQRT(Omega_m*(1+$J$1:$AD$1*B187)^3+Omega_L)))*(1+B187)*100000)</f>
        <v>34.178244428400035</v>
      </c>
      <c r="G187" s="89">
        <f t="shared" si="2"/>
        <v>-1.0555715999629456E-3</v>
      </c>
    </row>
    <row r="188" spans="1:7" x14ac:dyDescent="0.6">
      <c r="A188" s="76" t="s">
        <v>938</v>
      </c>
      <c r="B188" s="87">
        <v>1.525E-2</v>
      </c>
      <c r="C188" s="88">
        <v>33.770600000000002</v>
      </c>
      <c r="D188" s="88">
        <v>0.30219000000000001</v>
      </c>
      <c r="E188" s="76">
        <v>0</v>
      </c>
      <c r="F188" s="89" cm="1">
        <f t="array" ref="F188">5*LOG10(((c_light/1000/H_0_SAM)*(B188/60)*SUMPRODUCT($J$2:$AD$2,1/SQRT(Omega_m*(1+$J$1:$AD$1*B188)^3+Omega_L)))*(1+B188)*100000)</f>
        <v>34.186901720722808</v>
      </c>
      <c r="G188" s="89">
        <f t="shared" si="2"/>
        <v>0.41630172072280658</v>
      </c>
    </row>
    <row r="189" spans="1:7" x14ac:dyDescent="0.6">
      <c r="A189" s="76" t="s">
        <v>939</v>
      </c>
      <c r="B189" s="87">
        <v>1.529E-2</v>
      </c>
      <c r="C189" s="88">
        <v>34.0334</v>
      </c>
      <c r="D189" s="88">
        <v>0.34431</v>
      </c>
      <c r="E189" s="76">
        <v>0</v>
      </c>
      <c r="F189" s="89" cm="1">
        <f t="array" ref="F189">5*LOG10(((c_light/1000/H_0_SAM)*(B189/60)*SUMPRODUCT($J$2:$AD$2,1/SQRT(Omega_m*(1+$J$1:$AD$1*B189)^3+Omega_L)))*(1+B189)*100000)</f>
        <v>34.192654553351232</v>
      </c>
      <c r="G189" s="89">
        <f t="shared" si="2"/>
        <v>0.15925455335123218</v>
      </c>
    </row>
    <row r="190" spans="1:7" x14ac:dyDescent="0.6">
      <c r="A190" s="76" t="s">
        <v>940</v>
      </c>
      <c r="B190" s="87">
        <v>1.542E-2</v>
      </c>
      <c r="C190" s="88">
        <v>34.342599999999997</v>
      </c>
      <c r="D190" s="88">
        <v>0.37289</v>
      </c>
      <c r="E190" s="76">
        <v>0</v>
      </c>
      <c r="F190" s="89" cm="1">
        <f t="array" ref="F190">5*LOG10(((c_light/1000/H_0_SAM)*(B190/60)*SUMPRODUCT($J$2:$AD$2,1/SQRT(Omega_m*(1+$J$1:$AD$1*B190)^3+Omega_L)))*(1+B190)*100000)</f>
        <v>34.211248996096735</v>
      </c>
      <c r="G190" s="89">
        <f t="shared" si="2"/>
        <v>-0.13135100390326215</v>
      </c>
    </row>
    <row r="191" spans="1:7" x14ac:dyDescent="0.6">
      <c r="A191" s="76" t="s">
        <v>941</v>
      </c>
      <c r="B191" s="87">
        <v>1.5429999999999999E-2</v>
      </c>
      <c r="C191" s="88">
        <v>34.074399999999997</v>
      </c>
      <c r="D191" s="88">
        <v>0.31485999999999997</v>
      </c>
      <c r="E191" s="76">
        <v>0</v>
      </c>
      <c r="F191" s="89" cm="1">
        <f t="array" ref="F191">5*LOG10(((c_light/1000/H_0_SAM)*(B191/60)*SUMPRODUCT($J$2:$AD$2,1/SQRT(Omega_m*(1+$J$1:$AD$1*B191)^3+Omega_L)))*(1+B191)*100000)</f>
        <v>34.2126729100872</v>
      </c>
      <c r="G191" s="89">
        <f t="shared" si="2"/>
        <v>0.13827291008720266</v>
      </c>
    </row>
    <row r="192" spans="1:7" x14ac:dyDescent="0.6">
      <c r="A192" s="76" t="s">
        <v>942</v>
      </c>
      <c r="B192" s="87">
        <v>1.546E-2</v>
      </c>
      <c r="C192" s="88">
        <v>34.033099999999997</v>
      </c>
      <c r="D192" s="88">
        <v>0.22645999999999999</v>
      </c>
      <c r="E192" s="76">
        <v>0</v>
      </c>
      <c r="F192" s="89" cm="1">
        <f t="array" ref="F192">5*LOG10(((c_light/1000/H_0_SAM)*(B192/60)*SUMPRODUCT($J$2:$AD$2,1/SQRT(Omega_m*(1+$J$1:$AD$1*B192)^3+Omega_L)))*(1+B192)*100000)</f>
        <v>34.216939182981505</v>
      </c>
      <c r="G192" s="89">
        <f t="shared" si="2"/>
        <v>0.18383918298150803</v>
      </c>
    </row>
    <row r="193" spans="1:7" x14ac:dyDescent="0.6">
      <c r="A193" s="76" t="s">
        <v>943</v>
      </c>
      <c r="B193" s="87">
        <v>1.549E-2</v>
      </c>
      <c r="C193" s="88">
        <v>34.273200000000003</v>
      </c>
      <c r="D193" s="88">
        <v>0.34036</v>
      </c>
      <c r="E193" s="76">
        <v>0</v>
      </c>
      <c r="F193" s="89" cm="1">
        <f t="array" ref="F193">5*LOG10(((c_light/1000/H_0_SAM)*(B193/60)*SUMPRODUCT($J$2:$AD$2,1/SQRT(Omega_m*(1+$J$1:$AD$1*B193)^3+Omega_L)))*(1+B193)*100000)</f>
        <v>34.221197276990026</v>
      </c>
      <c r="G193" s="89">
        <f t="shared" si="2"/>
        <v>-5.2002723009977103E-2</v>
      </c>
    </row>
    <row r="194" spans="1:7" x14ac:dyDescent="0.6">
      <c r="A194" s="76" t="s">
        <v>944</v>
      </c>
      <c r="B194" s="87">
        <v>1.55E-2</v>
      </c>
      <c r="C194" s="88">
        <v>34.258099999999999</v>
      </c>
      <c r="D194" s="88">
        <v>0.27252999999999999</v>
      </c>
      <c r="E194" s="76">
        <v>0</v>
      </c>
      <c r="F194" s="89" cm="1">
        <f t="array" ref="F194">5*LOG10(((c_light/1000/H_0_SAM)*(B194/60)*SUMPRODUCT($J$2:$AD$2,1/SQRT(Omega_m*(1+$J$1:$AD$1*B194)^3+Omega_L)))*(1+B194)*100000)</f>
        <v>34.222614829603593</v>
      </c>
      <c r="G194" s="89">
        <f t="shared" si="2"/>
        <v>-3.5485170396405863E-2</v>
      </c>
    </row>
    <row r="195" spans="1:7" x14ac:dyDescent="0.6">
      <c r="A195" s="76" t="s">
        <v>944</v>
      </c>
      <c r="B195" s="87">
        <v>1.55E-2</v>
      </c>
      <c r="C195" s="88">
        <v>34.211199999999998</v>
      </c>
      <c r="D195" s="88">
        <v>0.25807000000000002</v>
      </c>
      <c r="E195" s="76">
        <v>0</v>
      </c>
      <c r="F195" s="89" cm="1">
        <f t="array" ref="F195">5*LOG10(((c_light/1000/H_0_SAM)*(B195/60)*SUMPRODUCT($J$2:$AD$2,1/SQRT(Omega_m*(1+$J$1:$AD$1*B195)^3+Omega_L)))*(1+B195)*100000)</f>
        <v>34.222614829603593</v>
      </c>
      <c r="G195" s="89">
        <f t="shared" si="2"/>
        <v>1.1414829603594967E-2</v>
      </c>
    </row>
    <row r="196" spans="1:7" x14ac:dyDescent="0.6">
      <c r="A196" s="76" t="s">
        <v>945</v>
      </c>
      <c r="B196" s="87">
        <v>1.55E-2</v>
      </c>
      <c r="C196" s="88">
        <v>33.999400000000001</v>
      </c>
      <c r="D196" s="88">
        <v>0.28632000000000002</v>
      </c>
      <c r="E196" s="76">
        <v>0</v>
      </c>
      <c r="F196" s="89" cm="1">
        <f t="array" ref="F196">5*LOG10(((c_light/1000/H_0_SAM)*(B196/60)*SUMPRODUCT($J$2:$AD$2,1/SQRT(Omega_m*(1+$J$1:$AD$1*B196)^3+Omega_L)))*(1+B196)*100000)</f>
        <v>34.222614829603593</v>
      </c>
      <c r="G196" s="89">
        <f t="shared" si="2"/>
        <v>0.22321482960359162</v>
      </c>
    </row>
    <row r="197" spans="1:7" x14ac:dyDescent="0.6">
      <c r="A197" s="76" t="s">
        <v>945</v>
      </c>
      <c r="B197" s="87">
        <v>1.55E-2</v>
      </c>
      <c r="C197" s="88">
        <v>33.885199999999998</v>
      </c>
      <c r="D197" s="88">
        <v>0.31392999999999999</v>
      </c>
      <c r="E197" s="76">
        <v>0</v>
      </c>
      <c r="F197" s="89" cm="1">
        <f t="array" ref="F197">5*LOG10(((c_light/1000/H_0_SAM)*(B197/60)*SUMPRODUCT($J$2:$AD$2,1/SQRT(Omega_m*(1+$J$1:$AD$1*B197)^3+Omega_L)))*(1+B197)*100000)</f>
        <v>34.222614829603593</v>
      </c>
      <c r="G197" s="89">
        <f t="shared" si="2"/>
        <v>0.33741482960359548</v>
      </c>
    </row>
    <row r="198" spans="1:7" x14ac:dyDescent="0.6">
      <c r="A198" s="76" t="s">
        <v>946</v>
      </c>
      <c r="B198" s="87">
        <v>1.5570000000000001E-2</v>
      </c>
      <c r="C198" s="88">
        <v>33.790199999999999</v>
      </c>
      <c r="D198" s="88">
        <v>0.29058</v>
      </c>
      <c r="E198" s="76">
        <v>0</v>
      </c>
      <c r="F198" s="89" cm="1">
        <f t="array" ref="F198">5*LOG10(((c_light/1000/H_0_SAM)*(B198/60)*SUMPRODUCT($J$2:$AD$2,1/SQRT(Omega_m*(1+$J$1:$AD$1*B198)^3+Omega_L)))*(1+B198)*100000)</f>
        <v>34.232512448735442</v>
      </c>
      <c r="G198" s="89">
        <f t="shared" ref="G198:G261" si="3">F198-C198</f>
        <v>0.44231244873544284</v>
      </c>
    </row>
    <row r="199" spans="1:7" x14ac:dyDescent="0.6">
      <c r="A199" s="76" t="s">
        <v>946</v>
      </c>
      <c r="B199" s="87">
        <v>1.5570000000000001E-2</v>
      </c>
      <c r="C199" s="88">
        <v>33.807200000000002</v>
      </c>
      <c r="D199" s="88">
        <v>0.29039999999999999</v>
      </c>
      <c r="E199" s="76">
        <v>0</v>
      </c>
      <c r="F199" s="89" cm="1">
        <f t="array" ref="F199">5*LOG10(((c_light/1000/H_0_SAM)*(B199/60)*SUMPRODUCT($J$2:$AD$2,1/SQRT(Omega_m*(1+$J$1:$AD$1*B199)^3+Omega_L)))*(1+B199)*100000)</f>
        <v>34.232512448735442</v>
      </c>
      <c r="G199" s="89">
        <f t="shared" si="3"/>
        <v>0.42531244873543983</v>
      </c>
    </row>
    <row r="200" spans="1:7" x14ac:dyDescent="0.6">
      <c r="A200" s="76" t="s">
        <v>947</v>
      </c>
      <c r="B200" s="87">
        <v>1.562E-2</v>
      </c>
      <c r="C200" s="88">
        <v>34.173200000000001</v>
      </c>
      <c r="D200" s="88">
        <v>0.26435999999999998</v>
      </c>
      <c r="E200" s="76">
        <v>0</v>
      </c>
      <c r="F200" s="89" cm="1">
        <f t="array" ref="F200">5*LOG10(((c_light/1000/H_0_SAM)*(B200/60)*SUMPRODUCT($J$2:$AD$2,1/SQRT(Omega_m*(1+$J$1:$AD$1*B200)^3+Omega_L)))*(1+B200)*100000)</f>
        <v>34.239555274313489</v>
      </c>
      <c r="G200" s="89">
        <f t="shared" si="3"/>
        <v>6.63552743134872E-2</v>
      </c>
    </row>
    <row r="201" spans="1:7" x14ac:dyDescent="0.6">
      <c r="A201" s="76" t="s">
        <v>947</v>
      </c>
      <c r="B201" s="87">
        <v>1.562E-2</v>
      </c>
      <c r="C201" s="88">
        <v>34.130200000000002</v>
      </c>
      <c r="D201" s="88">
        <v>0.33431</v>
      </c>
      <c r="E201" s="76">
        <v>0</v>
      </c>
      <c r="F201" s="89" cm="1">
        <f t="array" ref="F201">5*LOG10(((c_light/1000/H_0_SAM)*(B201/60)*SUMPRODUCT($J$2:$AD$2,1/SQRT(Omega_m*(1+$J$1:$AD$1*B201)^3+Omega_L)))*(1+B201)*100000)</f>
        <v>34.239555274313489</v>
      </c>
      <c r="G201" s="89">
        <f t="shared" si="3"/>
        <v>0.10935527431348646</v>
      </c>
    </row>
    <row r="202" spans="1:7" x14ac:dyDescent="0.6">
      <c r="A202" s="76" t="s">
        <v>948</v>
      </c>
      <c r="B202" s="87">
        <v>1.5650000000000001E-2</v>
      </c>
      <c r="C202" s="88">
        <v>34.331699999999998</v>
      </c>
      <c r="D202" s="88">
        <v>0.27871000000000001</v>
      </c>
      <c r="E202" s="76">
        <v>0</v>
      </c>
      <c r="F202" s="89" cm="1">
        <f t="array" ref="F202">5*LOG10(((c_light/1000/H_0_SAM)*(B202/60)*SUMPRODUCT($J$2:$AD$2,1/SQRT(Omega_m*(1+$J$1:$AD$1*B202)^3+Omega_L)))*(1+B202)*100000)</f>
        <v>34.243770277548322</v>
      </c>
      <c r="G202" s="89">
        <f t="shared" si="3"/>
        <v>-8.7929722451676184E-2</v>
      </c>
    </row>
    <row r="203" spans="1:7" x14ac:dyDescent="0.6">
      <c r="A203" s="76" t="s">
        <v>949</v>
      </c>
      <c r="B203" s="87">
        <v>1.576E-2</v>
      </c>
      <c r="C203" s="88">
        <v>34.165700000000001</v>
      </c>
      <c r="D203" s="88">
        <v>0.28688000000000002</v>
      </c>
      <c r="E203" s="76">
        <v>0</v>
      </c>
      <c r="F203" s="89" cm="1">
        <f t="array" ref="F203">5*LOG10(((c_light/1000/H_0_SAM)*(B203/60)*SUMPRODUCT($J$2:$AD$2,1/SQRT(Omega_m*(1+$J$1:$AD$1*B203)^3+Omega_L)))*(1+B203)*100000)</f>
        <v>34.259157234246935</v>
      </c>
      <c r="G203" s="89">
        <f t="shared" si="3"/>
        <v>9.3457234246933751E-2</v>
      </c>
    </row>
    <row r="204" spans="1:7" x14ac:dyDescent="0.6">
      <c r="A204" s="76" t="s">
        <v>950</v>
      </c>
      <c r="B204" s="87">
        <v>1.5779999999999999E-2</v>
      </c>
      <c r="C204" s="88">
        <v>33.998600000000003</v>
      </c>
      <c r="D204" s="88">
        <v>0.21994</v>
      </c>
      <c r="E204" s="76">
        <v>0</v>
      </c>
      <c r="F204" s="89" cm="1">
        <f t="array" ref="F204">5*LOG10(((c_light/1000/H_0_SAM)*(B204/60)*SUMPRODUCT($J$2:$AD$2,1/SQRT(Omega_m*(1+$J$1:$AD$1*B204)^3+Omega_L)))*(1+B204)*100000)</f>
        <v>34.261943450678501</v>
      </c>
      <c r="G204" s="89">
        <f t="shared" si="3"/>
        <v>0.26334345067849796</v>
      </c>
    </row>
    <row r="205" spans="1:7" x14ac:dyDescent="0.6">
      <c r="A205" s="76" t="s">
        <v>951</v>
      </c>
      <c r="B205" s="87">
        <v>1.5779999999999999E-2</v>
      </c>
      <c r="C205" s="88">
        <v>34.069699999999997</v>
      </c>
      <c r="D205" s="88">
        <v>0.29038000000000003</v>
      </c>
      <c r="E205" s="76">
        <v>0</v>
      </c>
      <c r="F205" s="89" cm="1">
        <f t="array" ref="F205">5*LOG10(((c_light/1000/H_0_SAM)*(B205/60)*SUMPRODUCT($J$2:$AD$2,1/SQRT(Omega_m*(1+$J$1:$AD$1*B205)^3+Omega_L)))*(1+B205)*100000)</f>
        <v>34.261943450678501</v>
      </c>
      <c r="G205" s="89">
        <f t="shared" si="3"/>
        <v>0.19224345067850379</v>
      </c>
    </row>
    <row r="206" spans="1:7" x14ac:dyDescent="0.6">
      <c r="A206" s="76" t="s">
        <v>952</v>
      </c>
      <c r="B206" s="87">
        <v>1.5810000000000001E-2</v>
      </c>
      <c r="C206" s="88">
        <v>33.992600000000003</v>
      </c>
      <c r="D206" s="88">
        <v>0.23929</v>
      </c>
      <c r="E206" s="76">
        <v>0</v>
      </c>
      <c r="F206" s="89" cm="1">
        <f t="array" ref="F206">5*LOG10(((c_light/1000/H_0_SAM)*(B206/60)*SUMPRODUCT($J$2:$AD$2,1/SQRT(Omega_m*(1+$J$1:$AD$1*B206)^3+Omega_L)))*(1+B206)*100000)</f>
        <v>34.266116235909983</v>
      </c>
      <c r="G206" s="89">
        <f t="shared" si="3"/>
        <v>0.27351623590998031</v>
      </c>
    </row>
    <row r="207" spans="1:7" x14ac:dyDescent="0.6">
      <c r="A207" s="76" t="s">
        <v>952</v>
      </c>
      <c r="B207" s="87">
        <v>1.5810000000000001E-2</v>
      </c>
      <c r="C207" s="88">
        <v>33.900399999999998</v>
      </c>
      <c r="D207" s="88">
        <v>0.21898999999999999</v>
      </c>
      <c r="E207" s="76">
        <v>0</v>
      </c>
      <c r="F207" s="89" cm="1">
        <f t="array" ref="F207">5*LOG10(((c_light/1000/H_0_SAM)*(B207/60)*SUMPRODUCT($J$2:$AD$2,1/SQRT(Omega_m*(1+$J$1:$AD$1*B207)^3+Omega_L)))*(1+B207)*100000)</f>
        <v>34.266116235909983</v>
      </c>
      <c r="G207" s="89">
        <f t="shared" si="3"/>
        <v>0.3657162359099857</v>
      </c>
    </row>
    <row r="208" spans="1:7" x14ac:dyDescent="0.6">
      <c r="A208" s="76" t="s">
        <v>953</v>
      </c>
      <c r="B208" s="87">
        <v>1.5869999999999999E-2</v>
      </c>
      <c r="C208" s="88">
        <v>34.391599999999997</v>
      </c>
      <c r="D208" s="88">
        <v>0.27034000000000002</v>
      </c>
      <c r="E208" s="76">
        <v>0</v>
      </c>
      <c r="F208" s="89" cm="1">
        <f t="array" ref="F208">5*LOG10(((c_light/1000/H_0_SAM)*(B208/60)*SUMPRODUCT($J$2:$AD$2,1/SQRT(Omega_m*(1+$J$1:$AD$1*B208)^3+Omega_L)))*(1+B208)*100000)</f>
        <v>34.274438373379226</v>
      </c>
      <c r="G208" s="89">
        <f t="shared" si="3"/>
        <v>-0.11716162662077068</v>
      </c>
    </row>
    <row r="209" spans="1:7" x14ac:dyDescent="0.6">
      <c r="A209" s="76" t="s">
        <v>954</v>
      </c>
      <c r="B209" s="87">
        <v>1.5879999999999998E-2</v>
      </c>
      <c r="C209" s="88">
        <v>34.028700000000001</v>
      </c>
      <c r="D209" s="88">
        <v>0.22481999999999999</v>
      </c>
      <c r="E209" s="76">
        <v>0</v>
      </c>
      <c r="F209" s="89" cm="1">
        <f t="array" ref="F209">5*LOG10(((c_light/1000/H_0_SAM)*(B209/60)*SUMPRODUCT($J$2:$AD$2,1/SQRT(Omega_m*(1+$J$1:$AD$1*B209)^3+Omega_L)))*(1+B209)*100000)</f>
        <v>34.275822371441407</v>
      </c>
      <c r="G209" s="89">
        <f t="shared" si="3"/>
        <v>0.24712237144140659</v>
      </c>
    </row>
    <row r="210" spans="1:7" x14ac:dyDescent="0.6">
      <c r="A210" s="76" t="s">
        <v>955</v>
      </c>
      <c r="B210" s="87">
        <v>1.5900000000000001E-2</v>
      </c>
      <c r="C210" s="88">
        <v>34.1663</v>
      </c>
      <c r="D210" s="88">
        <v>0.24288999999999999</v>
      </c>
      <c r="E210" s="76">
        <v>0</v>
      </c>
      <c r="F210" s="89" cm="1">
        <f t="array" ref="F210">5*LOG10(((c_light/1000/H_0_SAM)*(B210/60)*SUMPRODUCT($J$2:$AD$2,1/SQRT(Omega_m*(1+$J$1:$AD$1*B210)^3+Omega_L)))*(1+B210)*100000)</f>
        <v>34.278587784626112</v>
      </c>
      <c r="G210" s="89">
        <f t="shared" si="3"/>
        <v>0.11228778462611189</v>
      </c>
    </row>
    <row r="211" spans="1:7" x14ac:dyDescent="0.6">
      <c r="A211" s="76" t="s">
        <v>955</v>
      </c>
      <c r="B211" s="87">
        <v>1.5900000000000001E-2</v>
      </c>
      <c r="C211" s="88">
        <v>34.132300000000001</v>
      </c>
      <c r="D211" s="88">
        <v>0.20946999999999999</v>
      </c>
      <c r="E211" s="76">
        <v>0</v>
      </c>
      <c r="F211" s="89" cm="1">
        <f t="array" ref="F211">5*LOG10(((c_light/1000/H_0_SAM)*(B211/60)*SUMPRODUCT($J$2:$AD$2,1/SQRT(Omega_m*(1+$J$1:$AD$1*B211)^3+Omega_L)))*(1+B211)*100000)</f>
        <v>34.278587784626112</v>
      </c>
      <c r="G211" s="89">
        <f t="shared" si="3"/>
        <v>0.14628778462611081</v>
      </c>
    </row>
    <row r="212" spans="1:7" x14ac:dyDescent="0.6">
      <c r="A212" s="76" t="s">
        <v>956</v>
      </c>
      <c r="B212" s="87">
        <v>1.5900000000000001E-2</v>
      </c>
      <c r="C212" s="88">
        <v>34.032899999999998</v>
      </c>
      <c r="D212" s="88">
        <v>0.27250999999999997</v>
      </c>
      <c r="E212" s="76">
        <v>0</v>
      </c>
      <c r="F212" s="89" cm="1">
        <f t="array" ref="F212">5*LOG10(((c_light/1000/H_0_SAM)*(B212/60)*SUMPRODUCT($J$2:$AD$2,1/SQRT(Omega_m*(1+$J$1:$AD$1*B212)^3+Omega_L)))*(1+B212)*100000)</f>
        <v>34.278587784626112</v>
      </c>
      <c r="G212" s="89">
        <f t="shared" si="3"/>
        <v>0.24568778462611363</v>
      </c>
    </row>
    <row r="213" spans="1:7" x14ac:dyDescent="0.6">
      <c r="A213" s="76" t="s">
        <v>957</v>
      </c>
      <c r="B213" s="87">
        <v>1.6029999999999999E-2</v>
      </c>
      <c r="C213" s="88">
        <v>34.106200000000001</v>
      </c>
      <c r="D213" s="88">
        <v>0.28158</v>
      </c>
      <c r="E213" s="76">
        <v>0</v>
      </c>
      <c r="F213" s="89" cm="1">
        <f t="array" ref="F213">5*LOG10(((c_light/1000/H_0_SAM)*(B213/60)*SUMPRODUCT($J$2:$AD$2,1/SQRT(Omega_m*(1+$J$1:$AD$1*B213)^3+Omega_L)))*(1+B213)*100000)</f>
        <v>34.296479584505661</v>
      </c>
      <c r="G213" s="89">
        <f t="shared" si="3"/>
        <v>0.19027958450566018</v>
      </c>
    </row>
    <row r="214" spans="1:7" x14ac:dyDescent="0.6">
      <c r="A214" s="76" t="s">
        <v>958</v>
      </c>
      <c r="B214" s="87">
        <v>1.652E-2</v>
      </c>
      <c r="C214" s="88">
        <v>34.413699999999999</v>
      </c>
      <c r="D214" s="88">
        <v>0.34637000000000001</v>
      </c>
      <c r="E214" s="76">
        <v>0</v>
      </c>
      <c r="F214" s="89" cm="1">
        <f t="array" ref="F214">5*LOG10(((c_light/1000/H_0_SAM)*(B214/60)*SUMPRODUCT($J$2:$AD$2,1/SQRT(Omega_m*(1+$J$1:$AD$1*B214)^3+Omega_L)))*(1+B214)*100000)</f>
        <v>34.362652642369397</v>
      </c>
      <c r="G214" s="89">
        <f t="shared" si="3"/>
        <v>-5.1047357630601198E-2</v>
      </c>
    </row>
    <row r="215" spans="1:7" x14ac:dyDescent="0.6">
      <c r="A215" s="76" t="s">
        <v>959</v>
      </c>
      <c r="B215" s="87">
        <v>1.652E-2</v>
      </c>
      <c r="C215" s="88">
        <v>33.999899999999997</v>
      </c>
      <c r="D215" s="88">
        <v>0.33473000000000003</v>
      </c>
      <c r="E215" s="76">
        <v>0</v>
      </c>
      <c r="F215" s="89" cm="1">
        <f t="array" ref="F215">5*LOG10(((c_light/1000/H_0_SAM)*(B215/60)*SUMPRODUCT($J$2:$AD$2,1/SQRT(Omega_m*(1+$J$1:$AD$1*B215)^3+Omega_L)))*(1+B215)*100000)</f>
        <v>34.362652642369397</v>
      </c>
      <c r="G215" s="89">
        <f t="shared" si="3"/>
        <v>0.36275264236940075</v>
      </c>
    </row>
    <row r="216" spans="1:7" x14ac:dyDescent="0.6">
      <c r="A216" s="76" t="s">
        <v>960</v>
      </c>
      <c r="B216" s="87">
        <v>1.6559999999999998E-2</v>
      </c>
      <c r="C216" s="88">
        <v>34.160800000000002</v>
      </c>
      <c r="D216" s="88">
        <v>0.21812000000000001</v>
      </c>
      <c r="E216" s="76">
        <v>0</v>
      </c>
      <c r="F216" s="89" cm="1">
        <f t="array" ref="F216">5*LOG10(((c_light/1000/H_0_SAM)*(B216/60)*SUMPRODUCT($J$2:$AD$2,1/SQRT(Omega_m*(1+$J$1:$AD$1*B216)^3+Omega_L)))*(1+B216)*100000)</f>
        <v>34.367968591042519</v>
      </c>
      <c r="G216" s="89">
        <f t="shared" si="3"/>
        <v>0.20716859104251739</v>
      </c>
    </row>
    <row r="217" spans="1:7" x14ac:dyDescent="0.6">
      <c r="A217" s="76" t="s">
        <v>961</v>
      </c>
      <c r="B217" s="87">
        <v>1.6570000000000001E-2</v>
      </c>
      <c r="C217" s="88">
        <v>33.9726</v>
      </c>
      <c r="D217" s="88">
        <v>0.41527999999999998</v>
      </c>
      <c r="E217" s="76">
        <v>0</v>
      </c>
      <c r="F217" s="89" cm="1">
        <f t="array" ref="F217">5*LOG10(((c_light/1000/H_0_SAM)*(B217/60)*SUMPRODUCT($J$2:$AD$2,1/SQRT(Omega_m*(1+$J$1:$AD$1*B217)^3+Omega_L)))*(1+B217)*100000)</f>
        <v>34.369295595629829</v>
      </c>
      <c r="G217" s="89">
        <f t="shared" si="3"/>
        <v>0.39669559562982926</v>
      </c>
    </row>
    <row r="218" spans="1:7" x14ac:dyDescent="0.6">
      <c r="A218" s="76" t="s">
        <v>962</v>
      </c>
      <c r="B218" s="87">
        <v>1.6619999999999999E-2</v>
      </c>
      <c r="C218" s="88">
        <v>34.279299999999999</v>
      </c>
      <c r="D218" s="88">
        <v>0.26191999999999999</v>
      </c>
      <c r="E218" s="76">
        <v>0</v>
      </c>
      <c r="F218" s="89" cm="1">
        <f t="array" ref="F218">5*LOG10(((c_light/1000/H_0_SAM)*(B218/60)*SUMPRODUCT($J$2:$AD$2,1/SQRT(Omega_m*(1+$J$1:$AD$1*B218)^3+Omega_L)))*(1+B218)*100000)</f>
        <v>34.375918770832143</v>
      </c>
      <c r="G218" s="89">
        <f t="shared" si="3"/>
        <v>9.6618770832144207E-2</v>
      </c>
    </row>
    <row r="219" spans="1:7" x14ac:dyDescent="0.6">
      <c r="A219" s="76" t="s">
        <v>963</v>
      </c>
      <c r="B219" s="87">
        <v>1.6660000000000001E-2</v>
      </c>
      <c r="C219" s="88">
        <v>34.340800000000002</v>
      </c>
      <c r="D219" s="88">
        <v>0.19802</v>
      </c>
      <c r="E219" s="76">
        <v>0</v>
      </c>
      <c r="F219" s="89" cm="1">
        <f t="array" ref="F219">5*LOG10(((c_light/1000/H_0_SAM)*(B219/60)*SUMPRODUCT($J$2:$AD$2,1/SQRT(Omega_m*(1+$J$1:$AD$1*B219)^3+Omega_L)))*(1+B219)*100000)</f>
        <v>34.381203150653299</v>
      </c>
      <c r="G219" s="89">
        <f t="shared" si="3"/>
        <v>4.0403150653297359E-2</v>
      </c>
    </row>
    <row r="220" spans="1:7" x14ac:dyDescent="0.6">
      <c r="A220" s="76" t="s">
        <v>964</v>
      </c>
      <c r="B220" s="87">
        <v>1.6709999999999999E-2</v>
      </c>
      <c r="C220" s="88">
        <v>33.898499999999999</v>
      </c>
      <c r="D220" s="88">
        <v>0.24537999999999999</v>
      </c>
      <c r="E220" s="76">
        <v>0</v>
      </c>
      <c r="F220" s="89" cm="1">
        <f t="array" ref="F220">5*LOG10(((c_light/1000/H_0_SAM)*(B220/60)*SUMPRODUCT($J$2:$AD$2,1/SQRT(Omega_m*(1+$J$1:$AD$1*B220)^3+Omega_L)))*(1+B220)*100000)</f>
        <v>34.387791023977805</v>
      </c>
      <c r="G220" s="89">
        <f t="shared" si="3"/>
        <v>0.48929102397780611</v>
      </c>
    </row>
    <row r="221" spans="1:7" x14ac:dyDescent="0.6">
      <c r="A221" s="76" t="s">
        <v>965</v>
      </c>
      <c r="B221" s="87">
        <v>1.678E-2</v>
      </c>
      <c r="C221" s="88">
        <v>34.167900000000003</v>
      </c>
      <c r="D221" s="88">
        <v>0.24646999999999999</v>
      </c>
      <c r="E221" s="76">
        <v>0</v>
      </c>
      <c r="F221" s="89" cm="1">
        <f t="array" ref="F221">5*LOG10(((c_light/1000/H_0_SAM)*(B221/60)*SUMPRODUCT($J$2:$AD$2,1/SQRT(Omega_m*(1+$J$1:$AD$1*B221)^3+Omega_L)))*(1+B221)*100000)</f>
        <v>34.396981399747737</v>
      </c>
      <c r="G221" s="89">
        <f t="shared" si="3"/>
        <v>0.22908139974773434</v>
      </c>
    </row>
    <row r="222" spans="1:7" x14ac:dyDescent="0.6">
      <c r="A222" s="76" t="s">
        <v>966</v>
      </c>
      <c r="B222" s="87">
        <v>1.6820000000000002E-2</v>
      </c>
      <c r="C222" s="88">
        <v>34.4649</v>
      </c>
      <c r="D222" s="88">
        <v>0.35832999999999998</v>
      </c>
      <c r="E222" s="76">
        <v>1</v>
      </c>
      <c r="F222" s="89" cm="1">
        <f t="array" ref="F222">5*LOG10(((c_light/1000/H_0_SAM)*(B222/60)*SUMPRODUCT($J$2:$AD$2,1/SQRT(Omega_m*(1+$J$1:$AD$1*B222)^3+Omega_L)))*(1+B222)*100000)</f>
        <v>34.402216050876952</v>
      </c>
      <c r="G222" s="89">
        <f t="shared" si="3"/>
        <v>-6.2683949123048421E-2</v>
      </c>
    </row>
    <row r="223" spans="1:7" x14ac:dyDescent="0.6">
      <c r="A223" s="76" t="s">
        <v>966</v>
      </c>
      <c r="B223" s="87">
        <v>1.6820000000000002E-2</v>
      </c>
      <c r="C223" s="88">
        <v>34.534100000000002</v>
      </c>
      <c r="D223" s="88">
        <v>0.34161999999999998</v>
      </c>
      <c r="E223" s="76">
        <v>1</v>
      </c>
      <c r="F223" s="89" cm="1">
        <f t="array" ref="F223">5*LOG10(((c_light/1000/H_0_SAM)*(B223/60)*SUMPRODUCT($J$2:$AD$2,1/SQRT(Omega_m*(1+$J$1:$AD$1*B223)^3+Omega_L)))*(1+B223)*100000)</f>
        <v>34.402216050876952</v>
      </c>
      <c r="G223" s="89">
        <f t="shared" si="3"/>
        <v>-0.13188394912305057</v>
      </c>
    </row>
    <row r="224" spans="1:7" x14ac:dyDescent="0.6">
      <c r="A224" s="76" t="s">
        <v>967</v>
      </c>
      <c r="B224" s="87">
        <v>1.6820000000000002E-2</v>
      </c>
      <c r="C224" s="88">
        <v>33.967300000000002</v>
      </c>
      <c r="D224" s="88">
        <v>0.28441</v>
      </c>
      <c r="E224" s="76">
        <v>0</v>
      </c>
      <c r="F224" s="89" cm="1">
        <f t="array" ref="F224">5*LOG10(((c_light/1000/H_0_SAM)*(B224/60)*SUMPRODUCT($J$2:$AD$2,1/SQRT(Omega_m*(1+$J$1:$AD$1*B224)^3+Omega_L)))*(1+B224)*100000)</f>
        <v>34.402216050876952</v>
      </c>
      <c r="G224" s="89">
        <f t="shared" si="3"/>
        <v>0.43491605087695007</v>
      </c>
    </row>
    <row r="225" spans="1:7" x14ac:dyDescent="0.6">
      <c r="A225" s="76" t="s">
        <v>968</v>
      </c>
      <c r="B225" s="87">
        <v>1.6899999999999998E-2</v>
      </c>
      <c r="C225" s="88">
        <v>33.841000000000001</v>
      </c>
      <c r="D225" s="88">
        <v>0.28931000000000001</v>
      </c>
      <c r="E225" s="76">
        <v>0</v>
      </c>
      <c r="F225" s="89" cm="1">
        <f t="array" ref="F225">5*LOG10(((c_light/1000/H_0_SAM)*(B225/60)*SUMPRODUCT($J$2:$AD$2,1/SQRT(Omega_m*(1+$J$1:$AD$1*B225)^3+Omega_L)))*(1+B225)*100000)</f>
        <v>34.412648557636302</v>
      </c>
      <c r="G225" s="89">
        <f t="shared" si="3"/>
        <v>0.57164855763630129</v>
      </c>
    </row>
    <row r="226" spans="1:7" x14ac:dyDescent="0.6">
      <c r="A226" s="76" t="s">
        <v>968</v>
      </c>
      <c r="B226" s="87">
        <v>1.6899999999999998E-2</v>
      </c>
      <c r="C226" s="88">
        <v>33.897500000000001</v>
      </c>
      <c r="D226" s="88">
        <v>0.26456000000000002</v>
      </c>
      <c r="E226" s="76">
        <v>0</v>
      </c>
      <c r="F226" s="89" cm="1">
        <f t="array" ref="F226">5*LOG10(((c_light/1000/H_0_SAM)*(B226/60)*SUMPRODUCT($J$2:$AD$2,1/SQRT(Omega_m*(1+$J$1:$AD$1*B226)^3+Omega_L)))*(1+B226)*100000)</f>
        <v>34.412648557636302</v>
      </c>
      <c r="G226" s="89">
        <f t="shared" si="3"/>
        <v>0.51514855763630152</v>
      </c>
    </row>
    <row r="227" spans="1:7" x14ac:dyDescent="0.6">
      <c r="A227" s="76" t="s">
        <v>969</v>
      </c>
      <c r="B227" s="87">
        <v>1.6920000000000001E-2</v>
      </c>
      <c r="C227" s="88">
        <v>34.489400000000003</v>
      </c>
      <c r="D227" s="88">
        <v>0.31030999999999997</v>
      </c>
      <c r="E227" s="76">
        <v>0</v>
      </c>
      <c r="F227" s="89" cm="1">
        <f t="array" ref="F227">5*LOG10(((c_light/1000/H_0_SAM)*(B227/60)*SUMPRODUCT($J$2:$AD$2,1/SQRT(Omega_m*(1+$J$1:$AD$1*B227)^3+Omega_L)))*(1+B227)*100000)</f>
        <v>34.415249060923735</v>
      </c>
      <c r="G227" s="89">
        <f t="shared" si="3"/>
        <v>-7.4150939076268685E-2</v>
      </c>
    </row>
    <row r="228" spans="1:7" x14ac:dyDescent="0.6">
      <c r="A228" s="76" t="s">
        <v>970</v>
      </c>
      <c r="B228" s="87">
        <v>1.6979999999999999E-2</v>
      </c>
      <c r="C228" s="88">
        <v>34.340899999999998</v>
      </c>
      <c r="D228" s="88">
        <v>0.22839000000000001</v>
      </c>
      <c r="E228" s="76">
        <v>0</v>
      </c>
      <c r="F228" s="89" cm="1">
        <f t="array" ref="F228">5*LOG10(((c_light/1000/H_0_SAM)*(B228/60)*SUMPRODUCT($J$2:$AD$2,1/SQRT(Omega_m*(1+$J$1:$AD$1*B228)^3+Omega_L)))*(1+B228)*100000)</f>
        <v>34.42303238968892</v>
      </c>
      <c r="G228" s="89">
        <f t="shared" si="3"/>
        <v>8.2132389688922558E-2</v>
      </c>
    </row>
    <row r="229" spans="1:7" x14ac:dyDescent="0.6">
      <c r="A229" s="76" t="s">
        <v>971</v>
      </c>
      <c r="B229" s="87">
        <v>1.6990000000000002E-2</v>
      </c>
      <c r="C229" s="88">
        <v>34.075499999999998</v>
      </c>
      <c r="D229" s="88">
        <v>0.29781000000000002</v>
      </c>
      <c r="E229" s="76">
        <v>0</v>
      </c>
      <c r="F229" s="89" cm="1">
        <f t="array" ref="F229">5*LOG10(((c_light/1000/H_0_SAM)*(B229/60)*SUMPRODUCT($J$2:$AD$2,1/SQRT(Omega_m*(1+$J$1:$AD$1*B229)^3+Omega_L)))*(1+B229)*100000)</f>
        <v>34.424326969108108</v>
      </c>
      <c r="G229" s="89">
        <f t="shared" si="3"/>
        <v>0.34882696910811006</v>
      </c>
    </row>
    <row r="230" spans="1:7" x14ac:dyDescent="0.6">
      <c r="A230" s="76" t="s">
        <v>972</v>
      </c>
      <c r="B230" s="87">
        <v>1.7049999999999999E-2</v>
      </c>
      <c r="C230" s="88">
        <v>34.197299999999998</v>
      </c>
      <c r="D230" s="88">
        <v>0.21446000000000001</v>
      </c>
      <c r="E230" s="76">
        <v>0</v>
      </c>
      <c r="F230" s="89" cm="1">
        <f t="array" ref="F230">5*LOG10(((c_light/1000/H_0_SAM)*(B230/60)*SUMPRODUCT($J$2:$AD$2,1/SQRT(Omega_m*(1+$J$1:$AD$1*B230)^3+Omega_L)))*(1+B230)*100000)</f>
        <v>34.432078674028894</v>
      </c>
      <c r="G230" s="89">
        <f t="shared" si="3"/>
        <v>0.2347786740288953</v>
      </c>
    </row>
    <row r="231" spans="1:7" x14ac:dyDescent="0.6">
      <c r="A231" s="76" t="s">
        <v>973</v>
      </c>
      <c r="B231" s="87">
        <v>1.7180000000000001E-2</v>
      </c>
      <c r="C231" s="88">
        <v>34.021999999999998</v>
      </c>
      <c r="D231" s="88">
        <v>0.309</v>
      </c>
      <c r="E231" s="76">
        <v>0</v>
      </c>
      <c r="F231" s="89" cm="1">
        <f t="array" ref="F231">5*LOG10(((c_light/1000/H_0_SAM)*(B231/60)*SUMPRODUCT($J$2:$AD$2,1/SQRT(Omega_m*(1+$J$1:$AD$1*B231)^3+Omega_L)))*(1+B231)*100000)</f>
        <v>34.44878200413595</v>
      </c>
      <c r="G231" s="89">
        <f t="shared" si="3"/>
        <v>0.42678200413595135</v>
      </c>
    </row>
    <row r="232" spans="1:7" x14ac:dyDescent="0.6">
      <c r="A232" s="76" t="s">
        <v>973</v>
      </c>
      <c r="B232" s="87">
        <v>1.7180000000000001E-2</v>
      </c>
      <c r="C232" s="88">
        <v>34.200299999999999</v>
      </c>
      <c r="D232" s="88">
        <v>0.32533000000000001</v>
      </c>
      <c r="E232" s="76">
        <v>0</v>
      </c>
      <c r="F232" s="89" cm="1">
        <f t="array" ref="F232">5*LOG10(((c_light/1000/H_0_SAM)*(B232/60)*SUMPRODUCT($J$2:$AD$2,1/SQRT(Omega_m*(1+$J$1:$AD$1*B232)^3+Omega_L)))*(1+B232)*100000)</f>
        <v>34.44878200413595</v>
      </c>
      <c r="G232" s="89">
        <f t="shared" si="3"/>
        <v>0.24848200413595123</v>
      </c>
    </row>
    <row r="233" spans="1:7" x14ac:dyDescent="0.6">
      <c r="A233" s="76" t="s">
        <v>974</v>
      </c>
      <c r="B233" s="87">
        <v>1.72E-2</v>
      </c>
      <c r="C233" s="88">
        <v>34.608400000000003</v>
      </c>
      <c r="D233" s="88">
        <v>0.21981000000000001</v>
      </c>
      <c r="E233" s="76">
        <v>0</v>
      </c>
      <c r="F233" s="89" cm="1">
        <f t="array" ref="F233">5*LOG10(((c_light/1000/H_0_SAM)*(B233/60)*SUMPRODUCT($J$2:$AD$2,1/SQRT(Omega_m*(1+$J$1:$AD$1*B233)^3+Omega_L)))*(1+B233)*100000)</f>
        <v>34.45134066055062</v>
      </c>
      <c r="G233" s="89">
        <f t="shared" si="3"/>
        <v>-0.15705933944938266</v>
      </c>
    </row>
    <row r="234" spans="1:7" x14ac:dyDescent="0.6">
      <c r="A234" s="76" t="s">
        <v>975</v>
      </c>
      <c r="B234" s="87">
        <v>1.7299999999999999E-2</v>
      </c>
      <c r="C234" s="88">
        <v>34.143599999999999</v>
      </c>
      <c r="D234" s="88">
        <v>0.28269</v>
      </c>
      <c r="E234" s="76">
        <v>0</v>
      </c>
      <c r="F234" s="89" cm="1">
        <f t="array" ref="F234">5*LOG10(((c_light/1000/H_0_SAM)*(B234/60)*SUMPRODUCT($J$2:$AD$2,1/SQRT(Omega_m*(1+$J$1:$AD$1*B234)^3+Omega_L)))*(1+B234)*100000)</f>
        <v>34.464090023975913</v>
      </c>
      <c r="G234" s="89">
        <f t="shared" si="3"/>
        <v>0.32049002397591408</v>
      </c>
    </row>
    <row r="235" spans="1:7" x14ac:dyDescent="0.6">
      <c r="A235" s="76" t="s">
        <v>975</v>
      </c>
      <c r="B235" s="87">
        <v>1.7299999999999999E-2</v>
      </c>
      <c r="C235" s="88">
        <v>34.151699999999998</v>
      </c>
      <c r="D235" s="88">
        <v>0.25713999999999998</v>
      </c>
      <c r="E235" s="76">
        <v>0</v>
      </c>
      <c r="F235" s="89" cm="1">
        <f t="array" ref="F235">5*LOG10(((c_light/1000/H_0_SAM)*(B235/60)*SUMPRODUCT($J$2:$AD$2,1/SQRT(Omega_m*(1+$J$1:$AD$1*B235)^3+Omega_L)))*(1+B235)*100000)</f>
        <v>34.464090023975913</v>
      </c>
      <c r="G235" s="89">
        <f t="shared" si="3"/>
        <v>0.3123900239759152</v>
      </c>
    </row>
    <row r="236" spans="1:7" x14ac:dyDescent="0.6">
      <c r="A236" s="76" t="s">
        <v>976</v>
      </c>
      <c r="B236" s="87">
        <v>1.7330000000000002E-2</v>
      </c>
      <c r="C236" s="88">
        <v>34.4009</v>
      </c>
      <c r="D236" s="88">
        <v>0.22170000000000001</v>
      </c>
      <c r="E236" s="76">
        <v>0</v>
      </c>
      <c r="F236" s="89" cm="1">
        <f t="array" ref="F236">5*LOG10(((c_light/1000/H_0_SAM)*(B236/60)*SUMPRODUCT($J$2:$AD$2,1/SQRT(Omega_m*(1+$J$1:$AD$1*B236)^3+Omega_L)))*(1+B236)*100000)</f>
        <v>34.467900641902716</v>
      </c>
      <c r="G236" s="89">
        <f t="shared" si="3"/>
        <v>6.700064190271604E-2</v>
      </c>
    </row>
    <row r="237" spans="1:7" x14ac:dyDescent="0.6">
      <c r="A237" s="76" t="s">
        <v>976</v>
      </c>
      <c r="B237" s="87">
        <v>1.7330000000000002E-2</v>
      </c>
      <c r="C237" s="88">
        <v>34.510100000000001</v>
      </c>
      <c r="D237" s="88">
        <v>0.23124</v>
      </c>
      <c r="E237" s="76">
        <v>0</v>
      </c>
      <c r="F237" s="89" cm="1">
        <f t="array" ref="F237">5*LOG10(((c_light/1000/H_0_SAM)*(B237/60)*SUMPRODUCT($J$2:$AD$2,1/SQRT(Omega_m*(1+$J$1:$AD$1*B237)^3+Omega_L)))*(1+B237)*100000)</f>
        <v>34.467900641902716</v>
      </c>
      <c r="G237" s="89">
        <f t="shared" si="3"/>
        <v>-4.2199358097285256E-2</v>
      </c>
    </row>
    <row r="238" spans="1:7" x14ac:dyDescent="0.6">
      <c r="A238" s="76" t="s">
        <v>977</v>
      </c>
      <c r="B238" s="87">
        <v>1.7340000000000001E-2</v>
      </c>
      <c r="C238" s="88">
        <v>34.360999999999997</v>
      </c>
      <c r="D238" s="88">
        <v>0.22029000000000001</v>
      </c>
      <c r="E238" s="76">
        <v>0</v>
      </c>
      <c r="F238" s="89" cm="1">
        <f t="array" ref="F238">5*LOG10(((c_light/1000/H_0_SAM)*(B238/60)*SUMPRODUCT($J$2:$AD$2,1/SQRT(Omega_m*(1+$J$1:$AD$1*B238)^3+Omega_L)))*(1+B238)*100000)</f>
        <v>34.469169400219705</v>
      </c>
      <c r="G238" s="89">
        <f t="shared" si="3"/>
        <v>0.10816940021970822</v>
      </c>
    </row>
    <row r="239" spans="1:7" x14ac:dyDescent="0.6">
      <c r="A239" s="76" t="s">
        <v>978</v>
      </c>
      <c r="B239" s="87">
        <v>1.737E-2</v>
      </c>
      <c r="C239" s="88">
        <v>34.31</v>
      </c>
      <c r="D239" s="88">
        <v>0.26356000000000002</v>
      </c>
      <c r="E239" s="76">
        <v>0</v>
      </c>
      <c r="F239" s="89" cm="1">
        <f t="array" ref="F239">5*LOG10(((c_light/1000/H_0_SAM)*(B239/60)*SUMPRODUCT($J$2:$AD$2,1/SQRT(Omega_m*(1+$J$1:$AD$1*B239)^3+Omega_L)))*(1+B239)*100000)</f>
        <v>34.472971343866838</v>
      </c>
      <c r="G239" s="89">
        <f t="shared" si="3"/>
        <v>0.16297134386683609</v>
      </c>
    </row>
    <row r="240" spans="1:7" x14ac:dyDescent="0.6">
      <c r="A240" s="76" t="s">
        <v>978</v>
      </c>
      <c r="B240" s="87">
        <v>1.737E-2</v>
      </c>
      <c r="C240" s="88">
        <v>34.2669</v>
      </c>
      <c r="D240" s="88">
        <v>0.26243</v>
      </c>
      <c r="E240" s="76">
        <v>0</v>
      </c>
      <c r="F240" s="89" cm="1">
        <f t="array" ref="F240">5*LOG10(((c_light/1000/H_0_SAM)*(B240/60)*SUMPRODUCT($J$2:$AD$2,1/SQRT(Omega_m*(1+$J$1:$AD$1*B240)^3+Omega_L)))*(1+B240)*100000)</f>
        <v>34.472971343866838</v>
      </c>
      <c r="G240" s="89">
        <f t="shared" si="3"/>
        <v>0.20607134386683867</v>
      </c>
    </row>
    <row r="241" spans="1:7" x14ac:dyDescent="0.6">
      <c r="A241" s="76" t="s">
        <v>979</v>
      </c>
      <c r="B241" s="87">
        <v>1.7430000000000001E-2</v>
      </c>
      <c r="C241" s="88">
        <v>33.779899999999998</v>
      </c>
      <c r="D241" s="88">
        <v>0.33062999999999998</v>
      </c>
      <c r="E241" s="76">
        <v>0</v>
      </c>
      <c r="F241" s="89" cm="1">
        <f t="array" ref="F241">5*LOG10(((c_light/1000/H_0_SAM)*(B241/60)*SUMPRODUCT($J$2:$AD$2,1/SQRT(Omega_m*(1+$J$1:$AD$1*B241)^3+Omega_L)))*(1+B241)*100000)</f>
        <v>34.48055581490771</v>
      </c>
      <c r="G241" s="89">
        <f t="shared" si="3"/>
        <v>0.70065581490771223</v>
      </c>
    </row>
    <row r="242" spans="1:7" x14ac:dyDescent="0.6">
      <c r="A242" s="76" t="s">
        <v>980</v>
      </c>
      <c r="B242" s="87">
        <v>1.7469999999999999E-2</v>
      </c>
      <c r="C242" s="88">
        <v>34.322800000000001</v>
      </c>
      <c r="D242" s="88">
        <v>0.20024</v>
      </c>
      <c r="E242" s="76">
        <v>0</v>
      </c>
      <c r="F242" s="89" cm="1">
        <f t="array" ref="F242">5*LOG10(((c_light/1000/H_0_SAM)*(B242/60)*SUMPRODUCT($J$2:$AD$2,1/SQRT(Omega_m*(1+$J$1:$AD$1*B242)^3+Omega_L)))*(1+B242)*100000)</f>
        <v>34.485597817943173</v>
      </c>
      <c r="G242" s="89">
        <f t="shared" si="3"/>
        <v>0.16279781794317216</v>
      </c>
    </row>
    <row r="243" spans="1:7" x14ac:dyDescent="0.6">
      <c r="A243" s="76" t="s">
        <v>980</v>
      </c>
      <c r="B243" s="87">
        <v>1.7469999999999999E-2</v>
      </c>
      <c r="C243" s="88">
        <v>34.313299999999998</v>
      </c>
      <c r="D243" s="88">
        <v>0.19782</v>
      </c>
      <c r="E243" s="76">
        <v>0</v>
      </c>
      <c r="F243" s="89" cm="1">
        <f t="array" ref="F243">5*LOG10(((c_light/1000/H_0_SAM)*(B243/60)*SUMPRODUCT($J$2:$AD$2,1/SQRT(Omega_m*(1+$J$1:$AD$1*B243)^3+Omega_L)))*(1+B243)*100000)</f>
        <v>34.485597817943173</v>
      </c>
      <c r="G243" s="89">
        <f t="shared" si="3"/>
        <v>0.17229781794317489</v>
      </c>
    </row>
    <row r="244" spans="1:7" x14ac:dyDescent="0.6">
      <c r="A244" s="76" t="s">
        <v>981</v>
      </c>
      <c r="B244" s="87">
        <v>1.7520000000000001E-2</v>
      </c>
      <c r="C244" s="88">
        <v>34.146500000000003</v>
      </c>
      <c r="D244" s="88">
        <v>0.23141999999999999</v>
      </c>
      <c r="E244" s="76">
        <v>0</v>
      </c>
      <c r="F244" s="89" cm="1">
        <f t="array" ref="F244">5*LOG10(((c_light/1000/H_0_SAM)*(B244/60)*SUMPRODUCT($J$2:$AD$2,1/SQRT(Omega_m*(1+$J$1:$AD$1*B244)^3+Omega_L)))*(1+B244)*100000)</f>
        <v>34.491884313862627</v>
      </c>
      <c r="G244" s="89">
        <f t="shared" si="3"/>
        <v>0.34538431386262403</v>
      </c>
    </row>
    <row r="245" spans="1:7" x14ac:dyDescent="0.6">
      <c r="A245" s="76" t="s">
        <v>982</v>
      </c>
      <c r="B245" s="87">
        <v>1.7760000000000001E-2</v>
      </c>
      <c r="C245" s="88">
        <v>34.222099999999998</v>
      </c>
      <c r="D245" s="88">
        <v>0.32040999999999997</v>
      </c>
      <c r="E245" s="76">
        <v>0</v>
      </c>
      <c r="F245" s="89" cm="1">
        <f t="array" ref="F245">5*LOG10(((c_light/1000/H_0_SAM)*(B245/60)*SUMPRODUCT($J$2:$AD$2,1/SQRT(Omega_m*(1+$J$1:$AD$1*B245)^3+Omega_L)))*(1+B245)*100000)</f>
        <v>34.521814984221045</v>
      </c>
      <c r="G245" s="89">
        <f t="shared" si="3"/>
        <v>0.29971498422104759</v>
      </c>
    </row>
    <row r="246" spans="1:7" x14ac:dyDescent="0.6">
      <c r="A246" s="76" t="s">
        <v>983</v>
      </c>
      <c r="B246" s="87">
        <v>1.7780000000000001E-2</v>
      </c>
      <c r="C246" s="88">
        <v>34.336399999999998</v>
      </c>
      <c r="D246" s="88">
        <v>0.21010999999999999</v>
      </c>
      <c r="E246" s="76">
        <v>0</v>
      </c>
      <c r="F246" s="89" cm="1">
        <f t="array" ref="F246">5*LOG10(((c_light/1000/H_0_SAM)*(B246/60)*SUMPRODUCT($J$2:$AD$2,1/SQRT(Omega_m*(1+$J$1:$AD$1*B246)^3+Omega_L)))*(1+B246)*100000)</f>
        <v>34.524291151616964</v>
      </c>
      <c r="G246" s="89">
        <f t="shared" si="3"/>
        <v>0.18789115161696657</v>
      </c>
    </row>
    <row r="247" spans="1:7" x14ac:dyDescent="0.6">
      <c r="A247" s="76" t="s">
        <v>983</v>
      </c>
      <c r="B247" s="87">
        <v>1.7780000000000001E-2</v>
      </c>
      <c r="C247" s="88">
        <v>34.246400000000001</v>
      </c>
      <c r="D247" s="88">
        <v>0.21343000000000001</v>
      </c>
      <c r="E247" s="76">
        <v>0</v>
      </c>
      <c r="F247" s="89" cm="1">
        <f t="array" ref="F247">5*LOG10(((c_light/1000/H_0_SAM)*(B247/60)*SUMPRODUCT($J$2:$AD$2,1/SQRT(Omega_m*(1+$J$1:$AD$1*B247)^3+Omega_L)))*(1+B247)*100000)</f>
        <v>34.524291151616964</v>
      </c>
      <c r="G247" s="89">
        <f t="shared" si="3"/>
        <v>0.27789115161696287</v>
      </c>
    </row>
    <row r="248" spans="1:7" x14ac:dyDescent="0.6">
      <c r="A248" s="76" t="s">
        <v>984</v>
      </c>
      <c r="B248" s="87">
        <v>1.7840000000000002E-2</v>
      </c>
      <c r="C248" s="88">
        <v>34.293900000000001</v>
      </c>
      <c r="D248" s="88">
        <v>0.24660000000000001</v>
      </c>
      <c r="E248" s="76">
        <v>0</v>
      </c>
      <c r="F248" s="89" cm="1">
        <f t="array" ref="F248">5*LOG10(((c_light/1000/H_0_SAM)*(B248/60)*SUMPRODUCT($J$2:$AD$2,1/SQRT(Omega_m*(1+$J$1:$AD$1*B248)^3+Omega_L)))*(1+B248)*100000)</f>
        <v>34.531703187188086</v>
      </c>
      <c r="G248" s="89">
        <f t="shared" si="3"/>
        <v>0.23780318718808502</v>
      </c>
    </row>
    <row r="249" spans="1:7" x14ac:dyDescent="0.6">
      <c r="A249" s="76" t="s">
        <v>984</v>
      </c>
      <c r="B249" s="87">
        <v>1.7840000000000002E-2</v>
      </c>
      <c r="C249" s="88">
        <v>34.241799999999998</v>
      </c>
      <c r="D249" s="88">
        <v>0.22287000000000001</v>
      </c>
      <c r="E249" s="76">
        <v>0</v>
      </c>
      <c r="F249" s="89" cm="1">
        <f t="array" ref="F249">5*LOG10(((c_light/1000/H_0_SAM)*(B249/60)*SUMPRODUCT($J$2:$AD$2,1/SQRT(Omega_m*(1+$J$1:$AD$1*B249)^3+Omega_L)))*(1+B249)*100000)</f>
        <v>34.531703187188086</v>
      </c>
      <c r="G249" s="89">
        <f t="shared" si="3"/>
        <v>0.28990318718808794</v>
      </c>
    </row>
    <row r="250" spans="1:7" x14ac:dyDescent="0.6">
      <c r="A250" s="76" t="s">
        <v>985</v>
      </c>
      <c r="B250" s="87">
        <v>1.7899999999999999E-2</v>
      </c>
      <c r="C250" s="88">
        <v>34.297499999999999</v>
      </c>
      <c r="D250" s="88">
        <v>0.31891000000000003</v>
      </c>
      <c r="E250" s="76">
        <v>0</v>
      </c>
      <c r="F250" s="89" cm="1">
        <f t="array" ref="F250">5*LOG10(((c_light/1000/H_0_SAM)*(B250/60)*SUMPRODUCT($J$2:$AD$2,1/SQRT(Omega_m*(1+$J$1:$AD$1*B250)^3+Omega_L)))*(1+B250)*100000)</f>
        <v>34.539090651771424</v>
      </c>
      <c r="G250" s="89">
        <f t="shared" si="3"/>
        <v>0.2415906517714248</v>
      </c>
    </row>
    <row r="251" spans="1:7" x14ac:dyDescent="0.6">
      <c r="A251" s="76" t="s">
        <v>986</v>
      </c>
      <c r="B251" s="87">
        <v>1.8020000000000001E-2</v>
      </c>
      <c r="C251" s="88">
        <v>34.266100000000002</v>
      </c>
      <c r="D251" s="88">
        <v>0.23421</v>
      </c>
      <c r="E251" s="76">
        <v>0</v>
      </c>
      <c r="F251" s="89" cm="1">
        <f t="array" ref="F251">5*LOG10(((c_light/1000/H_0_SAM)*(B251/60)*SUMPRODUCT($J$2:$AD$2,1/SQRT(Omega_m*(1+$J$1:$AD$1*B251)^3+Omega_L)))*(1+B251)*100000)</f>
        <v>34.553792523888553</v>
      </c>
      <c r="G251" s="89">
        <f t="shared" si="3"/>
        <v>0.28769252388855193</v>
      </c>
    </row>
    <row r="252" spans="1:7" x14ac:dyDescent="0.6">
      <c r="A252" s="76" t="s">
        <v>987</v>
      </c>
      <c r="B252" s="87">
        <v>1.8079999999999999E-2</v>
      </c>
      <c r="C252" s="88">
        <v>34.607799999999997</v>
      </c>
      <c r="D252" s="88">
        <v>0.20147000000000001</v>
      </c>
      <c r="E252" s="76">
        <v>0</v>
      </c>
      <c r="F252" s="89" cm="1">
        <f t="array" ref="F252">5*LOG10(((c_light/1000/H_0_SAM)*(B252/60)*SUMPRODUCT($J$2:$AD$2,1/SQRT(Omega_m*(1+$J$1:$AD$1*B252)^3+Omega_L)))*(1+B252)*100000)</f>
        <v>34.561107255289073</v>
      </c>
      <c r="G252" s="89">
        <f t="shared" si="3"/>
        <v>-4.6692744710924217E-2</v>
      </c>
    </row>
    <row r="253" spans="1:7" x14ac:dyDescent="0.6">
      <c r="A253" s="76" t="s">
        <v>988</v>
      </c>
      <c r="B253" s="87">
        <v>1.8259999999999998E-2</v>
      </c>
      <c r="C253" s="88">
        <v>34.979199999999999</v>
      </c>
      <c r="D253" s="88">
        <v>0.21848000000000001</v>
      </c>
      <c r="E253" s="76">
        <v>0</v>
      </c>
      <c r="F253" s="89" cm="1">
        <f t="array" ref="F253">5*LOG10(((c_light/1000/H_0_SAM)*(B253/60)*SUMPRODUCT($J$2:$AD$2,1/SQRT(Omega_m*(1+$J$1:$AD$1*B253)^3+Omega_L)))*(1+B253)*100000)</f>
        <v>34.582908540426459</v>
      </c>
      <c r="G253" s="89">
        <f t="shared" si="3"/>
        <v>-0.39629145957353984</v>
      </c>
    </row>
    <row r="254" spans="1:7" x14ac:dyDescent="0.6">
      <c r="A254" s="76" t="s">
        <v>989</v>
      </c>
      <c r="B254" s="87">
        <v>1.8259999999999998E-2</v>
      </c>
      <c r="C254" s="88">
        <v>34.200499999999998</v>
      </c>
      <c r="D254" s="88">
        <v>0.28056999999999999</v>
      </c>
      <c r="E254" s="76">
        <v>0</v>
      </c>
      <c r="F254" s="89" cm="1">
        <f t="array" ref="F254">5*LOG10(((c_light/1000/H_0_SAM)*(B254/60)*SUMPRODUCT($J$2:$AD$2,1/SQRT(Omega_m*(1+$J$1:$AD$1*B254)^3+Omega_L)))*(1+B254)*100000)</f>
        <v>34.582908540426459</v>
      </c>
      <c r="G254" s="89">
        <f t="shared" si="3"/>
        <v>0.38240854042646077</v>
      </c>
    </row>
    <row r="255" spans="1:7" x14ac:dyDescent="0.6">
      <c r="A255" s="76" t="s">
        <v>990</v>
      </c>
      <c r="B255" s="87">
        <v>1.839E-2</v>
      </c>
      <c r="C255" s="88">
        <v>34.439300000000003</v>
      </c>
      <c r="D255" s="88">
        <v>0.22689999999999999</v>
      </c>
      <c r="E255" s="76">
        <v>0</v>
      </c>
      <c r="F255" s="89" cm="1">
        <f t="array" ref="F255">5*LOG10(((c_light/1000/H_0_SAM)*(B255/60)*SUMPRODUCT($J$2:$AD$2,1/SQRT(Omega_m*(1+$J$1:$AD$1*B255)^3+Omega_L)))*(1+B255)*100000)</f>
        <v>34.598522391538715</v>
      </c>
      <c r="G255" s="89">
        <f t="shared" si="3"/>
        <v>0.15922239153871232</v>
      </c>
    </row>
    <row r="256" spans="1:7" x14ac:dyDescent="0.6">
      <c r="A256" s="76" t="s">
        <v>991</v>
      </c>
      <c r="B256" s="87">
        <v>1.8550000000000001E-2</v>
      </c>
      <c r="C256" s="88">
        <v>34.491999999999997</v>
      </c>
      <c r="D256" s="88">
        <v>0.25535999999999998</v>
      </c>
      <c r="E256" s="76">
        <v>0</v>
      </c>
      <c r="F256" s="89" cm="1">
        <f t="array" ref="F256">5*LOG10(((c_light/1000/H_0_SAM)*(B256/60)*SUMPRODUCT($J$2:$AD$2,1/SQRT(Omega_m*(1+$J$1:$AD$1*B256)^3+Omega_L)))*(1+B256)*100000)</f>
        <v>34.617590577421694</v>
      </c>
      <c r="G256" s="89">
        <f t="shared" si="3"/>
        <v>0.12559057742169699</v>
      </c>
    </row>
    <row r="257" spans="1:7" x14ac:dyDescent="0.6">
      <c r="A257" s="76" t="s">
        <v>991</v>
      </c>
      <c r="B257" s="87">
        <v>1.8550000000000001E-2</v>
      </c>
      <c r="C257" s="88">
        <v>34.576000000000001</v>
      </c>
      <c r="D257" s="88">
        <v>0.29624</v>
      </c>
      <c r="E257" s="76">
        <v>0</v>
      </c>
      <c r="F257" s="89" cm="1">
        <f t="array" ref="F257">5*LOG10(((c_light/1000/H_0_SAM)*(B257/60)*SUMPRODUCT($J$2:$AD$2,1/SQRT(Omega_m*(1+$J$1:$AD$1*B257)^3+Omega_L)))*(1+B257)*100000)</f>
        <v>34.617590577421694</v>
      </c>
      <c r="G257" s="89">
        <f t="shared" si="3"/>
        <v>4.1590577421693808E-2</v>
      </c>
    </row>
    <row r="258" spans="1:7" x14ac:dyDescent="0.6">
      <c r="A258" s="76" t="s">
        <v>992</v>
      </c>
      <c r="B258" s="87">
        <v>1.865E-2</v>
      </c>
      <c r="C258" s="88">
        <v>34.617100000000001</v>
      </c>
      <c r="D258" s="88">
        <v>0.23898</v>
      </c>
      <c r="E258" s="76">
        <v>0</v>
      </c>
      <c r="F258" s="89" cm="1">
        <f t="array" ref="F258">5*LOG10(((c_light/1000/H_0_SAM)*(B258/60)*SUMPRODUCT($J$2:$AD$2,1/SQRT(Omega_m*(1+$J$1:$AD$1*B258)^3+Omega_L)))*(1+B258)*100000)</f>
        <v>34.629425946119198</v>
      </c>
      <c r="G258" s="89">
        <f t="shared" si="3"/>
        <v>1.2325946119197795E-2</v>
      </c>
    </row>
    <row r="259" spans="1:7" x14ac:dyDescent="0.6">
      <c r="A259" s="76" t="s">
        <v>993</v>
      </c>
      <c r="B259" s="87">
        <v>1.865E-2</v>
      </c>
      <c r="C259" s="88">
        <v>34.571599999999997</v>
      </c>
      <c r="D259" s="88">
        <v>0.23999000000000001</v>
      </c>
      <c r="E259" s="76">
        <v>0</v>
      </c>
      <c r="F259" s="89" cm="1">
        <f t="array" ref="F259">5*LOG10(((c_light/1000/H_0_SAM)*(B259/60)*SUMPRODUCT($J$2:$AD$2,1/SQRT(Omega_m*(1+$J$1:$AD$1*B259)^3+Omega_L)))*(1+B259)*100000)</f>
        <v>34.629425946119198</v>
      </c>
      <c r="G259" s="89">
        <f t="shared" si="3"/>
        <v>5.7825946119201888E-2</v>
      </c>
    </row>
    <row r="260" spans="1:7" x14ac:dyDescent="0.6">
      <c r="A260" s="76" t="s">
        <v>994</v>
      </c>
      <c r="B260" s="87">
        <v>1.866E-2</v>
      </c>
      <c r="C260" s="88">
        <v>34.6066</v>
      </c>
      <c r="D260" s="88">
        <v>0.27746999999999999</v>
      </c>
      <c r="E260" s="76">
        <v>0</v>
      </c>
      <c r="F260" s="89" cm="1">
        <f t="array" ref="F260">5*LOG10(((c_light/1000/H_0_SAM)*(B260/60)*SUMPRODUCT($J$2:$AD$2,1/SQRT(Omega_m*(1+$J$1:$AD$1*B260)^3+Omega_L)))*(1+B260)*100000)</f>
        <v>34.630606036900417</v>
      </c>
      <c r="G260" s="89">
        <f t="shared" si="3"/>
        <v>2.4006036900416916E-2</v>
      </c>
    </row>
    <row r="261" spans="1:7" x14ac:dyDescent="0.6">
      <c r="A261" s="76" t="s">
        <v>995</v>
      </c>
      <c r="B261" s="87">
        <v>1.8749999999999999E-2</v>
      </c>
      <c r="C261" s="88">
        <v>34.546599999999998</v>
      </c>
      <c r="D261" s="88">
        <v>0.21551000000000001</v>
      </c>
      <c r="E261" s="76">
        <v>0</v>
      </c>
      <c r="F261" s="89" cm="1">
        <f t="array" ref="F261">5*LOG10(((c_light/1000/H_0_SAM)*(B261/60)*SUMPRODUCT($J$2:$AD$2,1/SQRT(Omega_m*(1+$J$1:$AD$1*B261)^3+Omega_L)))*(1+B261)*100000)</f>
        <v>34.641198859434354</v>
      </c>
      <c r="G261" s="89">
        <f t="shared" si="3"/>
        <v>9.4598859434356086E-2</v>
      </c>
    </row>
    <row r="262" spans="1:7" x14ac:dyDescent="0.6">
      <c r="A262" s="76" t="s">
        <v>995</v>
      </c>
      <c r="B262" s="87">
        <v>1.8749999999999999E-2</v>
      </c>
      <c r="C262" s="88">
        <v>34.486600000000003</v>
      </c>
      <c r="D262" s="88">
        <v>0.32102000000000003</v>
      </c>
      <c r="E262" s="76">
        <v>0</v>
      </c>
      <c r="F262" s="89" cm="1">
        <f t="array" ref="F262">5*LOG10(((c_light/1000/H_0_SAM)*(B262/60)*SUMPRODUCT($J$2:$AD$2,1/SQRT(Omega_m*(1+$J$1:$AD$1*B262)^3+Omega_L)))*(1+B262)*100000)</f>
        <v>34.641198859434354</v>
      </c>
      <c r="G262" s="89">
        <f t="shared" ref="G262:G325" si="4">F262-C262</f>
        <v>0.15459885943435125</v>
      </c>
    </row>
    <row r="263" spans="1:7" x14ac:dyDescent="0.6">
      <c r="A263" s="76" t="s">
        <v>996</v>
      </c>
      <c r="B263" s="87">
        <v>1.9050000000000001E-2</v>
      </c>
      <c r="C263" s="88">
        <v>34.428600000000003</v>
      </c>
      <c r="D263" s="88">
        <v>0.28140999999999999</v>
      </c>
      <c r="E263" s="76">
        <v>0</v>
      </c>
      <c r="F263" s="89" cm="1">
        <f t="array" ref="F263">5*LOG10(((c_light/1000/H_0_SAM)*(B263/60)*SUMPRODUCT($J$2:$AD$2,1/SQRT(Omega_m*(1+$J$1:$AD$1*B263)^3+Omega_L)))*(1+B263)*100000)</f>
        <v>34.676149456325447</v>
      </c>
      <c r="G263" s="89">
        <f t="shared" si="4"/>
        <v>0.24754945632544434</v>
      </c>
    </row>
    <row r="264" spans="1:7" x14ac:dyDescent="0.6">
      <c r="A264" s="76" t="s">
        <v>997</v>
      </c>
      <c r="B264" s="87">
        <v>1.9470000000000001E-2</v>
      </c>
      <c r="C264" s="88">
        <v>34.774700000000003</v>
      </c>
      <c r="D264" s="88">
        <v>0.19539999999999999</v>
      </c>
      <c r="E264" s="76">
        <v>0</v>
      </c>
      <c r="F264" s="89" cm="1">
        <f t="array" ref="F264">5*LOG10(((c_light/1000/H_0_SAM)*(B264/60)*SUMPRODUCT($J$2:$AD$2,1/SQRT(Omega_m*(1+$J$1:$AD$1*B264)^3+Omega_L)))*(1+B264)*100000)</f>
        <v>34.724178831174072</v>
      </c>
      <c r="G264" s="89">
        <f t="shared" si="4"/>
        <v>-5.0521168825930829E-2</v>
      </c>
    </row>
    <row r="265" spans="1:7" x14ac:dyDescent="0.6">
      <c r="A265" s="76" t="s">
        <v>997</v>
      </c>
      <c r="B265" s="87">
        <v>1.9470000000000001E-2</v>
      </c>
      <c r="C265" s="88">
        <v>34.808500000000002</v>
      </c>
      <c r="D265" s="88">
        <v>0.19553000000000001</v>
      </c>
      <c r="E265" s="76">
        <v>0</v>
      </c>
      <c r="F265" s="89" cm="1">
        <f t="array" ref="F265">5*LOG10(((c_light/1000/H_0_SAM)*(B265/60)*SUMPRODUCT($J$2:$AD$2,1/SQRT(Omega_m*(1+$J$1:$AD$1*B265)^3+Omega_L)))*(1+B265)*100000)</f>
        <v>34.724178831174072</v>
      </c>
      <c r="G265" s="89">
        <f t="shared" si="4"/>
        <v>-8.4321168825930215E-2</v>
      </c>
    </row>
    <row r="266" spans="1:7" x14ac:dyDescent="0.6">
      <c r="A266" s="76" t="s">
        <v>998</v>
      </c>
      <c r="B266" s="87">
        <v>1.975E-2</v>
      </c>
      <c r="C266" s="88">
        <v>34.756999999999998</v>
      </c>
      <c r="D266" s="88">
        <v>0.46661000000000002</v>
      </c>
      <c r="E266" s="76">
        <v>0</v>
      </c>
      <c r="F266" s="89" cm="1">
        <f t="array" ref="F266">5*LOG10(((c_light/1000/H_0_SAM)*(B266/60)*SUMPRODUCT($J$2:$AD$2,1/SQRT(Omega_m*(1+$J$1:$AD$1*B266)^3+Omega_L)))*(1+B266)*100000)</f>
        <v>34.755634016658348</v>
      </c>
      <c r="G266" s="89">
        <f t="shared" si="4"/>
        <v>-1.3659833416497236E-3</v>
      </c>
    </row>
    <row r="267" spans="1:7" x14ac:dyDescent="0.6">
      <c r="A267" s="76" t="s">
        <v>998</v>
      </c>
      <c r="B267" s="87">
        <v>1.975E-2</v>
      </c>
      <c r="C267" s="88">
        <v>34.739400000000003</v>
      </c>
      <c r="D267" s="88">
        <v>0.43352000000000002</v>
      </c>
      <c r="E267" s="76">
        <v>0</v>
      </c>
      <c r="F267" s="89" cm="1">
        <f t="array" ref="F267">5*LOG10(((c_light/1000/H_0_SAM)*(B267/60)*SUMPRODUCT($J$2:$AD$2,1/SQRT(Omega_m*(1+$J$1:$AD$1*B267)^3+Omega_L)))*(1+B267)*100000)</f>
        <v>34.755634016658348</v>
      </c>
      <c r="G267" s="89">
        <f t="shared" si="4"/>
        <v>1.6234016658344785E-2</v>
      </c>
    </row>
    <row r="268" spans="1:7" x14ac:dyDescent="0.6">
      <c r="A268" s="76" t="s">
        <v>999</v>
      </c>
      <c r="B268" s="87">
        <v>1.976E-2</v>
      </c>
      <c r="C268" s="88">
        <v>34.686500000000002</v>
      </c>
      <c r="D268" s="88">
        <v>0.40623999999999999</v>
      </c>
      <c r="E268" s="76">
        <v>0</v>
      </c>
      <c r="F268" s="89" cm="1">
        <f t="array" ref="F268">5*LOG10(((c_light/1000/H_0_SAM)*(B268/60)*SUMPRODUCT($J$2:$AD$2,1/SQRT(Omega_m*(1+$J$1:$AD$1*B268)^3+Omega_L)))*(1+B268)*100000)</f>
        <v>34.756749266175014</v>
      </c>
      <c r="G268" s="89">
        <f t="shared" si="4"/>
        <v>7.0249266175011371E-2</v>
      </c>
    </row>
    <row r="269" spans="1:7" x14ac:dyDescent="0.6">
      <c r="A269" s="76" t="s">
        <v>1000</v>
      </c>
      <c r="B269" s="87">
        <v>1.9949999999999999E-2</v>
      </c>
      <c r="C269" s="88">
        <v>34.364800000000002</v>
      </c>
      <c r="D269" s="88">
        <v>0.29572999999999999</v>
      </c>
      <c r="E269" s="76">
        <v>0</v>
      </c>
      <c r="F269" s="89" cm="1">
        <f t="array" ref="F269">5*LOG10(((c_light/1000/H_0_SAM)*(B269/60)*SUMPRODUCT($J$2:$AD$2,1/SQRT(Omega_m*(1+$J$1:$AD$1*B269)^3+Omega_L)))*(1+B269)*100000)</f>
        <v>34.777833932867523</v>
      </c>
      <c r="G269" s="89">
        <f t="shared" si="4"/>
        <v>0.41303393286752055</v>
      </c>
    </row>
    <row r="270" spans="1:7" x14ac:dyDescent="0.6">
      <c r="A270" s="76" t="s">
        <v>1001</v>
      </c>
      <c r="B270" s="87">
        <v>2.001E-2</v>
      </c>
      <c r="C270" s="88">
        <v>34.685400000000001</v>
      </c>
      <c r="D270" s="88">
        <v>0.20427999999999999</v>
      </c>
      <c r="E270" s="76">
        <v>0</v>
      </c>
      <c r="F270" s="89" cm="1">
        <f t="array" ref="F270">5*LOG10(((c_light/1000/H_0_SAM)*(B270/60)*SUMPRODUCT($J$2:$AD$2,1/SQRT(Omega_m*(1+$J$1:$AD$1*B270)^3+Omega_L)))*(1+B270)*100000)</f>
        <v>34.784451132026057</v>
      </c>
      <c r="G270" s="89">
        <f t="shared" si="4"/>
        <v>9.90511320260552E-2</v>
      </c>
    </row>
    <row r="271" spans="1:7" x14ac:dyDescent="0.6">
      <c r="A271" s="76" t="s">
        <v>1002</v>
      </c>
      <c r="B271" s="87">
        <v>2.0060000000000001E-2</v>
      </c>
      <c r="C271" s="88">
        <v>34.512099999999997</v>
      </c>
      <c r="D271" s="88">
        <v>0.19949</v>
      </c>
      <c r="E271" s="76">
        <v>0</v>
      </c>
      <c r="F271" s="89" cm="1">
        <f t="array" ref="F271">5*LOG10(((c_light/1000/H_0_SAM)*(B271/60)*SUMPRODUCT($J$2:$AD$2,1/SQRT(Omega_m*(1+$J$1:$AD$1*B271)^3+Omega_L)))*(1+B271)*100000)</f>
        <v>34.789950539091514</v>
      </c>
      <c r="G271" s="89">
        <f t="shared" si="4"/>
        <v>0.27785053909151713</v>
      </c>
    </row>
    <row r="272" spans="1:7" x14ac:dyDescent="0.6">
      <c r="A272" s="76" t="s">
        <v>1003</v>
      </c>
      <c r="B272" s="87">
        <v>2.019E-2</v>
      </c>
      <c r="C272" s="88">
        <v>34.507199999999997</v>
      </c>
      <c r="D272" s="88">
        <v>0.23388999999999999</v>
      </c>
      <c r="E272" s="76">
        <v>0</v>
      </c>
      <c r="F272" s="89" cm="1">
        <f t="array" ref="F272">5*LOG10(((c_light/1000/H_0_SAM)*(B272/60)*SUMPRODUCT($J$2:$AD$2,1/SQRT(Omega_m*(1+$J$1:$AD$1*B272)^3+Omega_L)))*(1+B272)*100000)</f>
        <v>34.804186000120076</v>
      </c>
      <c r="G272" s="89">
        <f t="shared" si="4"/>
        <v>0.29698600012007859</v>
      </c>
    </row>
    <row r="273" spans="1:7" x14ac:dyDescent="0.6">
      <c r="A273" s="76" t="s">
        <v>1003</v>
      </c>
      <c r="B273" s="87">
        <v>2.019E-2</v>
      </c>
      <c r="C273" s="88">
        <v>34.701999999999998</v>
      </c>
      <c r="D273" s="88">
        <v>0.19245999999999999</v>
      </c>
      <c r="E273" s="76">
        <v>0</v>
      </c>
      <c r="F273" s="89" cm="1">
        <f t="array" ref="F273">5*LOG10(((c_light/1000/H_0_SAM)*(B273/60)*SUMPRODUCT($J$2:$AD$2,1/SQRT(Omega_m*(1+$J$1:$AD$1*B273)^3+Omega_L)))*(1+B273)*100000)</f>
        <v>34.804186000120076</v>
      </c>
      <c r="G273" s="89">
        <f t="shared" si="4"/>
        <v>0.10218600012007784</v>
      </c>
    </row>
    <row r="274" spans="1:7" x14ac:dyDescent="0.6">
      <c r="A274" s="76" t="s">
        <v>1004</v>
      </c>
      <c r="B274" s="87">
        <v>2.0230000000000001E-2</v>
      </c>
      <c r="C274" s="88">
        <v>34.599499999999999</v>
      </c>
      <c r="D274" s="88">
        <v>0.18831000000000001</v>
      </c>
      <c r="E274" s="76">
        <v>0</v>
      </c>
      <c r="F274" s="89" cm="1">
        <f t="array" ref="F274">5*LOG10(((c_light/1000/H_0_SAM)*(B274/60)*SUMPRODUCT($J$2:$AD$2,1/SQRT(Omega_m*(1+$J$1:$AD$1*B274)^3+Omega_L)))*(1+B274)*100000)</f>
        <v>34.808547967957743</v>
      </c>
      <c r="G274" s="89">
        <f t="shared" si="4"/>
        <v>0.20904796795774416</v>
      </c>
    </row>
    <row r="275" spans="1:7" x14ac:dyDescent="0.6">
      <c r="A275" s="76" t="s">
        <v>1004</v>
      </c>
      <c r="B275" s="87">
        <v>2.0230000000000001E-2</v>
      </c>
      <c r="C275" s="88">
        <v>34.501199999999997</v>
      </c>
      <c r="D275" s="88">
        <v>0.29557</v>
      </c>
      <c r="E275" s="76">
        <v>0</v>
      </c>
      <c r="F275" s="89" cm="1">
        <f t="array" ref="F275">5*LOG10(((c_light/1000/H_0_SAM)*(B275/60)*SUMPRODUCT($J$2:$AD$2,1/SQRT(Omega_m*(1+$J$1:$AD$1*B275)^3+Omega_L)))*(1+B275)*100000)</f>
        <v>34.808547967957743</v>
      </c>
      <c r="G275" s="89">
        <f t="shared" si="4"/>
        <v>0.30734796795774599</v>
      </c>
    </row>
    <row r="276" spans="1:7" x14ac:dyDescent="0.6">
      <c r="A276" s="76" t="s">
        <v>1004</v>
      </c>
      <c r="B276" s="87">
        <v>2.0230000000000001E-2</v>
      </c>
      <c r="C276" s="88">
        <v>34.576000000000001</v>
      </c>
      <c r="D276" s="88">
        <v>0.18990000000000001</v>
      </c>
      <c r="E276" s="76">
        <v>0</v>
      </c>
      <c r="F276" s="89" cm="1">
        <f t="array" ref="F276">5*LOG10(((c_light/1000/H_0_SAM)*(B276/60)*SUMPRODUCT($J$2:$AD$2,1/SQRT(Omega_m*(1+$J$1:$AD$1*B276)^3+Omega_L)))*(1+B276)*100000)</f>
        <v>34.808547967957743</v>
      </c>
      <c r="G276" s="89">
        <f t="shared" si="4"/>
        <v>0.23254796795774269</v>
      </c>
    </row>
    <row r="277" spans="1:7" x14ac:dyDescent="0.6">
      <c r="A277" s="76" t="s">
        <v>1004</v>
      </c>
      <c r="B277" s="87">
        <v>2.0230000000000001E-2</v>
      </c>
      <c r="C277" s="88">
        <v>34.648200000000003</v>
      </c>
      <c r="D277" s="88">
        <v>0.18783</v>
      </c>
      <c r="E277" s="76">
        <v>0</v>
      </c>
      <c r="F277" s="89" cm="1">
        <f t="array" ref="F277">5*LOG10(((c_light/1000/H_0_SAM)*(B277/60)*SUMPRODUCT($J$2:$AD$2,1/SQRT(Omega_m*(1+$J$1:$AD$1*B277)^3+Omega_L)))*(1+B277)*100000)</f>
        <v>34.808547967957743</v>
      </c>
      <c r="G277" s="89">
        <f t="shared" si="4"/>
        <v>0.16034796795774042</v>
      </c>
    </row>
    <row r="278" spans="1:7" x14ac:dyDescent="0.6">
      <c r="A278" s="76" t="s">
        <v>1005</v>
      </c>
      <c r="B278" s="87">
        <v>2.0240000000000001E-2</v>
      </c>
      <c r="C278" s="88">
        <v>34.998800000000003</v>
      </c>
      <c r="D278" s="88">
        <v>0.18770999999999999</v>
      </c>
      <c r="E278" s="76">
        <v>0</v>
      </c>
      <c r="F278" s="89" cm="1">
        <f t="array" ref="F278">5*LOG10(((c_light/1000/H_0_SAM)*(B278/60)*SUMPRODUCT($J$2:$AD$2,1/SQRT(Omega_m*(1+$J$1:$AD$1*B278)^3+Omega_L)))*(1+B278)*100000)</f>
        <v>34.809637131519615</v>
      </c>
      <c r="G278" s="89">
        <f t="shared" si="4"/>
        <v>-0.18916286848038766</v>
      </c>
    </row>
    <row r="279" spans="1:7" x14ac:dyDescent="0.6">
      <c r="A279" s="76" t="s">
        <v>1006</v>
      </c>
      <c r="B279" s="87">
        <v>2.034E-2</v>
      </c>
      <c r="C279" s="88">
        <v>34.816499999999998</v>
      </c>
      <c r="D279" s="88">
        <v>0.24182999999999999</v>
      </c>
      <c r="E279" s="76">
        <v>0</v>
      </c>
      <c r="F279" s="89" cm="1">
        <f t="array" ref="F279">5*LOG10(((c_light/1000/H_0_SAM)*(B279/60)*SUMPRODUCT($J$2:$AD$2,1/SQRT(Omega_m*(1+$J$1:$AD$1*B279)^3+Omega_L)))*(1+B279)*100000)</f>
        <v>34.820499686222298</v>
      </c>
      <c r="G279" s="89">
        <f t="shared" si="4"/>
        <v>3.9996862223006246E-3</v>
      </c>
    </row>
    <row r="280" spans="1:7" x14ac:dyDescent="0.6">
      <c r="A280" s="76" t="s">
        <v>1007</v>
      </c>
      <c r="B280" s="87">
        <v>2.034E-2</v>
      </c>
      <c r="C280" s="88">
        <v>34.5749</v>
      </c>
      <c r="D280" s="88">
        <v>0.37581999999999999</v>
      </c>
      <c r="E280" s="76">
        <v>0</v>
      </c>
      <c r="F280" s="89" cm="1">
        <f t="array" ref="F280">5*LOG10(((c_light/1000/H_0_SAM)*(B280/60)*SUMPRODUCT($J$2:$AD$2,1/SQRT(Omega_m*(1+$J$1:$AD$1*B280)^3+Omega_L)))*(1+B280)*100000)</f>
        <v>34.820499686222298</v>
      </c>
      <c r="G280" s="89">
        <f t="shared" si="4"/>
        <v>0.24559968622229889</v>
      </c>
    </row>
    <row r="281" spans="1:7" x14ac:dyDescent="0.6">
      <c r="A281" s="76" t="s">
        <v>1008</v>
      </c>
      <c r="B281" s="87">
        <v>2.035E-2</v>
      </c>
      <c r="C281" s="88">
        <v>34.570900000000002</v>
      </c>
      <c r="D281" s="88">
        <v>0.18770999999999999</v>
      </c>
      <c r="E281" s="76">
        <v>0</v>
      </c>
      <c r="F281" s="89" cm="1">
        <f t="array" ref="F281">5*LOG10(((c_light/1000/H_0_SAM)*(B281/60)*SUMPRODUCT($J$2:$AD$2,1/SQRT(Omega_m*(1+$J$1:$AD$1*B281)^3+Omega_L)))*(1+B281)*100000)</f>
        <v>34.821583045039461</v>
      </c>
      <c r="G281" s="89">
        <f t="shared" si="4"/>
        <v>0.25068304503945882</v>
      </c>
    </row>
    <row r="282" spans="1:7" x14ac:dyDescent="0.6">
      <c r="A282" s="76" t="s">
        <v>1008</v>
      </c>
      <c r="B282" s="87">
        <v>2.035E-2</v>
      </c>
      <c r="C282" s="88">
        <v>34.565600000000003</v>
      </c>
      <c r="D282" s="88">
        <v>0.17771999999999999</v>
      </c>
      <c r="E282" s="76">
        <v>0</v>
      </c>
      <c r="F282" s="89" cm="1">
        <f t="array" ref="F282">5*LOG10(((c_light/1000/H_0_SAM)*(B282/60)*SUMPRODUCT($J$2:$AD$2,1/SQRT(Omega_m*(1+$J$1:$AD$1*B282)^3+Omega_L)))*(1+B282)*100000)</f>
        <v>34.821583045039461</v>
      </c>
      <c r="G282" s="89">
        <f t="shared" si="4"/>
        <v>0.25598304503945712</v>
      </c>
    </row>
    <row r="283" spans="1:7" x14ac:dyDescent="0.6">
      <c r="A283" s="76" t="s">
        <v>1008</v>
      </c>
      <c r="B283" s="87">
        <v>2.035E-2</v>
      </c>
      <c r="C283" s="88">
        <v>34.493099999999998</v>
      </c>
      <c r="D283" s="88">
        <v>0.19075</v>
      </c>
      <c r="E283" s="76">
        <v>0</v>
      </c>
      <c r="F283" s="89" cm="1">
        <f t="array" ref="F283">5*LOG10(((c_light/1000/H_0_SAM)*(B283/60)*SUMPRODUCT($J$2:$AD$2,1/SQRT(Omega_m*(1+$J$1:$AD$1*B283)^3+Omega_L)))*(1+B283)*100000)</f>
        <v>34.821583045039461</v>
      </c>
      <c r="G283" s="89">
        <f t="shared" si="4"/>
        <v>0.32848304503946224</v>
      </c>
    </row>
    <row r="284" spans="1:7" x14ac:dyDescent="0.6">
      <c r="A284" s="76" t="s">
        <v>1009</v>
      </c>
      <c r="B284" s="87">
        <v>2.044E-2</v>
      </c>
      <c r="C284" s="88">
        <v>34.655200000000001</v>
      </c>
      <c r="D284" s="88">
        <v>0.21459</v>
      </c>
      <c r="E284" s="76">
        <v>0</v>
      </c>
      <c r="F284" s="89" cm="1">
        <f t="array" ref="F284">5*LOG10(((c_light/1000/H_0_SAM)*(B284/60)*SUMPRODUCT($J$2:$AD$2,1/SQRT(Omega_m*(1+$J$1:$AD$1*B284)^3+Omega_L)))*(1+B284)*100000)</f>
        <v>34.831309729280512</v>
      </c>
      <c r="G284" s="89">
        <f t="shared" si="4"/>
        <v>0.17610972928051183</v>
      </c>
    </row>
    <row r="285" spans="1:7" x14ac:dyDescent="0.6">
      <c r="A285" s="76" t="s">
        <v>1010</v>
      </c>
      <c r="B285" s="87">
        <v>2.0490000000000001E-2</v>
      </c>
      <c r="C285" s="88">
        <v>35.126300000000001</v>
      </c>
      <c r="D285" s="88">
        <v>0.37578</v>
      </c>
      <c r="E285" s="76">
        <v>0</v>
      </c>
      <c r="F285" s="89" cm="1">
        <f t="array" ref="F285">5*LOG10(((c_light/1000/H_0_SAM)*(B285/60)*SUMPRODUCT($J$2:$AD$2,1/SQRT(Omega_m*(1+$J$1:$AD$1*B285)^3+Omega_L)))*(1+B285)*100000)</f>
        <v>34.836695219340292</v>
      </c>
      <c r="G285" s="89">
        <f t="shared" si="4"/>
        <v>-0.28960478065970818</v>
      </c>
    </row>
    <row r="286" spans="1:7" x14ac:dyDescent="0.6">
      <c r="A286" s="76" t="s">
        <v>1011</v>
      </c>
      <c r="B286" s="87">
        <v>2.052E-2</v>
      </c>
      <c r="C286" s="88">
        <v>34.555999999999997</v>
      </c>
      <c r="D286" s="88">
        <v>0.33389999999999997</v>
      </c>
      <c r="E286" s="76">
        <v>0</v>
      </c>
      <c r="F286" s="89" cm="1">
        <f t="array" ref="F286">5*LOG10(((c_light/1000/H_0_SAM)*(B286/60)*SUMPRODUCT($J$2:$AD$2,1/SQRT(Omega_m*(1+$J$1:$AD$1*B286)^3+Omega_L)))*(1+B286)*100000)</f>
        <v>34.839920299882806</v>
      </c>
      <c r="G286" s="89">
        <f t="shared" si="4"/>
        <v>0.28392029988280854</v>
      </c>
    </row>
    <row r="287" spans="1:7" x14ac:dyDescent="0.6">
      <c r="A287" s="76" t="s">
        <v>1012</v>
      </c>
      <c r="B287" s="87">
        <v>2.0559999999999998E-2</v>
      </c>
      <c r="C287" s="88">
        <v>34.416800000000002</v>
      </c>
      <c r="D287" s="88">
        <v>0.21715999999999999</v>
      </c>
      <c r="E287" s="76">
        <v>0</v>
      </c>
      <c r="F287" s="89" cm="1">
        <f t="array" ref="F287">5*LOG10(((c_light/1000/H_0_SAM)*(B287/60)*SUMPRODUCT($J$2:$AD$2,1/SQRT(Omega_m*(1+$J$1:$AD$1*B287)^3+Omega_L)))*(1+B287)*100000)</f>
        <v>34.844213186417321</v>
      </c>
      <c r="G287" s="89">
        <f t="shared" si="4"/>
        <v>0.42741318641731851</v>
      </c>
    </row>
    <row r="288" spans="1:7" x14ac:dyDescent="0.6">
      <c r="A288" s="76" t="s">
        <v>1013</v>
      </c>
      <c r="B288" s="87">
        <v>2.0559999999999998E-2</v>
      </c>
      <c r="C288" s="88">
        <v>34.564700000000002</v>
      </c>
      <c r="D288" s="88">
        <v>0.24951000000000001</v>
      </c>
      <c r="E288" s="76">
        <v>0</v>
      </c>
      <c r="F288" s="89" cm="1">
        <f t="array" ref="F288">5*LOG10(((c_light/1000/H_0_SAM)*(B288/60)*SUMPRODUCT($J$2:$AD$2,1/SQRT(Omega_m*(1+$J$1:$AD$1*B288)^3+Omega_L)))*(1+B288)*100000)</f>
        <v>34.844213186417321</v>
      </c>
      <c r="G288" s="89">
        <f t="shared" si="4"/>
        <v>0.27951318641731859</v>
      </c>
    </row>
    <row r="289" spans="1:7" x14ac:dyDescent="0.6">
      <c r="A289" s="76" t="s">
        <v>1014</v>
      </c>
      <c r="B289" s="87">
        <v>2.0809999999999999E-2</v>
      </c>
      <c r="C289" s="88">
        <v>34.4863</v>
      </c>
      <c r="D289" s="88">
        <v>0.33044000000000001</v>
      </c>
      <c r="E289" s="76">
        <v>0</v>
      </c>
      <c r="F289" s="89" cm="1">
        <f t="array" ref="F289">5*LOG10(((c_light/1000/H_0_SAM)*(B289/60)*SUMPRODUCT($J$2:$AD$2,1/SQRT(Omega_m*(1+$J$1:$AD$1*B289)^3+Omega_L)))*(1+B289)*100000)</f>
        <v>34.870858681147411</v>
      </c>
      <c r="G289" s="89">
        <f t="shared" si="4"/>
        <v>0.38455868114741065</v>
      </c>
    </row>
    <row r="290" spans="1:7" x14ac:dyDescent="0.6">
      <c r="A290" s="76" t="s">
        <v>1015</v>
      </c>
      <c r="B290" s="87">
        <v>2.0820000000000002E-2</v>
      </c>
      <c r="C290" s="88">
        <v>34.673999999999999</v>
      </c>
      <c r="D290" s="88">
        <v>0.23089999999999999</v>
      </c>
      <c r="E290" s="76">
        <v>0</v>
      </c>
      <c r="F290" s="89" cm="1">
        <f t="array" ref="F290">5*LOG10(((c_light/1000/H_0_SAM)*(B290/60)*SUMPRODUCT($J$2:$AD$2,1/SQRT(Omega_m*(1+$J$1:$AD$1*B290)^3+Omega_L)))*(1+B290)*100000)</f>
        <v>34.871917928664956</v>
      </c>
      <c r="G290" s="89">
        <f t="shared" si="4"/>
        <v>0.19791792866495683</v>
      </c>
    </row>
    <row r="291" spans="1:7" x14ac:dyDescent="0.6">
      <c r="A291" s="76" t="s">
        <v>1015</v>
      </c>
      <c r="B291" s="87">
        <v>2.0820000000000002E-2</v>
      </c>
      <c r="C291" s="88">
        <v>34.634900000000002</v>
      </c>
      <c r="D291" s="88">
        <v>0.25451000000000001</v>
      </c>
      <c r="E291" s="76">
        <v>0</v>
      </c>
      <c r="F291" s="89" cm="1">
        <f t="array" ref="F291">5*LOG10(((c_light/1000/H_0_SAM)*(B291/60)*SUMPRODUCT($J$2:$AD$2,1/SQRT(Omega_m*(1+$J$1:$AD$1*B291)^3+Omega_L)))*(1+B291)*100000)</f>
        <v>34.871917928664956</v>
      </c>
      <c r="G291" s="89">
        <f t="shared" si="4"/>
        <v>0.23701792866495452</v>
      </c>
    </row>
    <row r="292" spans="1:7" x14ac:dyDescent="0.6">
      <c r="A292" s="76" t="s">
        <v>1016</v>
      </c>
      <c r="B292" s="87">
        <v>2.0899999999999998E-2</v>
      </c>
      <c r="C292" s="88">
        <v>34.811799999999998</v>
      </c>
      <c r="D292" s="88">
        <v>0.30021999999999999</v>
      </c>
      <c r="E292" s="76">
        <v>0</v>
      </c>
      <c r="F292" s="89" cm="1">
        <f t="array" ref="F292">5*LOG10(((c_light/1000/H_0_SAM)*(B292/60)*SUMPRODUCT($J$2:$AD$2,1/SQRT(Omega_m*(1+$J$1:$AD$1*B292)^3+Omega_L)))*(1+B292)*100000)</f>
        <v>34.880373906366358</v>
      </c>
      <c r="G292" s="89">
        <f t="shared" si="4"/>
        <v>6.8573906366360404E-2</v>
      </c>
    </row>
    <row r="293" spans="1:7" x14ac:dyDescent="0.6">
      <c r="A293" s="76" t="s">
        <v>1017</v>
      </c>
      <c r="B293" s="87">
        <v>2.0959999999999999E-2</v>
      </c>
      <c r="C293" s="88">
        <v>34.695599999999999</v>
      </c>
      <c r="D293" s="88">
        <v>0.21648999999999999</v>
      </c>
      <c r="E293" s="76">
        <v>0</v>
      </c>
      <c r="F293" s="89" cm="1">
        <f t="array" ref="F293">5*LOG10(((c_light/1000/H_0_SAM)*(B293/60)*SUMPRODUCT($J$2:$AD$2,1/SQRT(Omega_m*(1+$J$1:$AD$1*B293)^3+Omega_L)))*(1+B293)*100000)</f>
        <v>34.886694987094188</v>
      </c>
      <c r="G293" s="89">
        <f t="shared" si="4"/>
        <v>0.19109498709418915</v>
      </c>
    </row>
    <row r="294" spans="1:7" x14ac:dyDescent="0.6">
      <c r="A294" s="76" t="s">
        <v>1018</v>
      </c>
      <c r="B294" s="87">
        <v>2.1059999999999999E-2</v>
      </c>
      <c r="C294" s="88">
        <v>34.6693</v>
      </c>
      <c r="D294" s="88">
        <v>0.23069000000000001</v>
      </c>
      <c r="E294" s="76">
        <v>0</v>
      </c>
      <c r="F294" s="89" cm="1">
        <f t="array" ref="F294">5*LOG10(((c_light/1000/H_0_SAM)*(B294/60)*SUMPRODUCT($J$2:$AD$2,1/SQRT(Omega_m*(1+$J$1:$AD$1*B294)^3+Omega_L)))*(1+B294)*100000)</f>
        <v>34.897190610204532</v>
      </c>
      <c r="G294" s="89">
        <f t="shared" si="4"/>
        <v>0.22789061020453261</v>
      </c>
    </row>
    <row r="295" spans="1:7" x14ac:dyDescent="0.6">
      <c r="A295" s="76" t="s">
        <v>1019</v>
      </c>
      <c r="B295" s="87">
        <v>2.1160000000000002E-2</v>
      </c>
      <c r="C295" s="88">
        <v>34.375</v>
      </c>
      <c r="D295" s="88">
        <v>0.20308999999999999</v>
      </c>
      <c r="E295" s="76">
        <v>0</v>
      </c>
      <c r="F295" s="89" cm="1">
        <f t="array" ref="F295">5*LOG10(((c_light/1000/H_0_SAM)*(B295/60)*SUMPRODUCT($J$2:$AD$2,1/SQRT(Omega_m*(1+$J$1:$AD$1*B295)^3+Omega_L)))*(1+B295)*100000)</f>
        <v>34.907637249298929</v>
      </c>
      <c r="G295" s="89">
        <f t="shared" si="4"/>
        <v>0.53263724929892931</v>
      </c>
    </row>
    <row r="296" spans="1:7" x14ac:dyDescent="0.6">
      <c r="A296" s="76" t="s">
        <v>1020</v>
      </c>
      <c r="B296" s="87">
        <v>2.1160000000000002E-2</v>
      </c>
      <c r="C296" s="88">
        <v>34.819400000000002</v>
      </c>
      <c r="D296" s="88">
        <v>0.19642000000000001</v>
      </c>
      <c r="E296" s="76">
        <v>0</v>
      </c>
      <c r="F296" s="89" cm="1">
        <f t="array" ref="F296">5*LOG10(((c_light/1000/H_0_SAM)*(B296/60)*SUMPRODUCT($J$2:$AD$2,1/SQRT(Omega_m*(1+$J$1:$AD$1*B296)^3+Omega_L)))*(1+B296)*100000)</f>
        <v>34.907637249298929</v>
      </c>
      <c r="G296" s="89">
        <f t="shared" si="4"/>
        <v>8.8237249298927622E-2</v>
      </c>
    </row>
    <row r="297" spans="1:7" x14ac:dyDescent="0.6">
      <c r="A297" s="76" t="s">
        <v>1021</v>
      </c>
      <c r="B297" s="87">
        <v>2.1180000000000001E-2</v>
      </c>
      <c r="C297" s="88">
        <v>35.118000000000002</v>
      </c>
      <c r="D297" s="88">
        <v>0.31069000000000002</v>
      </c>
      <c r="E297" s="76">
        <v>0</v>
      </c>
      <c r="F297" s="89" cm="1">
        <f t="array" ref="F297">5*LOG10(((c_light/1000/H_0_SAM)*(B297/60)*SUMPRODUCT($J$2:$AD$2,1/SQRT(Omega_m*(1+$J$1:$AD$1*B297)^3+Omega_L)))*(1+B297)*100000)</f>
        <v>34.909720739778678</v>
      </c>
      <c r="G297" s="89">
        <f t="shared" si="4"/>
        <v>-0.20827926022132459</v>
      </c>
    </row>
    <row r="298" spans="1:7" x14ac:dyDescent="0.6">
      <c r="A298" s="76" t="s">
        <v>1021</v>
      </c>
      <c r="B298" s="87">
        <v>2.1180000000000001E-2</v>
      </c>
      <c r="C298" s="88">
        <v>35.205599999999997</v>
      </c>
      <c r="D298" s="88">
        <v>0.30409999999999998</v>
      </c>
      <c r="E298" s="76">
        <v>0</v>
      </c>
      <c r="F298" s="89" cm="1">
        <f t="array" ref="F298">5*LOG10(((c_light/1000/H_0_SAM)*(B298/60)*SUMPRODUCT($J$2:$AD$2,1/SQRT(Omega_m*(1+$J$1:$AD$1*B298)^3+Omega_L)))*(1+B298)*100000)</f>
        <v>34.909720739778678</v>
      </c>
      <c r="G298" s="89">
        <f t="shared" si="4"/>
        <v>-0.29587926022131938</v>
      </c>
    </row>
    <row r="299" spans="1:7" x14ac:dyDescent="0.6">
      <c r="A299" s="76" t="s">
        <v>1022</v>
      </c>
      <c r="B299" s="87">
        <v>2.1309999999999999E-2</v>
      </c>
      <c r="C299" s="88">
        <v>34.756100000000004</v>
      </c>
      <c r="D299" s="88">
        <v>0.18057999999999999</v>
      </c>
      <c r="E299" s="76">
        <v>0</v>
      </c>
      <c r="F299" s="89" cm="1">
        <f t="array" ref="F299">5*LOG10(((c_light/1000/H_0_SAM)*(B299/60)*SUMPRODUCT($J$2:$AD$2,1/SQRT(Omega_m*(1+$J$1:$AD$1*B299)^3+Omega_L)))*(1+B299)*100000)</f>
        <v>34.923216371049506</v>
      </c>
      <c r="G299" s="89">
        <f t="shared" si="4"/>
        <v>0.16711637104950228</v>
      </c>
    </row>
    <row r="300" spans="1:7" x14ac:dyDescent="0.6">
      <c r="A300" s="76" t="s">
        <v>1022</v>
      </c>
      <c r="B300" s="87">
        <v>2.1309999999999999E-2</v>
      </c>
      <c r="C300" s="88">
        <v>34.734400000000001</v>
      </c>
      <c r="D300" s="88">
        <v>0.17718</v>
      </c>
      <c r="E300" s="76">
        <v>0</v>
      </c>
      <c r="F300" s="89" cm="1">
        <f t="array" ref="F300">5*LOG10(((c_light/1000/H_0_SAM)*(B300/60)*SUMPRODUCT($J$2:$AD$2,1/SQRT(Omega_m*(1+$J$1:$AD$1*B300)^3+Omega_L)))*(1+B300)*100000)</f>
        <v>34.923216371049506</v>
      </c>
      <c r="G300" s="89">
        <f t="shared" si="4"/>
        <v>0.18881637104950499</v>
      </c>
    </row>
    <row r="301" spans="1:7" x14ac:dyDescent="0.6">
      <c r="A301" s="76" t="s">
        <v>1022</v>
      </c>
      <c r="B301" s="87">
        <v>2.1309999999999999E-2</v>
      </c>
      <c r="C301" s="88">
        <v>34.741900000000001</v>
      </c>
      <c r="D301" s="88">
        <v>0.18775</v>
      </c>
      <c r="E301" s="76">
        <v>0</v>
      </c>
      <c r="F301" s="89" cm="1">
        <f t="array" ref="F301">5*LOG10(((c_light/1000/H_0_SAM)*(B301/60)*SUMPRODUCT($J$2:$AD$2,1/SQRT(Omega_m*(1+$J$1:$AD$1*B301)^3+Omega_L)))*(1+B301)*100000)</f>
        <v>34.923216371049506</v>
      </c>
      <c r="G301" s="89">
        <f t="shared" si="4"/>
        <v>0.18131637104950471</v>
      </c>
    </row>
    <row r="302" spans="1:7" x14ac:dyDescent="0.6">
      <c r="A302" s="76" t="s">
        <v>1023</v>
      </c>
      <c r="B302" s="87">
        <v>2.1340000000000001E-2</v>
      </c>
      <c r="C302" s="88">
        <v>34.762700000000002</v>
      </c>
      <c r="D302" s="88">
        <v>0.33996999999999999</v>
      </c>
      <c r="E302" s="76">
        <v>0</v>
      </c>
      <c r="F302" s="89" cm="1">
        <f t="array" ref="F302">5*LOG10(((c_light/1000/H_0_SAM)*(B302/60)*SUMPRODUCT($J$2:$AD$2,1/SQRT(Omega_m*(1+$J$1:$AD$1*B302)^3+Omega_L)))*(1+B302)*100000)</f>
        <v>34.926319229470707</v>
      </c>
      <c r="G302" s="89">
        <f t="shared" si="4"/>
        <v>0.1636192294707044</v>
      </c>
    </row>
    <row r="303" spans="1:7" x14ac:dyDescent="0.6">
      <c r="A303" s="76" t="s">
        <v>1024</v>
      </c>
      <c r="B303" s="87">
        <v>2.137E-2</v>
      </c>
      <c r="C303" s="88">
        <v>34.346800000000002</v>
      </c>
      <c r="D303" s="88">
        <v>0.19900999999999999</v>
      </c>
      <c r="E303" s="76">
        <v>0</v>
      </c>
      <c r="F303" s="89" cm="1">
        <f t="array" ref="F303">5*LOG10(((c_light/1000/H_0_SAM)*(B303/60)*SUMPRODUCT($J$2:$AD$2,1/SQRT(Omega_m*(1+$J$1:$AD$1*B303)^3+Omega_L)))*(1+B303)*100000)</f>
        <v>34.929417794249353</v>
      </c>
      <c r="G303" s="89">
        <f t="shared" si="4"/>
        <v>0.58261779424935156</v>
      </c>
    </row>
    <row r="304" spans="1:7" x14ac:dyDescent="0.6">
      <c r="A304" s="76" t="s">
        <v>1025</v>
      </c>
      <c r="B304" s="87">
        <v>2.1510000000000001E-2</v>
      </c>
      <c r="C304" s="88">
        <v>34.5899</v>
      </c>
      <c r="D304" s="88">
        <v>0.19918</v>
      </c>
      <c r="E304" s="76">
        <v>0</v>
      </c>
      <c r="F304" s="89" cm="1">
        <f t="array" ref="F304">5*LOG10(((c_light/1000/H_0_SAM)*(B304/60)*SUMPRODUCT($J$2:$AD$2,1/SQRT(Omega_m*(1+$J$1:$AD$1*B304)^3+Omega_L)))*(1+B304)*100000)</f>
        <v>34.943821344152724</v>
      </c>
      <c r="G304" s="89">
        <f t="shared" si="4"/>
        <v>0.3539213441527238</v>
      </c>
    </row>
    <row r="305" spans="1:7" x14ac:dyDescent="0.6">
      <c r="A305" s="76" t="s">
        <v>1026</v>
      </c>
      <c r="B305" s="87">
        <v>2.1530000000000001E-2</v>
      </c>
      <c r="C305" s="88">
        <v>34.611400000000003</v>
      </c>
      <c r="D305" s="88">
        <v>0.39332</v>
      </c>
      <c r="E305" s="76">
        <v>0</v>
      </c>
      <c r="F305" s="89" cm="1">
        <f t="array" ref="F305">5*LOG10(((c_light/1000/H_0_SAM)*(B305/60)*SUMPRODUCT($J$2:$AD$2,1/SQRT(Omega_m*(1+$J$1:$AD$1*B305)^3+Omega_L)))*(1+B305)*100000)</f>
        <v>34.94587145305357</v>
      </c>
      <c r="G305" s="89">
        <f t="shared" si="4"/>
        <v>0.33447145305356685</v>
      </c>
    </row>
    <row r="306" spans="1:7" x14ac:dyDescent="0.6">
      <c r="A306" s="76" t="s">
        <v>1027</v>
      </c>
      <c r="B306" s="87">
        <v>2.1700000000000001E-2</v>
      </c>
      <c r="C306" s="88">
        <v>34.770899999999997</v>
      </c>
      <c r="D306" s="88">
        <v>0.19586000000000001</v>
      </c>
      <c r="E306" s="76">
        <v>0</v>
      </c>
      <c r="F306" s="89" cm="1">
        <f t="array" ref="F306">5*LOG10(((c_light/1000/H_0_SAM)*(B306/60)*SUMPRODUCT($J$2:$AD$2,1/SQRT(Omega_m*(1+$J$1:$AD$1*B306)^3+Omega_L)))*(1+B306)*100000)</f>
        <v>34.963222034253349</v>
      </c>
      <c r="G306" s="89">
        <f t="shared" si="4"/>
        <v>0.19232203425335115</v>
      </c>
    </row>
    <row r="307" spans="1:7" x14ac:dyDescent="0.6">
      <c r="A307" s="76" t="s">
        <v>1028</v>
      </c>
      <c r="B307" s="87">
        <v>2.1829999999999999E-2</v>
      </c>
      <c r="C307" s="88">
        <v>34.758299999999998</v>
      </c>
      <c r="D307" s="88">
        <v>0.28344999999999998</v>
      </c>
      <c r="E307" s="76">
        <v>0</v>
      </c>
      <c r="F307" s="89" cm="1">
        <f t="array" ref="F307">5*LOG10(((c_light/1000/H_0_SAM)*(B307/60)*SUMPRODUCT($J$2:$AD$2,1/SQRT(Omega_m*(1+$J$1:$AD$1*B307)^3+Omega_L)))*(1+B307)*100000)</f>
        <v>34.976400043721824</v>
      </c>
      <c r="G307" s="89">
        <f t="shared" si="4"/>
        <v>0.2181000437218259</v>
      </c>
    </row>
    <row r="308" spans="1:7" x14ac:dyDescent="0.6">
      <c r="A308" s="76" t="s">
        <v>1028</v>
      </c>
      <c r="B308" s="87">
        <v>2.1829999999999999E-2</v>
      </c>
      <c r="C308" s="88">
        <v>34.7742</v>
      </c>
      <c r="D308" s="88">
        <v>0.25364999999999999</v>
      </c>
      <c r="E308" s="76">
        <v>0</v>
      </c>
      <c r="F308" s="89" cm="1">
        <f t="array" ref="F308">5*LOG10(((c_light/1000/H_0_SAM)*(B308/60)*SUMPRODUCT($J$2:$AD$2,1/SQRT(Omega_m*(1+$J$1:$AD$1*B308)^3+Omega_L)))*(1+B308)*100000)</f>
        <v>34.976400043721824</v>
      </c>
      <c r="G308" s="89">
        <f t="shared" si="4"/>
        <v>0.20220004372182387</v>
      </c>
    </row>
    <row r="309" spans="1:7" x14ac:dyDescent="0.6">
      <c r="A309" s="76" t="s">
        <v>1029</v>
      </c>
      <c r="B309" s="87">
        <v>2.197E-2</v>
      </c>
      <c r="C309" s="88">
        <v>34.858899999999998</v>
      </c>
      <c r="D309" s="88">
        <v>0.24645</v>
      </c>
      <c r="E309" s="76">
        <v>0</v>
      </c>
      <c r="F309" s="89" cm="1">
        <f t="array" ref="F309">5*LOG10(((c_light/1000/H_0_SAM)*(B309/60)*SUMPRODUCT($J$2:$AD$2,1/SQRT(Omega_m*(1+$J$1:$AD$1*B309)^3+Omega_L)))*(1+B309)*100000)</f>
        <v>34.990505604863188</v>
      </c>
      <c r="G309" s="89">
        <f t="shared" si="4"/>
        <v>0.13160560486318928</v>
      </c>
    </row>
    <row r="310" spans="1:7" x14ac:dyDescent="0.6">
      <c r="A310" s="76" t="s">
        <v>1030</v>
      </c>
      <c r="B310" s="87">
        <v>2.198E-2</v>
      </c>
      <c r="C310" s="88">
        <v>34.965400000000002</v>
      </c>
      <c r="D310" s="88">
        <v>0.21697</v>
      </c>
      <c r="E310" s="76">
        <v>0</v>
      </c>
      <c r="F310" s="89" cm="1">
        <f t="array" ref="F310">5*LOG10(((c_light/1000/H_0_SAM)*(B310/60)*SUMPRODUCT($J$2:$AD$2,1/SQRT(Omega_m*(1+$J$1:$AD$1*B310)^3+Omega_L)))*(1+B310)*100000)</f>
        <v>34.991509755700648</v>
      </c>
      <c r="G310" s="89">
        <f t="shared" si="4"/>
        <v>2.610975570064511E-2</v>
      </c>
    </row>
    <row r="311" spans="1:7" x14ac:dyDescent="0.6">
      <c r="A311" s="76" t="s">
        <v>1031</v>
      </c>
      <c r="B311" s="87">
        <v>2.2030000000000001E-2</v>
      </c>
      <c r="C311" s="88">
        <v>34.673900000000003</v>
      </c>
      <c r="D311" s="88">
        <v>0.24779000000000001</v>
      </c>
      <c r="E311" s="76">
        <v>0</v>
      </c>
      <c r="F311" s="89" cm="1">
        <f t="array" ref="F311">5*LOG10(((c_light/1000/H_0_SAM)*(B311/60)*SUMPRODUCT($J$2:$AD$2,1/SQRT(Omega_m*(1+$J$1:$AD$1*B311)^3+Omega_L)))*(1+B311)*100000)</f>
        <v>34.99652377245264</v>
      </c>
      <c r="G311" s="89">
        <f t="shared" si="4"/>
        <v>0.32262377245263707</v>
      </c>
    </row>
    <row r="312" spans="1:7" x14ac:dyDescent="0.6">
      <c r="A312" s="76" t="s">
        <v>1032</v>
      </c>
      <c r="B312" s="87">
        <v>2.205E-2</v>
      </c>
      <c r="C312" s="88">
        <v>34.747700000000002</v>
      </c>
      <c r="D312" s="88">
        <v>0.19908999999999999</v>
      </c>
      <c r="E312" s="76">
        <v>0</v>
      </c>
      <c r="F312" s="89" cm="1">
        <f t="array" ref="F312">5*LOG10(((c_light/1000/H_0_SAM)*(B312/60)*SUMPRODUCT($J$2:$AD$2,1/SQRT(Omega_m*(1+$J$1:$AD$1*B312)^3+Omega_L)))*(1+B312)*100000)</f>
        <v>34.998526242622773</v>
      </c>
      <c r="G312" s="89">
        <f t="shared" si="4"/>
        <v>0.25082624262277164</v>
      </c>
    </row>
    <row r="313" spans="1:7" x14ac:dyDescent="0.6">
      <c r="A313" s="76" t="s">
        <v>1033</v>
      </c>
      <c r="B313" s="87">
        <v>2.2069999999999999E-2</v>
      </c>
      <c r="C313" s="88">
        <v>34.884700000000002</v>
      </c>
      <c r="D313" s="88">
        <v>0.18603</v>
      </c>
      <c r="E313" s="76">
        <v>0</v>
      </c>
      <c r="F313" s="89" cm="1">
        <f t="array" ref="F313">5*LOG10(((c_light/1000/H_0_SAM)*(B313/60)*SUMPRODUCT($J$2:$AD$2,1/SQRT(Omega_m*(1+$J$1:$AD$1*B313)^3+Omega_L)))*(1+B313)*100000)</f>
        <v>35.000526925362493</v>
      </c>
      <c r="G313" s="89">
        <f t="shared" si="4"/>
        <v>0.11582692536249084</v>
      </c>
    </row>
    <row r="314" spans="1:7" x14ac:dyDescent="0.6">
      <c r="A314" s="76" t="s">
        <v>1034</v>
      </c>
      <c r="B314" s="87">
        <v>2.215E-2</v>
      </c>
      <c r="C314" s="88">
        <v>35.048099999999998</v>
      </c>
      <c r="D314" s="88">
        <v>0.28863</v>
      </c>
      <c r="E314" s="76">
        <v>0</v>
      </c>
      <c r="F314" s="89" cm="1">
        <f t="array" ref="F314">5*LOG10(((c_light/1000/H_0_SAM)*(B314/60)*SUMPRODUCT($J$2:$AD$2,1/SQRT(Omega_m*(1+$J$1:$AD$1*B314)^3+Omega_L)))*(1+B314)*100000)</f>
        <v>35.008511846613771</v>
      </c>
      <c r="G314" s="89">
        <f t="shared" si="4"/>
        <v>-3.9588153386226566E-2</v>
      </c>
    </row>
    <row r="315" spans="1:7" x14ac:dyDescent="0.6">
      <c r="A315" s="76" t="s">
        <v>1035</v>
      </c>
      <c r="B315" s="87">
        <v>2.2190000000000001E-2</v>
      </c>
      <c r="C315" s="88">
        <v>35.013599999999997</v>
      </c>
      <c r="D315" s="88">
        <v>0.21615999999999999</v>
      </c>
      <c r="E315" s="76">
        <v>0</v>
      </c>
      <c r="F315" s="89" cm="1">
        <f t="array" ref="F315">5*LOG10(((c_light/1000/H_0_SAM)*(B315/60)*SUMPRODUCT($J$2:$AD$2,1/SQRT(Omega_m*(1+$J$1:$AD$1*B315)^3+Omega_L)))*(1+B315)*100000)</f>
        <v>35.012493666387662</v>
      </c>
      <c r="G315" s="89">
        <f t="shared" si="4"/>
        <v>-1.1063336123342538E-3</v>
      </c>
    </row>
    <row r="316" spans="1:7" x14ac:dyDescent="0.6">
      <c r="A316" s="76" t="s">
        <v>1036</v>
      </c>
      <c r="B316" s="87">
        <v>2.2280000000000001E-2</v>
      </c>
      <c r="C316" s="88">
        <v>34.805900000000001</v>
      </c>
      <c r="D316" s="88">
        <v>0.18018000000000001</v>
      </c>
      <c r="E316" s="76">
        <v>0</v>
      </c>
      <c r="F316" s="89" cm="1">
        <f t="array" ref="F316">5*LOG10(((c_light/1000/H_0_SAM)*(B316/60)*SUMPRODUCT($J$2:$AD$2,1/SQRT(Omega_m*(1+$J$1:$AD$1*B316)^3+Omega_L)))*(1+B316)*100000)</f>
        <v>35.021426986959703</v>
      </c>
      <c r="G316" s="89">
        <f t="shared" si="4"/>
        <v>0.21552698695970207</v>
      </c>
    </row>
    <row r="317" spans="1:7" x14ac:dyDescent="0.6">
      <c r="A317" s="76" t="s">
        <v>1036</v>
      </c>
      <c r="B317" s="87">
        <v>2.2280000000000001E-2</v>
      </c>
      <c r="C317" s="88">
        <v>34.823399999999999</v>
      </c>
      <c r="D317" s="88">
        <v>0.25811000000000001</v>
      </c>
      <c r="E317" s="76">
        <v>0</v>
      </c>
      <c r="F317" s="89" cm="1">
        <f t="array" ref="F317">5*LOG10(((c_light/1000/H_0_SAM)*(B317/60)*SUMPRODUCT($J$2:$AD$2,1/SQRT(Omega_m*(1+$J$1:$AD$1*B317)^3+Omega_L)))*(1+B317)*100000)</f>
        <v>35.021426986959703</v>
      </c>
      <c r="G317" s="89">
        <f t="shared" si="4"/>
        <v>0.19802698695970378</v>
      </c>
    </row>
    <row r="318" spans="1:7" x14ac:dyDescent="0.6">
      <c r="A318" s="76" t="s">
        <v>1037</v>
      </c>
      <c r="B318" s="87">
        <v>2.231E-2</v>
      </c>
      <c r="C318" s="88">
        <v>34.924500000000002</v>
      </c>
      <c r="D318" s="88">
        <v>0.16983999999999999</v>
      </c>
      <c r="E318" s="76">
        <v>0</v>
      </c>
      <c r="F318" s="89" cm="1">
        <f t="array" ref="F318">5*LOG10(((c_light/1000/H_0_SAM)*(B318/60)*SUMPRODUCT($J$2:$AD$2,1/SQRT(Omega_m*(1+$J$1:$AD$1*B318)^3+Omega_L)))*(1+B318)*100000)</f>
        <v>35.024396867987278</v>
      </c>
      <c r="G318" s="89">
        <f t="shared" si="4"/>
        <v>9.9896867987276039E-2</v>
      </c>
    </row>
    <row r="319" spans="1:7" x14ac:dyDescent="0.6">
      <c r="A319" s="76" t="s">
        <v>1038</v>
      </c>
      <c r="B319" s="87">
        <v>2.2339999999999999E-2</v>
      </c>
      <c r="C319" s="88">
        <v>34.7727</v>
      </c>
      <c r="D319" s="88">
        <v>0.19900000000000001</v>
      </c>
      <c r="E319" s="76">
        <v>0</v>
      </c>
      <c r="F319" s="89" cm="1">
        <f t="array" ref="F319">5*LOG10(((c_light/1000/H_0_SAM)*(B319/60)*SUMPRODUCT($J$2:$AD$2,1/SQRT(Omega_m*(1+$J$1:$AD$1*B319)^3+Omega_L)))*(1+B319)*100000)</f>
        <v>35.027362820437588</v>
      </c>
      <c r="G319" s="89">
        <f t="shared" si="4"/>
        <v>0.25466282043758781</v>
      </c>
    </row>
    <row r="320" spans="1:7" x14ac:dyDescent="0.6">
      <c r="A320" s="76" t="s">
        <v>1038</v>
      </c>
      <c r="B320" s="87">
        <v>2.2339999999999999E-2</v>
      </c>
      <c r="C320" s="88">
        <v>34.870399999999997</v>
      </c>
      <c r="D320" s="88">
        <v>0.20448</v>
      </c>
      <c r="E320" s="76">
        <v>0</v>
      </c>
      <c r="F320" s="89" cm="1">
        <f t="array" ref="F320">5*LOG10(((c_light/1000/H_0_SAM)*(B320/60)*SUMPRODUCT($J$2:$AD$2,1/SQRT(Omega_m*(1+$J$1:$AD$1*B320)^3+Omega_L)))*(1+B320)*100000)</f>
        <v>35.027362820437588</v>
      </c>
      <c r="G320" s="89">
        <f t="shared" si="4"/>
        <v>0.15696282043759169</v>
      </c>
    </row>
    <row r="321" spans="1:7" x14ac:dyDescent="0.6">
      <c r="A321" s="76" t="s">
        <v>1039</v>
      </c>
      <c r="B321" s="87">
        <v>2.2360000000000001E-2</v>
      </c>
      <c r="C321" s="88">
        <v>34.781399999999998</v>
      </c>
      <c r="D321" s="88">
        <v>0.22466</v>
      </c>
      <c r="E321" s="76">
        <v>0</v>
      </c>
      <c r="F321" s="89" cm="1">
        <f t="array" ref="F321">5*LOG10(((c_light/1000/H_0_SAM)*(B321/60)*SUMPRODUCT($J$2:$AD$2,1/SQRT(Omega_m*(1+$J$1:$AD$1*B321)^3+Omega_L)))*(1+B321)*100000)</f>
        <v>35.029337944734159</v>
      </c>
      <c r="G321" s="89">
        <f t="shared" si="4"/>
        <v>0.24793794473416142</v>
      </c>
    </row>
    <row r="322" spans="1:7" x14ac:dyDescent="0.6">
      <c r="A322" s="76" t="s">
        <v>1040</v>
      </c>
      <c r="B322" s="87">
        <v>2.239E-2</v>
      </c>
      <c r="C322" s="88">
        <v>34.7714</v>
      </c>
      <c r="D322" s="88">
        <v>0.30264999999999997</v>
      </c>
      <c r="E322" s="76">
        <v>0</v>
      </c>
      <c r="F322" s="89" cm="1">
        <f t="array" ref="F322">5*LOG10(((c_light/1000/H_0_SAM)*(B322/60)*SUMPRODUCT($J$2:$AD$2,1/SQRT(Omega_m*(1+$J$1:$AD$1*B322)^3+Omega_L)))*(1+B322)*100000)</f>
        <v>35.032297372953714</v>
      </c>
      <c r="G322" s="89">
        <f t="shared" si="4"/>
        <v>0.26089737295371407</v>
      </c>
    </row>
    <row r="323" spans="1:7" x14ac:dyDescent="0.6">
      <c r="A323" s="76" t="s">
        <v>1040</v>
      </c>
      <c r="B323" s="87">
        <v>2.239E-2</v>
      </c>
      <c r="C323" s="88">
        <v>34.860300000000002</v>
      </c>
      <c r="D323" s="88">
        <v>0.24312</v>
      </c>
      <c r="E323" s="76">
        <v>0</v>
      </c>
      <c r="F323" s="89" cm="1">
        <f t="array" ref="F323">5*LOG10(((c_light/1000/H_0_SAM)*(B323/60)*SUMPRODUCT($J$2:$AD$2,1/SQRT(Omega_m*(1+$J$1:$AD$1*B323)^3+Omega_L)))*(1+B323)*100000)</f>
        <v>35.032297372953714</v>
      </c>
      <c r="G323" s="89">
        <f t="shared" si="4"/>
        <v>0.17199737295371165</v>
      </c>
    </row>
    <row r="324" spans="1:7" x14ac:dyDescent="0.6">
      <c r="A324" s="76" t="s">
        <v>1041</v>
      </c>
      <c r="B324" s="87">
        <v>2.24E-2</v>
      </c>
      <c r="C324" s="88">
        <v>34.759</v>
      </c>
      <c r="D324" s="88">
        <v>0.28871999999999998</v>
      </c>
      <c r="E324" s="76">
        <v>0</v>
      </c>
      <c r="F324" s="89" cm="1">
        <f t="array" ref="F324">5*LOG10(((c_light/1000/H_0_SAM)*(B324/60)*SUMPRODUCT($J$2:$AD$2,1/SQRT(Omega_m*(1+$J$1:$AD$1*B324)^3+Omega_L)))*(1+B324)*100000)</f>
        <v>35.033282981718152</v>
      </c>
      <c r="G324" s="89">
        <f t="shared" si="4"/>
        <v>0.27428298171815158</v>
      </c>
    </row>
    <row r="325" spans="1:7" x14ac:dyDescent="0.6">
      <c r="A325" s="76" t="s">
        <v>1041</v>
      </c>
      <c r="B325" s="87">
        <v>2.24E-2</v>
      </c>
      <c r="C325" s="88">
        <v>34.799700000000001</v>
      </c>
      <c r="D325" s="88">
        <v>0.25527</v>
      </c>
      <c r="E325" s="76">
        <v>0</v>
      </c>
      <c r="F325" s="89" cm="1">
        <f t="array" ref="F325">5*LOG10(((c_light/1000/H_0_SAM)*(B325/60)*SUMPRODUCT($J$2:$AD$2,1/SQRT(Omega_m*(1+$J$1:$AD$1*B325)^3+Omega_L)))*(1+B325)*100000)</f>
        <v>35.033282981718152</v>
      </c>
      <c r="G325" s="89">
        <f t="shared" si="4"/>
        <v>0.23358298171815051</v>
      </c>
    </row>
    <row r="326" spans="1:7" x14ac:dyDescent="0.6">
      <c r="A326" s="76" t="s">
        <v>1042</v>
      </c>
      <c r="B326" s="87">
        <v>2.2409999999999999E-2</v>
      </c>
      <c r="C326" s="88">
        <v>35.039200000000001</v>
      </c>
      <c r="D326" s="88">
        <v>0.21453</v>
      </c>
      <c r="E326" s="76">
        <v>0</v>
      </c>
      <c r="F326" s="89" cm="1">
        <f t="array" ref="F326">5*LOG10(((c_light/1000/H_0_SAM)*(B326/60)*SUMPRODUCT($J$2:$AD$2,1/SQRT(Omega_m*(1+$J$1:$AD$1*B326)^3+Omega_L)))*(1+B326)*100000)</f>
        <v>35.034268157473093</v>
      </c>
      <c r="G326" s="89">
        <f t="shared" ref="G326:G389" si="5">F326-C326</f>
        <v>-4.9318425269078148E-3</v>
      </c>
    </row>
    <row r="327" spans="1:7" x14ac:dyDescent="0.6">
      <c r="A327" s="76" t="s">
        <v>1043</v>
      </c>
      <c r="B327" s="87">
        <v>2.2550000000000001E-2</v>
      </c>
      <c r="C327" s="88">
        <v>34.730600000000003</v>
      </c>
      <c r="D327" s="88">
        <v>0.24314</v>
      </c>
      <c r="E327" s="76">
        <v>0</v>
      </c>
      <c r="F327" s="89" cm="1">
        <f t="array" ref="F327">5*LOG10(((c_light/1000/H_0_SAM)*(B327/60)*SUMPRODUCT($J$2:$AD$2,1/SQRT(Omega_m*(1+$J$1:$AD$1*B327)^3+Omega_L)))*(1+B327)*100000)</f>
        <v>35.048015367352569</v>
      </c>
      <c r="G327" s="89">
        <f t="shared" si="5"/>
        <v>0.31741536735256659</v>
      </c>
    </row>
    <row r="328" spans="1:7" x14ac:dyDescent="0.6">
      <c r="A328" s="76" t="s">
        <v>1044</v>
      </c>
      <c r="B328" s="87">
        <v>2.266E-2</v>
      </c>
      <c r="C328" s="88">
        <v>34.843800000000002</v>
      </c>
      <c r="D328" s="88">
        <v>0.22055</v>
      </c>
      <c r="E328" s="76">
        <v>0</v>
      </c>
      <c r="F328" s="89" cm="1">
        <f t="array" ref="F328">5*LOG10(((c_light/1000/H_0_SAM)*(B328/60)*SUMPRODUCT($J$2:$AD$2,1/SQRT(Omega_m*(1+$J$1:$AD$1*B328)^3+Omega_L)))*(1+B328)*100000)</f>
        <v>35.058757943754244</v>
      </c>
      <c r="G328" s="89">
        <f t="shared" si="5"/>
        <v>0.21495794375424282</v>
      </c>
    </row>
    <row r="329" spans="1:7" x14ac:dyDescent="0.6">
      <c r="A329" s="76" t="s">
        <v>1045</v>
      </c>
      <c r="B329" s="87">
        <v>2.2700000000000001E-2</v>
      </c>
      <c r="C329" s="88">
        <v>34.869300000000003</v>
      </c>
      <c r="D329" s="88">
        <v>0.20330000000000001</v>
      </c>
      <c r="E329" s="76">
        <v>0</v>
      </c>
      <c r="F329" s="89" cm="1">
        <f t="array" ref="F329">5*LOG10(((c_light/1000/H_0_SAM)*(B329/60)*SUMPRODUCT($J$2:$AD$2,1/SQRT(Omega_m*(1+$J$1:$AD$1*B329)^3+Omega_L)))*(1+B329)*100000)</f>
        <v>35.062651614876444</v>
      </c>
      <c r="G329" s="89">
        <f t="shared" si="5"/>
        <v>0.19335161487644115</v>
      </c>
    </row>
    <row r="330" spans="1:7" x14ac:dyDescent="0.6">
      <c r="A330" s="76" t="s">
        <v>1046</v>
      </c>
      <c r="B330" s="87">
        <v>2.273E-2</v>
      </c>
      <c r="C330" s="88">
        <v>34.684899999999999</v>
      </c>
      <c r="D330" s="88">
        <v>0.35832999999999998</v>
      </c>
      <c r="E330" s="76">
        <v>0</v>
      </c>
      <c r="F330" s="89" cm="1">
        <f t="array" ref="F330">5*LOG10(((c_light/1000/H_0_SAM)*(B330/60)*SUMPRODUCT($J$2:$AD$2,1/SQRT(Omega_m*(1+$J$1:$AD$1*B330)^3+Omega_L)))*(1+B330)*100000)</f>
        <v>35.065567439629845</v>
      </c>
      <c r="G330" s="89">
        <f t="shared" si="5"/>
        <v>0.38066743962984617</v>
      </c>
    </row>
    <row r="331" spans="1:7" x14ac:dyDescent="0.6">
      <c r="A331" s="76" t="s">
        <v>1047</v>
      </c>
      <c r="B331" s="87">
        <v>2.2950000000000002E-2</v>
      </c>
      <c r="C331" s="88">
        <v>35.268500000000003</v>
      </c>
      <c r="D331" s="88">
        <v>0.30486999999999997</v>
      </c>
      <c r="E331" s="76">
        <v>0</v>
      </c>
      <c r="F331" s="89" cm="1">
        <f t="array" ref="F331">5*LOG10(((c_light/1000/H_0_SAM)*(B331/60)*SUMPRODUCT($J$2:$AD$2,1/SQRT(Omega_m*(1+$J$1:$AD$1*B331)^3+Omega_L)))*(1+B331)*100000)</f>
        <v>35.086835146906722</v>
      </c>
      <c r="G331" s="89">
        <f t="shared" si="5"/>
        <v>-0.18166485309328095</v>
      </c>
    </row>
    <row r="332" spans="1:7" x14ac:dyDescent="0.6">
      <c r="A332" s="76" t="s">
        <v>1048</v>
      </c>
      <c r="B332" s="87">
        <v>2.2950000000000002E-2</v>
      </c>
      <c r="C332" s="88">
        <v>34.858400000000003</v>
      </c>
      <c r="D332" s="88">
        <v>0.20127</v>
      </c>
      <c r="E332" s="76">
        <v>0</v>
      </c>
      <c r="F332" s="89" cm="1">
        <f t="array" ref="F332">5*LOG10(((c_light/1000/H_0_SAM)*(B332/60)*SUMPRODUCT($J$2:$AD$2,1/SQRT(Omega_m*(1+$J$1:$AD$1*B332)^3+Omega_L)))*(1+B332)*100000)</f>
        <v>35.086835146906722</v>
      </c>
      <c r="G332" s="89">
        <f t="shared" si="5"/>
        <v>0.22843514690671896</v>
      </c>
    </row>
    <row r="333" spans="1:7" x14ac:dyDescent="0.6">
      <c r="A333" s="76" t="s">
        <v>1049</v>
      </c>
      <c r="B333" s="87">
        <v>2.298E-2</v>
      </c>
      <c r="C333" s="88">
        <v>34.999200000000002</v>
      </c>
      <c r="D333" s="88">
        <v>0.26737</v>
      </c>
      <c r="E333" s="76">
        <v>0</v>
      </c>
      <c r="F333" s="89" cm="1">
        <f t="array" ref="F333">5*LOG10(((c_light/1000/H_0_SAM)*(B333/60)*SUMPRODUCT($J$2:$AD$2,1/SQRT(Omega_m*(1+$J$1:$AD$1*B333)^3+Omega_L)))*(1+B333)*100000)</f>
        <v>35.089719733536953</v>
      </c>
      <c r="G333" s="89">
        <f t="shared" si="5"/>
        <v>9.0519733536950753E-2</v>
      </c>
    </row>
    <row r="334" spans="1:7" x14ac:dyDescent="0.6">
      <c r="A334" s="76" t="s">
        <v>1049</v>
      </c>
      <c r="B334" s="87">
        <v>2.298E-2</v>
      </c>
      <c r="C334" s="88">
        <v>34.971200000000003</v>
      </c>
      <c r="D334" s="88">
        <v>0.23727999999999999</v>
      </c>
      <c r="E334" s="76">
        <v>0</v>
      </c>
      <c r="F334" s="89" cm="1">
        <f t="array" ref="F334">5*LOG10(((c_light/1000/H_0_SAM)*(B334/60)*SUMPRODUCT($J$2:$AD$2,1/SQRT(Omega_m*(1+$J$1:$AD$1*B334)^3+Omega_L)))*(1+B334)*100000)</f>
        <v>35.089719733536953</v>
      </c>
      <c r="G334" s="89">
        <f t="shared" si="5"/>
        <v>0.11851973353694945</v>
      </c>
    </row>
    <row r="335" spans="1:7" x14ac:dyDescent="0.6">
      <c r="A335" s="76" t="s">
        <v>1050</v>
      </c>
      <c r="B335" s="87">
        <v>2.3029999999999998E-2</v>
      </c>
      <c r="C335" s="88">
        <v>34.984999999999999</v>
      </c>
      <c r="D335" s="88">
        <v>0.19073999999999999</v>
      </c>
      <c r="E335" s="76">
        <v>0</v>
      </c>
      <c r="F335" s="89" cm="1">
        <f t="array" ref="F335">5*LOG10(((c_light/1000/H_0_SAM)*(B335/60)*SUMPRODUCT($J$2:$AD$2,1/SQRT(Omega_m*(1+$J$1:$AD$1*B335)^3+Omega_L)))*(1+B335)*100000)</f>
        <v>35.094519153894616</v>
      </c>
      <c r="G335" s="89">
        <f t="shared" si="5"/>
        <v>0.10951915389461675</v>
      </c>
    </row>
    <row r="336" spans="1:7" x14ac:dyDescent="0.6">
      <c r="A336" s="76" t="s">
        <v>1051</v>
      </c>
      <c r="B336" s="87">
        <v>2.307E-2</v>
      </c>
      <c r="C336" s="88">
        <v>34.766599999999997</v>
      </c>
      <c r="D336" s="88">
        <v>0.34033999999999998</v>
      </c>
      <c r="E336" s="76">
        <v>0</v>
      </c>
      <c r="F336" s="89" cm="1">
        <f t="array" ref="F336">5*LOG10(((c_light/1000/H_0_SAM)*(B336/60)*SUMPRODUCT($J$2:$AD$2,1/SQRT(Omega_m*(1+$J$1:$AD$1*B336)^3+Omega_L)))*(1+B336)*100000)</f>
        <v>35.098351314232652</v>
      </c>
      <c r="G336" s="89">
        <f t="shared" si="5"/>
        <v>0.33175131423265469</v>
      </c>
    </row>
    <row r="337" spans="1:7" x14ac:dyDescent="0.6">
      <c r="A337" s="76" t="s">
        <v>1052</v>
      </c>
      <c r="B337" s="87">
        <v>2.3130000000000001E-2</v>
      </c>
      <c r="C337" s="88">
        <v>35.022500000000001</v>
      </c>
      <c r="D337" s="88">
        <v>0.27122000000000002</v>
      </c>
      <c r="E337" s="76">
        <v>0</v>
      </c>
      <c r="F337" s="89" cm="1">
        <f t="array" ref="F337">5*LOG10(((c_light/1000/H_0_SAM)*(B337/60)*SUMPRODUCT($J$2:$AD$2,1/SQRT(Omega_m*(1+$J$1:$AD$1*B337)^3+Omega_L)))*(1+B337)*100000)</f>
        <v>35.10408731467065</v>
      </c>
      <c r="G337" s="89">
        <f t="shared" si="5"/>
        <v>8.1587314670649391E-2</v>
      </c>
    </row>
    <row r="338" spans="1:7" x14ac:dyDescent="0.6">
      <c r="A338" s="76" t="s">
        <v>1053</v>
      </c>
      <c r="B338" s="87">
        <v>2.316E-2</v>
      </c>
      <c r="C338" s="88">
        <v>34.883000000000003</v>
      </c>
      <c r="D338" s="88">
        <v>0.27496999999999999</v>
      </c>
      <c r="E338" s="76">
        <v>0</v>
      </c>
      <c r="F338" s="89" cm="1">
        <f t="array" ref="F338">5*LOG10(((c_light/1000/H_0_SAM)*(B338/60)*SUMPRODUCT($J$2:$AD$2,1/SQRT(Omega_m*(1+$J$1:$AD$1*B338)^3+Omega_L)))*(1+B338)*100000)</f>
        <v>35.106949827476903</v>
      </c>
      <c r="G338" s="89">
        <f t="shared" si="5"/>
        <v>0.22394982747690051</v>
      </c>
    </row>
    <row r="339" spans="1:7" x14ac:dyDescent="0.6">
      <c r="A339" s="76" t="s">
        <v>1054</v>
      </c>
      <c r="B339" s="87">
        <v>2.3210000000000001E-2</v>
      </c>
      <c r="C339" s="88">
        <v>34.916800000000002</v>
      </c>
      <c r="D339" s="88">
        <v>0.17852000000000001</v>
      </c>
      <c r="E339" s="76">
        <v>0</v>
      </c>
      <c r="F339" s="89" cm="1">
        <f t="array" ref="F339">5*LOG10(((c_light/1000/H_0_SAM)*(B339/60)*SUMPRODUCT($J$2:$AD$2,1/SQRT(Omega_m*(1+$J$1:$AD$1*B339)^3+Omega_L)))*(1+B339)*100000)</f>
        <v>35.111712585357466</v>
      </c>
      <c r="G339" s="89">
        <f t="shared" si="5"/>
        <v>0.19491258535746425</v>
      </c>
    </row>
    <row r="340" spans="1:7" x14ac:dyDescent="0.6">
      <c r="A340" s="76" t="s">
        <v>1055</v>
      </c>
      <c r="B340" s="87">
        <v>2.325E-2</v>
      </c>
      <c r="C340" s="88">
        <v>35.053699999999999</v>
      </c>
      <c r="D340" s="88">
        <v>0.22969999999999999</v>
      </c>
      <c r="E340" s="76">
        <v>0</v>
      </c>
      <c r="F340" s="89" cm="1">
        <f t="array" ref="F340">5*LOG10(((c_light/1000/H_0_SAM)*(B340/60)*SUMPRODUCT($J$2:$AD$2,1/SQRT(Omega_m*(1+$J$1:$AD$1*B340)^3+Omega_L)))*(1+B340)*100000)</f>
        <v>35.115515529627082</v>
      </c>
      <c r="G340" s="89">
        <f t="shared" si="5"/>
        <v>6.181552962708281E-2</v>
      </c>
    </row>
    <row r="341" spans="1:7" x14ac:dyDescent="0.6">
      <c r="A341" s="76" t="s">
        <v>1056</v>
      </c>
      <c r="B341" s="87">
        <v>2.3310000000000001E-2</v>
      </c>
      <c r="C341" s="88">
        <v>34.647799999999997</v>
      </c>
      <c r="D341" s="88">
        <v>0.26695999999999998</v>
      </c>
      <c r="E341" s="76">
        <v>0</v>
      </c>
      <c r="F341" s="89" cm="1">
        <f t="array" ref="F341">5*LOG10(((c_light/1000/H_0_SAM)*(B341/60)*SUMPRODUCT($J$2:$AD$2,1/SQRT(Omega_m*(1+$J$1:$AD$1*B341)^3+Omega_L)))*(1+B341)*100000)</f>
        <v>35.121207894591421</v>
      </c>
      <c r="G341" s="89">
        <f t="shared" si="5"/>
        <v>0.47340789459142485</v>
      </c>
    </row>
    <row r="342" spans="1:7" x14ac:dyDescent="0.6">
      <c r="A342" s="76" t="s">
        <v>1056</v>
      </c>
      <c r="B342" s="87">
        <v>2.3310000000000001E-2</v>
      </c>
      <c r="C342" s="88">
        <v>34.430100000000003</v>
      </c>
      <c r="D342" s="88">
        <v>0.27942</v>
      </c>
      <c r="E342" s="76">
        <v>0</v>
      </c>
      <c r="F342" s="89" cm="1">
        <f t="array" ref="F342">5*LOG10(((c_light/1000/H_0_SAM)*(B342/60)*SUMPRODUCT($J$2:$AD$2,1/SQRT(Omega_m*(1+$J$1:$AD$1*B342)^3+Omega_L)))*(1+B342)*100000)</f>
        <v>35.121207894591421</v>
      </c>
      <c r="G342" s="89">
        <f t="shared" si="5"/>
        <v>0.69110789459141841</v>
      </c>
    </row>
    <row r="343" spans="1:7" x14ac:dyDescent="0.6">
      <c r="A343" s="76" t="s">
        <v>1057</v>
      </c>
      <c r="B343" s="87">
        <v>2.342E-2</v>
      </c>
      <c r="C343" s="88">
        <v>34.985100000000003</v>
      </c>
      <c r="D343" s="88">
        <v>0.28258</v>
      </c>
      <c r="E343" s="76">
        <v>0</v>
      </c>
      <c r="F343" s="89" cm="1">
        <f t="array" ref="F343">5*LOG10(((c_light/1000/H_0_SAM)*(B343/60)*SUMPRODUCT($J$2:$AD$2,1/SQRT(Omega_m*(1+$J$1:$AD$1*B343)^3+Omega_L)))*(1+B343)*100000)</f>
        <v>35.131606561494955</v>
      </c>
      <c r="G343" s="89">
        <f t="shared" si="5"/>
        <v>0.14650656149495234</v>
      </c>
    </row>
    <row r="344" spans="1:7" x14ac:dyDescent="0.6">
      <c r="A344" s="76" t="s">
        <v>1057</v>
      </c>
      <c r="B344" s="87">
        <v>2.342E-2</v>
      </c>
      <c r="C344" s="88">
        <v>35.008099999999999</v>
      </c>
      <c r="D344" s="88">
        <v>0.22169</v>
      </c>
      <c r="E344" s="76">
        <v>0</v>
      </c>
      <c r="F344" s="89" cm="1">
        <f t="array" ref="F344">5*LOG10(((c_light/1000/H_0_SAM)*(B344/60)*SUMPRODUCT($J$2:$AD$2,1/SQRT(Omega_m*(1+$J$1:$AD$1*B344)^3+Omega_L)))*(1+B344)*100000)</f>
        <v>35.131606561494955</v>
      </c>
      <c r="G344" s="89">
        <f t="shared" si="5"/>
        <v>0.1235065614949562</v>
      </c>
    </row>
    <row r="345" spans="1:7" x14ac:dyDescent="0.6">
      <c r="A345" s="76" t="s">
        <v>1057</v>
      </c>
      <c r="B345" s="87">
        <v>2.342E-2</v>
      </c>
      <c r="C345" s="88">
        <v>34.978299999999997</v>
      </c>
      <c r="D345" s="88">
        <v>0.22539999999999999</v>
      </c>
      <c r="E345" s="76">
        <v>0</v>
      </c>
      <c r="F345" s="89" cm="1">
        <f t="array" ref="F345">5*LOG10(((c_light/1000/H_0_SAM)*(B345/60)*SUMPRODUCT($J$2:$AD$2,1/SQRT(Omega_m*(1+$J$1:$AD$1*B345)^3+Omega_L)))*(1+B345)*100000)</f>
        <v>35.131606561494955</v>
      </c>
      <c r="G345" s="89">
        <f t="shared" si="5"/>
        <v>0.1533065614949578</v>
      </c>
    </row>
    <row r="346" spans="1:7" x14ac:dyDescent="0.6">
      <c r="A346" s="76" t="s">
        <v>1058</v>
      </c>
      <c r="B346" s="87">
        <v>2.3429999999999999E-2</v>
      </c>
      <c r="C346" s="88">
        <v>34.858199999999997</v>
      </c>
      <c r="D346" s="88">
        <v>0.26027</v>
      </c>
      <c r="E346" s="76">
        <v>0</v>
      </c>
      <c r="F346" s="89" cm="1">
        <f t="array" ref="F346">5*LOG10(((c_light/1000/H_0_SAM)*(B346/60)*SUMPRODUCT($J$2:$AD$2,1/SQRT(Omega_m*(1+$J$1:$AD$1*B346)^3+Omega_L)))*(1+B346)*100000)</f>
        <v>35.132549511264031</v>
      </c>
      <c r="G346" s="89">
        <f t="shared" si="5"/>
        <v>0.27434951126403462</v>
      </c>
    </row>
    <row r="347" spans="1:7" x14ac:dyDescent="0.6">
      <c r="A347" s="76" t="s">
        <v>1058</v>
      </c>
      <c r="B347" s="87">
        <v>2.3429999999999999E-2</v>
      </c>
      <c r="C347" s="88">
        <v>34.858199999999997</v>
      </c>
      <c r="D347" s="88">
        <v>0.17063999999999999</v>
      </c>
      <c r="E347" s="76">
        <v>0</v>
      </c>
      <c r="F347" s="89" cm="1">
        <f t="array" ref="F347">5*LOG10(((c_light/1000/H_0_SAM)*(B347/60)*SUMPRODUCT($J$2:$AD$2,1/SQRT(Omega_m*(1+$J$1:$AD$1*B347)^3+Omega_L)))*(1+B347)*100000)</f>
        <v>35.132549511264031</v>
      </c>
      <c r="G347" s="89">
        <f t="shared" si="5"/>
        <v>0.27434951126403462</v>
      </c>
    </row>
    <row r="348" spans="1:7" x14ac:dyDescent="0.6">
      <c r="A348" s="76" t="s">
        <v>1059</v>
      </c>
      <c r="B348" s="87">
        <v>2.3439999999999999E-2</v>
      </c>
      <c r="C348" s="88">
        <v>34.833100000000002</v>
      </c>
      <c r="D348" s="88">
        <v>0.26377</v>
      </c>
      <c r="E348" s="76">
        <v>0</v>
      </c>
      <c r="F348" s="89" cm="1">
        <f t="array" ref="F348">5*LOG10(((c_light/1000/H_0_SAM)*(B348/60)*SUMPRODUCT($J$2:$AD$2,1/SQRT(Omega_m*(1+$J$1:$AD$1*B348)^3+Omega_L)))*(1+B348)*100000)</f>
        <v>35.133492065237618</v>
      </c>
      <c r="G348" s="89">
        <f t="shared" si="5"/>
        <v>0.30039206523761663</v>
      </c>
    </row>
    <row r="349" spans="1:7" x14ac:dyDescent="0.6">
      <c r="A349" s="76" t="s">
        <v>1060</v>
      </c>
      <c r="B349" s="87">
        <v>2.3519999999999999E-2</v>
      </c>
      <c r="C349" s="88">
        <v>34.839100000000002</v>
      </c>
      <c r="D349" s="88">
        <v>0.21587999999999999</v>
      </c>
      <c r="E349" s="76">
        <v>0</v>
      </c>
      <c r="F349" s="89" cm="1">
        <f t="array" ref="F349">5*LOG10(((c_light/1000/H_0_SAM)*(B349/60)*SUMPRODUCT($J$2:$AD$2,1/SQRT(Omega_m*(1+$J$1:$AD$1*B349)^3+Omega_L)))*(1+B349)*100000)</f>
        <v>35.141018288791237</v>
      </c>
      <c r="G349" s="89">
        <f t="shared" si="5"/>
        <v>0.30191828879123506</v>
      </c>
    </row>
    <row r="350" spans="1:7" x14ac:dyDescent="0.6">
      <c r="A350" s="76" t="s">
        <v>1061</v>
      </c>
      <c r="B350" s="87">
        <v>2.3539999999999998E-2</v>
      </c>
      <c r="C350" s="88">
        <v>34.9998</v>
      </c>
      <c r="D350" s="88">
        <v>0.21772</v>
      </c>
      <c r="E350" s="76">
        <v>0</v>
      </c>
      <c r="F350" s="89" cm="1">
        <f t="array" ref="F350">5*LOG10(((c_light/1000/H_0_SAM)*(B350/60)*SUMPRODUCT($J$2:$AD$2,1/SQRT(Omega_m*(1+$J$1:$AD$1*B350)^3+Omega_L)))*(1+B350)*100000)</f>
        <v>35.142895910245571</v>
      </c>
      <c r="G350" s="89">
        <f t="shared" si="5"/>
        <v>0.14309591024557022</v>
      </c>
    </row>
    <row r="351" spans="1:7" x14ac:dyDescent="0.6">
      <c r="A351" s="76" t="s">
        <v>1062</v>
      </c>
      <c r="B351" s="87">
        <v>2.3570000000000001E-2</v>
      </c>
      <c r="C351" s="88">
        <v>35.040599999999998</v>
      </c>
      <c r="D351" s="88">
        <v>0.20657</v>
      </c>
      <c r="E351" s="76">
        <v>0</v>
      </c>
      <c r="F351" s="89" cm="1">
        <f t="array" ref="F351">5*LOG10(((c_light/1000/H_0_SAM)*(B351/60)*SUMPRODUCT($J$2:$AD$2,1/SQRT(Omega_m*(1+$J$1:$AD$1*B351)^3+Omega_L)))*(1+B351)*100000)</f>
        <v>35.145709402453328</v>
      </c>
      <c r="G351" s="89">
        <f t="shared" si="5"/>
        <v>0.10510940245332989</v>
      </c>
    </row>
    <row r="352" spans="1:7" x14ac:dyDescent="0.6">
      <c r="A352" s="76" t="s">
        <v>1062</v>
      </c>
      <c r="B352" s="87">
        <v>2.3570000000000001E-2</v>
      </c>
      <c r="C352" s="88">
        <v>34.950899999999997</v>
      </c>
      <c r="D352" s="88">
        <v>0.25913000000000003</v>
      </c>
      <c r="E352" s="76">
        <v>0</v>
      </c>
      <c r="F352" s="89" cm="1">
        <f t="array" ref="F352">5*LOG10(((c_light/1000/H_0_SAM)*(B352/60)*SUMPRODUCT($J$2:$AD$2,1/SQRT(Omega_m*(1+$J$1:$AD$1*B352)^3+Omega_L)))*(1+B352)*100000)</f>
        <v>35.145709402453328</v>
      </c>
      <c r="G352" s="89">
        <f t="shared" si="5"/>
        <v>0.19480940245333045</v>
      </c>
    </row>
    <row r="353" spans="1:7" x14ac:dyDescent="0.6">
      <c r="A353" s="76" t="s">
        <v>1063</v>
      </c>
      <c r="B353" s="87">
        <v>2.3570000000000001E-2</v>
      </c>
      <c r="C353" s="88">
        <v>34.5715</v>
      </c>
      <c r="D353" s="88">
        <v>0.26174999999999998</v>
      </c>
      <c r="E353" s="76">
        <v>0</v>
      </c>
      <c r="F353" s="89" cm="1">
        <f t="array" ref="F353">5*LOG10(((c_light/1000/H_0_SAM)*(B353/60)*SUMPRODUCT($J$2:$AD$2,1/SQRT(Omega_m*(1+$J$1:$AD$1*B353)^3+Omega_L)))*(1+B353)*100000)</f>
        <v>35.145709402453328</v>
      </c>
      <c r="G353" s="89">
        <f t="shared" si="5"/>
        <v>0.5742094024533273</v>
      </c>
    </row>
    <row r="354" spans="1:7" x14ac:dyDescent="0.6">
      <c r="A354" s="76" t="s">
        <v>1064</v>
      </c>
      <c r="B354" s="87">
        <v>2.3650000000000001E-2</v>
      </c>
      <c r="C354" s="88">
        <v>34.954300000000003</v>
      </c>
      <c r="D354" s="88">
        <v>0.27404000000000001</v>
      </c>
      <c r="E354" s="76">
        <v>0</v>
      </c>
      <c r="F354" s="89" cm="1">
        <f t="array" ref="F354">5*LOG10(((c_light/1000/H_0_SAM)*(B354/60)*SUMPRODUCT($J$2:$AD$2,1/SQRT(Omega_m*(1+$J$1:$AD$1*B354)^3+Omega_L)))*(1+B354)*100000)</f>
        <v>35.153194863734299</v>
      </c>
      <c r="G354" s="89">
        <f t="shared" si="5"/>
        <v>0.19889486373429577</v>
      </c>
    </row>
    <row r="355" spans="1:7" x14ac:dyDescent="0.6">
      <c r="A355" s="76" t="s">
        <v>1065</v>
      </c>
      <c r="B355" s="87">
        <v>2.3689999999999999E-2</v>
      </c>
      <c r="C355" s="88">
        <v>34.942999999999998</v>
      </c>
      <c r="D355" s="88">
        <v>0.20979999999999999</v>
      </c>
      <c r="E355" s="76">
        <v>0</v>
      </c>
      <c r="F355" s="89" cm="1">
        <f t="array" ref="F355">5*LOG10(((c_light/1000/H_0_SAM)*(B355/60)*SUMPRODUCT($J$2:$AD$2,1/SQRT(Omega_m*(1+$J$1:$AD$1*B355)^3+Omega_L)))*(1+B355)*100000)</f>
        <v>35.156928260539814</v>
      </c>
      <c r="G355" s="89">
        <f t="shared" si="5"/>
        <v>0.21392826053981651</v>
      </c>
    </row>
    <row r="356" spans="1:7" x14ac:dyDescent="0.6">
      <c r="A356" s="76" t="s">
        <v>1066</v>
      </c>
      <c r="B356" s="87">
        <v>2.3879999999999998E-2</v>
      </c>
      <c r="C356" s="88">
        <v>34.994900000000001</v>
      </c>
      <c r="D356" s="88">
        <v>0.18079999999999999</v>
      </c>
      <c r="E356" s="76">
        <v>0</v>
      </c>
      <c r="F356" s="89" cm="1">
        <f t="array" ref="F356">5*LOG10(((c_light/1000/H_0_SAM)*(B356/60)*SUMPRODUCT($J$2:$AD$2,1/SQRT(Omega_m*(1+$J$1:$AD$1*B356)^3+Omega_L)))*(1+B356)*100000)</f>
        <v>35.174577655439911</v>
      </c>
      <c r="G356" s="89">
        <f t="shared" si="5"/>
        <v>0.17967765543991021</v>
      </c>
    </row>
    <row r="357" spans="1:7" x14ac:dyDescent="0.6">
      <c r="A357" s="76" t="s">
        <v>1067</v>
      </c>
      <c r="B357" s="87">
        <v>2.3900000000000001E-2</v>
      </c>
      <c r="C357" s="88">
        <v>34.889000000000003</v>
      </c>
      <c r="D357" s="88">
        <v>0.4037</v>
      </c>
      <c r="E357" s="76">
        <v>0</v>
      </c>
      <c r="F357" s="89" cm="1">
        <f t="array" ref="F357">5*LOG10(((c_light/1000/H_0_SAM)*(B357/60)*SUMPRODUCT($J$2:$AD$2,1/SQRT(Omega_m*(1+$J$1:$AD$1*B357)^3+Omega_L)))*(1+B357)*100000)</f>
        <v>35.176427446716531</v>
      </c>
      <c r="G357" s="89">
        <f t="shared" si="5"/>
        <v>0.28742744671652787</v>
      </c>
    </row>
    <row r="358" spans="1:7" x14ac:dyDescent="0.6">
      <c r="A358" s="76" t="s">
        <v>1068</v>
      </c>
      <c r="B358" s="87">
        <v>2.3900000000000001E-2</v>
      </c>
      <c r="C358" s="88">
        <v>34.994</v>
      </c>
      <c r="D358" s="88">
        <v>0.27738000000000002</v>
      </c>
      <c r="E358" s="76">
        <v>0</v>
      </c>
      <c r="F358" s="89" cm="1">
        <f t="array" ref="F358">5*LOG10(((c_light/1000/H_0_SAM)*(B358/60)*SUMPRODUCT($J$2:$AD$2,1/SQRT(Omega_m*(1+$J$1:$AD$1*B358)^3+Omega_L)))*(1+B358)*100000)</f>
        <v>35.176427446716531</v>
      </c>
      <c r="G358" s="89">
        <f t="shared" si="5"/>
        <v>0.18242744671653099</v>
      </c>
    </row>
    <row r="359" spans="1:7" x14ac:dyDescent="0.6">
      <c r="A359" s="76" t="s">
        <v>1069</v>
      </c>
      <c r="B359" s="87">
        <v>2.3910000000000001E-2</v>
      </c>
      <c r="C359" s="88">
        <v>34.899299999999997</v>
      </c>
      <c r="D359" s="88">
        <v>0.19033</v>
      </c>
      <c r="E359" s="76">
        <v>0</v>
      </c>
      <c r="F359" s="89" cm="1">
        <f t="array" ref="F359">5*LOG10(((c_light/1000/H_0_SAM)*(B359/60)*SUMPRODUCT($J$2:$AD$2,1/SQRT(Omega_m*(1+$J$1:$AD$1*B359)^3+Omega_L)))*(1+B359)*100000)</f>
        <v>35.177351771609572</v>
      </c>
      <c r="G359" s="89">
        <f t="shared" si="5"/>
        <v>0.27805177160957584</v>
      </c>
    </row>
    <row r="360" spans="1:7" x14ac:dyDescent="0.6">
      <c r="A360" s="76" t="s">
        <v>1070</v>
      </c>
      <c r="B360" s="87">
        <v>2.401E-2</v>
      </c>
      <c r="C360" s="88">
        <v>35.101799999999997</v>
      </c>
      <c r="D360" s="88">
        <v>0.19500999999999999</v>
      </c>
      <c r="E360" s="76">
        <v>0</v>
      </c>
      <c r="F360" s="89" cm="1">
        <f t="array" ref="F360">5*LOG10(((c_light/1000/H_0_SAM)*(B360/60)*SUMPRODUCT($J$2:$AD$2,1/SQRT(Omega_m*(1+$J$1:$AD$1*B360)^3+Omega_L)))*(1+B360)*100000)</f>
        <v>35.186574168796241</v>
      </c>
      <c r="G360" s="89">
        <f t="shared" si="5"/>
        <v>8.4774168796243998E-2</v>
      </c>
    </row>
    <row r="361" spans="1:7" x14ac:dyDescent="0.6">
      <c r="A361" s="76" t="s">
        <v>1071</v>
      </c>
      <c r="B361" s="87">
        <v>2.4109999999999999E-2</v>
      </c>
      <c r="C361" s="88">
        <v>35.104900000000001</v>
      </c>
      <c r="D361" s="88">
        <v>0.31032999999999999</v>
      </c>
      <c r="E361" s="76">
        <v>0</v>
      </c>
      <c r="F361" s="89" cm="1">
        <f t="array" ref="F361">5*LOG10(((c_light/1000/H_0_SAM)*(B361/60)*SUMPRODUCT($J$2:$AD$2,1/SQRT(Omega_m*(1+$J$1:$AD$1*B361)^3+Omega_L)))*(1+B361)*100000)</f>
        <v>35.195758874121744</v>
      </c>
      <c r="G361" s="89">
        <f t="shared" si="5"/>
        <v>9.0858874121742872E-2</v>
      </c>
    </row>
    <row r="362" spans="1:7" x14ac:dyDescent="0.6">
      <c r="A362" s="76" t="s">
        <v>1072</v>
      </c>
      <c r="B362" s="87">
        <v>2.4109999999999999E-2</v>
      </c>
      <c r="C362" s="88">
        <v>34.4711</v>
      </c>
      <c r="D362" s="88">
        <v>0.39848</v>
      </c>
      <c r="E362" s="76">
        <v>0</v>
      </c>
      <c r="F362" s="89" cm="1">
        <f t="array" ref="F362">5*LOG10(((c_light/1000/H_0_SAM)*(B362/60)*SUMPRODUCT($J$2:$AD$2,1/SQRT(Omega_m*(1+$J$1:$AD$1*B362)^3+Omega_L)))*(1+B362)*100000)</f>
        <v>35.195758874121744</v>
      </c>
      <c r="G362" s="89">
        <f t="shared" si="5"/>
        <v>0.72465887412174368</v>
      </c>
    </row>
    <row r="363" spans="1:7" x14ac:dyDescent="0.6">
      <c r="A363" s="76" t="s">
        <v>1073</v>
      </c>
      <c r="B363" s="87">
        <v>2.4119999999999999E-2</v>
      </c>
      <c r="C363" s="88">
        <v>34.8782</v>
      </c>
      <c r="D363" s="88">
        <v>0.22406999999999999</v>
      </c>
      <c r="E363" s="76">
        <v>0</v>
      </c>
      <c r="F363" s="89" cm="1">
        <f t="array" ref="F363">5*LOG10(((c_light/1000/H_0_SAM)*(B363/60)*SUMPRODUCT($J$2:$AD$2,1/SQRT(Omega_m*(1+$J$1:$AD$1*B363)^3+Omega_L)))*(1+B363)*100000)</f>
        <v>35.196675283640914</v>
      </c>
      <c r="G363" s="89">
        <f t="shared" si="5"/>
        <v>0.3184752836409146</v>
      </c>
    </row>
    <row r="364" spans="1:7" x14ac:dyDescent="0.6">
      <c r="A364" s="76" t="s">
        <v>1074</v>
      </c>
      <c r="B364" s="87">
        <v>2.4170000000000001E-2</v>
      </c>
      <c r="C364" s="88">
        <v>34.942100000000003</v>
      </c>
      <c r="D364" s="88">
        <v>0.20829</v>
      </c>
      <c r="E364" s="76">
        <v>0</v>
      </c>
      <c r="F364" s="89" cm="1">
        <f t="array" ref="F364">5*LOG10(((c_light/1000/H_0_SAM)*(B364/60)*SUMPRODUCT($J$2:$AD$2,1/SQRT(Omega_m*(1+$J$1:$AD$1*B364)^3+Omega_L)))*(1+B364)*100000)</f>
        <v>35.201251735105309</v>
      </c>
      <c r="G364" s="89">
        <f t="shared" si="5"/>
        <v>0.25915173510530565</v>
      </c>
    </row>
    <row r="365" spans="1:7" x14ac:dyDescent="0.6">
      <c r="A365" s="76" t="s">
        <v>1074</v>
      </c>
      <c r="B365" s="87">
        <v>2.4170000000000001E-2</v>
      </c>
      <c r="C365" s="88">
        <v>35.084000000000003</v>
      </c>
      <c r="D365" s="88">
        <v>0.18354999999999999</v>
      </c>
      <c r="E365" s="76">
        <v>0</v>
      </c>
      <c r="F365" s="89" cm="1">
        <f t="array" ref="F365">5*LOG10(((c_light/1000/H_0_SAM)*(B365/60)*SUMPRODUCT($J$2:$AD$2,1/SQRT(Omega_m*(1+$J$1:$AD$1*B365)^3+Omega_L)))*(1+B365)*100000)</f>
        <v>35.201251735105309</v>
      </c>
      <c r="G365" s="89">
        <f t="shared" si="5"/>
        <v>0.11725173510530595</v>
      </c>
    </row>
    <row r="366" spans="1:7" x14ac:dyDescent="0.6">
      <c r="A366" s="76" t="s">
        <v>1075</v>
      </c>
      <c r="B366" s="87">
        <v>2.4279999999999999E-2</v>
      </c>
      <c r="C366" s="88">
        <v>35.180300000000003</v>
      </c>
      <c r="D366" s="88">
        <v>0.23225000000000001</v>
      </c>
      <c r="E366" s="76">
        <v>0</v>
      </c>
      <c r="F366" s="89" cm="1">
        <f t="array" ref="F366">5*LOG10(((c_light/1000/H_0_SAM)*(B366/60)*SUMPRODUCT($J$2:$AD$2,1/SQRT(Omega_m*(1+$J$1:$AD$1*B366)^3+Omega_L)))*(1+B366)*100000)</f>
        <v>35.21128725107112</v>
      </c>
      <c r="G366" s="89">
        <f t="shared" si="5"/>
        <v>3.0987251071117328E-2</v>
      </c>
    </row>
    <row r="367" spans="1:7" x14ac:dyDescent="0.6">
      <c r="A367" s="76" t="s">
        <v>1076</v>
      </c>
      <c r="B367" s="87">
        <v>2.4289999999999999E-2</v>
      </c>
      <c r="C367" s="88">
        <v>35.077100000000002</v>
      </c>
      <c r="D367" s="88">
        <v>0.19542000000000001</v>
      </c>
      <c r="E367" s="76">
        <v>0</v>
      </c>
      <c r="F367" s="89" cm="1">
        <f t="array" ref="F367">5*LOG10(((c_light/1000/H_0_SAM)*(B367/60)*SUMPRODUCT($J$2:$AD$2,1/SQRT(Omega_m*(1+$J$1:$AD$1*B367)^3+Omega_L)))*(1+B367)*100000)</f>
        <v>35.212197353109367</v>
      </c>
      <c r="G367" s="89">
        <f t="shared" si="5"/>
        <v>0.13509735310936577</v>
      </c>
    </row>
    <row r="368" spans="1:7" x14ac:dyDescent="0.6">
      <c r="A368" s="76" t="s">
        <v>1077</v>
      </c>
      <c r="B368" s="87">
        <v>2.4320000000000001E-2</v>
      </c>
      <c r="C368" s="88">
        <v>34.987099999999998</v>
      </c>
      <c r="D368" s="88">
        <v>0.18415000000000001</v>
      </c>
      <c r="E368" s="76">
        <v>0</v>
      </c>
      <c r="F368" s="89" cm="1">
        <f t="array" ref="F368">5*LOG10(((c_light/1000/H_0_SAM)*(B368/60)*SUMPRODUCT($J$2:$AD$2,1/SQRT(Omega_m*(1+$J$1:$AD$1*B368)^3+Omega_L)))*(1+B368)*100000)</f>
        <v>35.214925450748652</v>
      </c>
      <c r="G368" s="89">
        <f t="shared" si="5"/>
        <v>0.22782545074865368</v>
      </c>
    </row>
    <row r="369" spans="1:7" x14ac:dyDescent="0.6">
      <c r="A369" s="76" t="s">
        <v>1077</v>
      </c>
      <c r="B369" s="87">
        <v>2.4320000000000001E-2</v>
      </c>
      <c r="C369" s="88">
        <v>34.953000000000003</v>
      </c>
      <c r="D369" s="88">
        <v>0.19806000000000001</v>
      </c>
      <c r="E369" s="76">
        <v>0</v>
      </c>
      <c r="F369" s="89" cm="1">
        <f t="array" ref="F369">5*LOG10(((c_light/1000/H_0_SAM)*(B369/60)*SUMPRODUCT($J$2:$AD$2,1/SQRT(Omega_m*(1+$J$1:$AD$1*B369)^3+Omega_L)))*(1+B369)*100000)</f>
        <v>35.214925450748652</v>
      </c>
      <c r="G369" s="89">
        <f t="shared" si="5"/>
        <v>0.26192545074864881</v>
      </c>
    </row>
    <row r="370" spans="1:7" x14ac:dyDescent="0.6">
      <c r="A370" s="76" t="s">
        <v>1078</v>
      </c>
      <c r="B370" s="87">
        <v>2.4320000000000001E-2</v>
      </c>
      <c r="C370" s="88">
        <v>35.231699999999996</v>
      </c>
      <c r="D370" s="88">
        <v>0.23519999999999999</v>
      </c>
      <c r="E370" s="76">
        <v>0</v>
      </c>
      <c r="F370" s="89" cm="1">
        <f t="array" ref="F370">5*LOG10(((c_light/1000/H_0_SAM)*(B370/60)*SUMPRODUCT($J$2:$AD$2,1/SQRT(Omega_m*(1+$J$1:$AD$1*B370)^3+Omega_L)))*(1+B370)*100000)</f>
        <v>35.214925450748652</v>
      </c>
      <c r="G370" s="89">
        <f t="shared" si="5"/>
        <v>-1.6774549251344695E-2</v>
      </c>
    </row>
    <row r="371" spans="1:7" x14ac:dyDescent="0.6">
      <c r="A371" s="76" t="s">
        <v>1079</v>
      </c>
      <c r="B371" s="87">
        <v>2.4340000000000001E-2</v>
      </c>
      <c r="C371" s="88">
        <v>35.010199999999998</v>
      </c>
      <c r="D371" s="88">
        <v>0.20194999999999999</v>
      </c>
      <c r="E371" s="76">
        <v>0</v>
      </c>
      <c r="F371" s="89" cm="1">
        <f t="array" ref="F371">5*LOG10(((c_light/1000/H_0_SAM)*(B371/60)*SUMPRODUCT($J$2:$AD$2,1/SQRT(Omega_m*(1+$J$1:$AD$1*B371)^3+Omega_L)))*(1+B371)*100000)</f>
        <v>35.216742345135906</v>
      </c>
      <c r="G371" s="89">
        <f t="shared" si="5"/>
        <v>0.20654234513590808</v>
      </c>
    </row>
    <row r="372" spans="1:7" x14ac:dyDescent="0.6">
      <c r="A372" s="76" t="s">
        <v>1080</v>
      </c>
      <c r="B372" s="87">
        <v>2.453E-2</v>
      </c>
      <c r="C372" s="88">
        <v>35.008000000000003</v>
      </c>
      <c r="D372" s="88">
        <v>0.16200999999999999</v>
      </c>
      <c r="E372" s="76">
        <v>0</v>
      </c>
      <c r="F372" s="89" cm="1">
        <f t="array" ref="F372">5*LOG10(((c_light/1000/H_0_SAM)*(B372/60)*SUMPRODUCT($J$2:$AD$2,1/SQRT(Omega_m*(1+$J$1:$AD$1*B372)^3+Omega_L)))*(1+B372)*100000)</f>
        <v>35.23393000958314</v>
      </c>
      <c r="G372" s="89">
        <f t="shared" si="5"/>
        <v>0.2259300095831378</v>
      </c>
    </row>
    <row r="373" spans="1:7" x14ac:dyDescent="0.6">
      <c r="A373" s="76" t="s">
        <v>1080</v>
      </c>
      <c r="B373" s="87">
        <v>2.453E-2</v>
      </c>
      <c r="C373" s="88">
        <v>35.074599999999997</v>
      </c>
      <c r="D373" s="88">
        <v>0.20995</v>
      </c>
      <c r="E373" s="76">
        <v>0</v>
      </c>
      <c r="F373" s="89" cm="1">
        <f t="array" ref="F373">5*LOG10(((c_light/1000/H_0_SAM)*(B373/60)*SUMPRODUCT($J$2:$AD$2,1/SQRT(Omega_m*(1+$J$1:$AD$1*B373)^3+Omega_L)))*(1+B373)*100000)</f>
        <v>35.23393000958314</v>
      </c>
      <c r="G373" s="89">
        <f t="shared" si="5"/>
        <v>0.15933000958314381</v>
      </c>
    </row>
    <row r="374" spans="1:7" x14ac:dyDescent="0.6">
      <c r="A374" s="76" t="s">
        <v>1080</v>
      </c>
      <c r="B374" s="87">
        <v>2.453E-2</v>
      </c>
      <c r="C374" s="88">
        <v>34.949300000000001</v>
      </c>
      <c r="D374" s="88">
        <v>0.17086999999999999</v>
      </c>
      <c r="E374" s="76">
        <v>0</v>
      </c>
      <c r="F374" s="89" cm="1">
        <f t="array" ref="F374">5*LOG10(((c_light/1000/H_0_SAM)*(B374/60)*SUMPRODUCT($J$2:$AD$2,1/SQRT(Omega_m*(1+$J$1:$AD$1*B374)^3+Omega_L)))*(1+B374)*100000)</f>
        <v>35.23393000958314</v>
      </c>
      <c r="G374" s="89">
        <f t="shared" si="5"/>
        <v>0.28463000958313955</v>
      </c>
    </row>
    <row r="375" spans="1:7" x14ac:dyDescent="0.6">
      <c r="A375" s="76" t="s">
        <v>1081</v>
      </c>
      <c r="B375" s="87">
        <v>2.4570000000000002E-2</v>
      </c>
      <c r="C375" s="88">
        <v>35.178400000000003</v>
      </c>
      <c r="D375" s="88">
        <v>0.18911</v>
      </c>
      <c r="E375" s="76">
        <v>0</v>
      </c>
      <c r="F375" s="89" cm="1">
        <f t="array" ref="F375">5*LOG10(((c_light/1000/H_0_SAM)*(B375/60)*SUMPRODUCT($J$2:$AD$2,1/SQRT(Omega_m*(1+$J$1:$AD$1*B375)^3+Omega_L)))*(1+B375)*100000)</f>
        <v>35.237531785904117</v>
      </c>
      <c r="G375" s="89">
        <f t="shared" si="5"/>
        <v>5.9131785904114054E-2</v>
      </c>
    </row>
    <row r="376" spans="1:7" x14ac:dyDescent="0.6">
      <c r="A376" s="76" t="s">
        <v>1082</v>
      </c>
      <c r="B376" s="87">
        <v>2.462E-2</v>
      </c>
      <c r="C376" s="88">
        <v>35.106099999999998</v>
      </c>
      <c r="D376" s="88">
        <v>0.23555999999999999</v>
      </c>
      <c r="E376" s="76">
        <v>0</v>
      </c>
      <c r="F376" s="89" cm="1">
        <f t="array" ref="F376">5*LOG10(((c_light/1000/H_0_SAM)*(B376/60)*SUMPRODUCT($J$2:$AD$2,1/SQRT(Omega_m*(1+$J$1:$AD$1*B376)^3+Omega_L)))*(1+B376)*100000)</f>
        <v>35.242025909831419</v>
      </c>
      <c r="G376" s="89">
        <f t="shared" si="5"/>
        <v>0.13592590983142117</v>
      </c>
    </row>
    <row r="377" spans="1:7" x14ac:dyDescent="0.6">
      <c r="A377" s="76" t="s">
        <v>1082</v>
      </c>
      <c r="B377" s="87">
        <v>2.462E-2</v>
      </c>
      <c r="C377" s="88">
        <v>35.052100000000003</v>
      </c>
      <c r="D377" s="88">
        <v>0.23125999999999999</v>
      </c>
      <c r="E377" s="76">
        <v>0</v>
      </c>
      <c r="F377" s="89" cm="1">
        <f t="array" ref="F377">5*LOG10(((c_light/1000/H_0_SAM)*(B377/60)*SUMPRODUCT($J$2:$AD$2,1/SQRT(Omega_m*(1+$J$1:$AD$1*B377)^3+Omega_L)))*(1+B377)*100000)</f>
        <v>35.242025909831419</v>
      </c>
      <c r="G377" s="89">
        <f t="shared" si="5"/>
        <v>0.18992590983141611</v>
      </c>
    </row>
    <row r="378" spans="1:7" x14ac:dyDescent="0.6">
      <c r="A378" s="76" t="s">
        <v>1082</v>
      </c>
      <c r="B378" s="87">
        <v>2.462E-2</v>
      </c>
      <c r="C378" s="88">
        <v>34.889800000000001</v>
      </c>
      <c r="D378" s="88">
        <v>0.23397000000000001</v>
      </c>
      <c r="E378" s="76">
        <v>0</v>
      </c>
      <c r="F378" s="89" cm="1">
        <f t="array" ref="F378">5*LOG10(((c_light/1000/H_0_SAM)*(B378/60)*SUMPRODUCT($J$2:$AD$2,1/SQRT(Omega_m*(1+$J$1:$AD$1*B378)^3+Omega_L)))*(1+B378)*100000)</f>
        <v>35.242025909831419</v>
      </c>
      <c r="G378" s="89">
        <f t="shared" si="5"/>
        <v>0.35222590983141799</v>
      </c>
    </row>
    <row r="379" spans="1:7" x14ac:dyDescent="0.6">
      <c r="A379" s="76" t="s">
        <v>1083</v>
      </c>
      <c r="B379" s="87">
        <v>2.4639999999999999E-2</v>
      </c>
      <c r="C379" s="88">
        <v>34.952800000000003</v>
      </c>
      <c r="D379" s="88">
        <v>0.21379999999999999</v>
      </c>
      <c r="E379" s="76">
        <v>0</v>
      </c>
      <c r="F379" s="89" cm="1">
        <f t="array" ref="F379">5*LOG10(((c_light/1000/H_0_SAM)*(B379/60)*SUMPRODUCT($J$2:$AD$2,1/SQRT(Omega_m*(1+$J$1:$AD$1*B379)^3+Omega_L)))*(1+B379)*100000)</f>
        <v>35.243821047996327</v>
      </c>
      <c r="G379" s="89">
        <f t="shared" si="5"/>
        <v>0.291021047996324</v>
      </c>
    </row>
    <row r="380" spans="1:7" x14ac:dyDescent="0.6">
      <c r="A380" s="76" t="s">
        <v>1084</v>
      </c>
      <c r="B380" s="87">
        <v>2.4639999999999999E-2</v>
      </c>
      <c r="C380" s="88">
        <v>34.807000000000002</v>
      </c>
      <c r="D380" s="88">
        <v>0.18246000000000001</v>
      </c>
      <c r="E380" s="76">
        <v>0</v>
      </c>
      <c r="F380" s="89" cm="1">
        <f t="array" ref="F380">5*LOG10(((c_light/1000/H_0_SAM)*(B380/60)*SUMPRODUCT($J$2:$AD$2,1/SQRT(Omega_m*(1+$J$1:$AD$1*B380)^3+Omega_L)))*(1+B380)*100000)</f>
        <v>35.243821047996327</v>
      </c>
      <c r="G380" s="89">
        <f t="shared" si="5"/>
        <v>0.43682104799632526</v>
      </c>
    </row>
    <row r="381" spans="1:7" x14ac:dyDescent="0.6">
      <c r="A381" s="76" t="s">
        <v>1085</v>
      </c>
      <c r="B381" s="87">
        <v>2.4660000000000001E-2</v>
      </c>
      <c r="C381" s="88">
        <v>34.811199999999999</v>
      </c>
      <c r="D381" s="88">
        <v>0.31759999999999999</v>
      </c>
      <c r="E381" s="76">
        <v>0</v>
      </c>
      <c r="F381" s="89" cm="1">
        <f t="array" ref="F381">5*LOG10(((c_light/1000/H_0_SAM)*(B381/60)*SUMPRODUCT($J$2:$AD$2,1/SQRT(Omega_m*(1+$J$1:$AD$1*B381)^3+Omega_L)))*(1+B381)*100000)</f>
        <v>35.245614754563299</v>
      </c>
      <c r="G381" s="89">
        <f t="shared" si="5"/>
        <v>0.43441475456329925</v>
      </c>
    </row>
    <row r="382" spans="1:7" x14ac:dyDescent="0.6">
      <c r="A382" s="76" t="s">
        <v>1086</v>
      </c>
      <c r="B382" s="87">
        <v>2.4910000000000002E-2</v>
      </c>
      <c r="C382" s="88">
        <v>35.086199999999998</v>
      </c>
      <c r="D382" s="88">
        <v>0.24055000000000001</v>
      </c>
      <c r="E382" s="76">
        <v>0</v>
      </c>
      <c r="F382" s="89" cm="1">
        <f t="array" ref="F382">5*LOG10(((c_light/1000/H_0_SAM)*(B382/60)*SUMPRODUCT($J$2:$AD$2,1/SQRT(Omega_m*(1+$J$1:$AD$1*B382)^3+Omega_L)))*(1+B382)*100000)</f>
        <v>35.267916235011207</v>
      </c>
      <c r="G382" s="89">
        <f t="shared" si="5"/>
        <v>0.18171623501120848</v>
      </c>
    </row>
    <row r="383" spans="1:7" x14ac:dyDescent="0.6">
      <c r="A383" s="76" t="s">
        <v>1087</v>
      </c>
      <c r="B383" s="87">
        <v>2.494E-2</v>
      </c>
      <c r="C383" s="88">
        <v>35.197299999999998</v>
      </c>
      <c r="D383" s="88">
        <v>0.22849</v>
      </c>
      <c r="E383" s="76">
        <v>0</v>
      </c>
      <c r="F383" s="89" cm="1">
        <f t="array" ref="F383">5*LOG10(((c_light/1000/H_0_SAM)*(B383/60)*SUMPRODUCT($J$2:$AD$2,1/SQRT(Omega_m*(1+$J$1:$AD$1*B383)^3+Omega_L)))*(1+B383)*100000)</f>
        <v>35.270577617567227</v>
      </c>
      <c r="G383" s="89">
        <f t="shared" si="5"/>
        <v>7.3277617567228504E-2</v>
      </c>
    </row>
    <row r="384" spans="1:7" x14ac:dyDescent="0.6">
      <c r="A384" s="76" t="s">
        <v>1088</v>
      </c>
      <c r="B384" s="87">
        <v>2.5090000000000001E-2</v>
      </c>
      <c r="C384" s="88">
        <v>35.215200000000003</v>
      </c>
      <c r="D384" s="88">
        <v>0.26852999999999999</v>
      </c>
      <c r="E384" s="76">
        <v>0</v>
      </c>
      <c r="F384" s="89" cm="1">
        <f t="array" ref="F384">5*LOG10(((c_light/1000/H_0_SAM)*(B384/60)*SUMPRODUCT($J$2:$AD$2,1/SQRT(Omega_m*(1+$J$1:$AD$1*B384)^3+Omega_L)))*(1+B384)*100000)</f>
        <v>35.283837519046457</v>
      </c>
      <c r="G384" s="89">
        <f t="shared" si="5"/>
        <v>6.8637519046454543E-2</v>
      </c>
    </row>
    <row r="385" spans="1:7" x14ac:dyDescent="0.6">
      <c r="A385" s="76" t="s">
        <v>1089</v>
      </c>
      <c r="B385" s="87">
        <v>2.5100000000000001E-2</v>
      </c>
      <c r="C385" s="88">
        <v>34.8369</v>
      </c>
      <c r="D385" s="88">
        <v>0.28804000000000002</v>
      </c>
      <c r="E385" s="76">
        <v>0</v>
      </c>
      <c r="F385" s="89" cm="1">
        <f t="array" ref="F385">5*LOG10(((c_light/1000/H_0_SAM)*(B385/60)*SUMPRODUCT($J$2:$AD$2,1/SQRT(Omega_m*(1+$J$1:$AD$1*B385)^3+Omega_L)))*(1+B385)*100000)</f>
        <v>35.284718740689812</v>
      </c>
      <c r="G385" s="89">
        <f t="shared" si="5"/>
        <v>0.44781874068981153</v>
      </c>
    </row>
    <row r="386" spans="1:7" x14ac:dyDescent="0.6">
      <c r="A386" s="76" t="s">
        <v>1089</v>
      </c>
      <c r="B386" s="87">
        <v>2.5100000000000001E-2</v>
      </c>
      <c r="C386" s="88">
        <v>34.848199999999999</v>
      </c>
      <c r="D386" s="88">
        <v>0.18192</v>
      </c>
      <c r="E386" s="76">
        <v>0</v>
      </c>
      <c r="F386" s="89" cm="1">
        <f t="array" ref="F386">5*LOG10(((c_light/1000/H_0_SAM)*(B386/60)*SUMPRODUCT($J$2:$AD$2,1/SQRT(Omega_m*(1+$J$1:$AD$1*B386)^3+Omega_L)))*(1+B386)*100000)</f>
        <v>35.284718740689812</v>
      </c>
      <c r="G386" s="89">
        <f t="shared" si="5"/>
        <v>0.436518740689813</v>
      </c>
    </row>
    <row r="387" spans="1:7" x14ac:dyDescent="0.6">
      <c r="A387" s="76" t="s">
        <v>1090</v>
      </c>
      <c r="B387" s="87">
        <v>2.5100000000000001E-2</v>
      </c>
      <c r="C387" s="88">
        <v>35.079000000000001</v>
      </c>
      <c r="D387" s="88">
        <v>0.20599999999999999</v>
      </c>
      <c r="E387" s="76">
        <v>0</v>
      </c>
      <c r="F387" s="89" cm="1">
        <f t="array" ref="F387">5*LOG10(((c_light/1000/H_0_SAM)*(B387/60)*SUMPRODUCT($J$2:$AD$2,1/SQRT(Omega_m*(1+$J$1:$AD$1*B387)^3+Omega_L)))*(1+B387)*100000)</f>
        <v>35.284718740689812</v>
      </c>
      <c r="G387" s="89">
        <f t="shared" si="5"/>
        <v>0.20571874068981089</v>
      </c>
    </row>
    <row r="388" spans="1:7" x14ac:dyDescent="0.6">
      <c r="A388" s="76" t="s">
        <v>1089</v>
      </c>
      <c r="B388" s="87">
        <v>2.5100000000000001E-2</v>
      </c>
      <c r="C388" s="88">
        <v>35.009</v>
      </c>
      <c r="D388" s="88">
        <v>0.17688999999999999</v>
      </c>
      <c r="E388" s="76">
        <v>0</v>
      </c>
      <c r="F388" s="89" cm="1">
        <f t="array" ref="F388">5*LOG10(((c_light/1000/H_0_SAM)*(B388/60)*SUMPRODUCT($J$2:$AD$2,1/SQRT(Omega_m*(1+$J$1:$AD$1*B388)^3+Omega_L)))*(1+B388)*100000)</f>
        <v>35.284718740689812</v>
      </c>
      <c r="G388" s="89">
        <f t="shared" si="5"/>
        <v>0.27571874068981117</v>
      </c>
    </row>
    <row r="389" spans="1:7" x14ac:dyDescent="0.6">
      <c r="A389" s="76" t="s">
        <v>1091</v>
      </c>
      <c r="B389" s="87">
        <v>2.512E-2</v>
      </c>
      <c r="C389" s="88">
        <v>35.0276</v>
      </c>
      <c r="D389" s="88">
        <v>0.19020000000000001</v>
      </c>
      <c r="E389" s="76">
        <v>0</v>
      </c>
      <c r="F389" s="89" cm="1">
        <f t="array" ref="F389">5*LOG10(((c_light/1000/H_0_SAM)*(B389/60)*SUMPRODUCT($J$2:$AD$2,1/SQRT(Omega_m*(1+$J$1:$AD$1*B389)^3+Omega_L)))*(1+B389)*100000)</f>
        <v>35.286480149521665</v>
      </c>
      <c r="G389" s="89">
        <f t="shared" si="5"/>
        <v>0.25888014952166571</v>
      </c>
    </row>
    <row r="390" spans="1:7" x14ac:dyDescent="0.6">
      <c r="A390" s="76" t="s">
        <v>1092</v>
      </c>
      <c r="B390" s="87">
        <v>2.513E-2</v>
      </c>
      <c r="C390" s="88">
        <v>34.458300000000001</v>
      </c>
      <c r="D390" s="88">
        <v>0.33326</v>
      </c>
      <c r="E390" s="76">
        <v>0</v>
      </c>
      <c r="F390" s="89" cm="1">
        <f t="array" ref="F390">5*LOG10(((c_light/1000/H_0_SAM)*(B390/60)*SUMPRODUCT($J$2:$AD$2,1/SQRT(Omega_m*(1+$J$1:$AD$1*B390)^3+Omega_L)))*(1+B390)*100000)</f>
        <v>35.287360337258797</v>
      </c>
      <c r="G390" s="89">
        <f t="shared" ref="G390:G453" si="6">F390-C390</f>
        <v>0.82906033725879524</v>
      </c>
    </row>
    <row r="391" spans="1:7" x14ac:dyDescent="0.6">
      <c r="A391" s="76" t="s">
        <v>1093</v>
      </c>
      <c r="B391" s="87">
        <v>2.5170000000000001E-2</v>
      </c>
      <c r="C391" s="88">
        <v>34.911700000000003</v>
      </c>
      <c r="D391" s="88">
        <v>0.30647999999999997</v>
      </c>
      <c r="E391" s="76">
        <v>0</v>
      </c>
      <c r="F391" s="89" cm="1">
        <f t="array" ref="F391">5*LOG10(((c_light/1000/H_0_SAM)*(B391/60)*SUMPRODUCT($J$2:$AD$2,1/SQRT(Omega_m*(1+$J$1:$AD$1*B391)^3+Omega_L)))*(1+B391)*100000)</f>
        <v>35.290877650067486</v>
      </c>
      <c r="G391" s="89">
        <f t="shared" si="6"/>
        <v>0.37917765006748283</v>
      </c>
    </row>
    <row r="392" spans="1:7" x14ac:dyDescent="0.6">
      <c r="A392" s="76" t="s">
        <v>1094</v>
      </c>
      <c r="B392" s="87">
        <v>2.5170000000000001E-2</v>
      </c>
      <c r="C392" s="88">
        <v>35.198900000000002</v>
      </c>
      <c r="D392" s="88">
        <v>0.23827999999999999</v>
      </c>
      <c r="E392" s="76">
        <v>0</v>
      </c>
      <c r="F392" s="89" cm="1">
        <f t="array" ref="F392">5*LOG10(((c_light/1000/H_0_SAM)*(B392/60)*SUMPRODUCT($J$2:$AD$2,1/SQRT(Omega_m*(1+$J$1:$AD$1*B392)^3+Omega_L)))*(1+B392)*100000)</f>
        <v>35.290877650067486</v>
      </c>
      <c r="G392" s="89">
        <f t="shared" si="6"/>
        <v>9.1977650067484262E-2</v>
      </c>
    </row>
    <row r="393" spans="1:7" x14ac:dyDescent="0.6">
      <c r="A393" s="76">
        <v>370356</v>
      </c>
      <c r="B393" s="87">
        <v>2.5170000000000001E-2</v>
      </c>
      <c r="C393" s="88">
        <v>35.227699999999999</v>
      </c>
      <c r="D393" s="88">
        <v>0.20437</v>
      </c>
      <c r="E393" s="76">
        <v>0</v>
      </c>
      <c r="F393" s="89" cm="1">
        <f t="array" ref="F393">5*LOG10(((c_light/1000/H_0_SAM)*(B393/60)*SUMPRODUCT($J$2:$AD$2,1/SQRT(Omega_m*(1+$J$1:$AD$1*B393)^3+Omega_L)))*(1+B393)*100000)</f>
        <v>35.290877650067486</v>
      </c>
      <c r="G393" s="89">
        <f t="shared" si="6"/>
        <v>6.3177650067487434E-2</v>
      </c>
    </row>
    <row r="394" spans="1:7" x14ac:dyDescent="0.6">
      <c r="A394" s="76" t="s">
        <v>1095</v>
      </c>
      <c r="B394" s="87">
        <v>2.5190000000000001E-2</v>
      </c>
      <c r="C394" s="88">
        <v>35.113900000000001</v>
      </c>
      <c r="D394" s="88">
        <v>0.15531</v>
      </c>
      <c r="E394" s="76">
        <v>0</v>
      </c>
      <c r="F394" s="89" cm="1">
        <f t="array" ref="F394">5*LOG10(((c_light/1000/H_0_SAM)*(B394/60)*SUMPRODUCT($J$2:$AD$2,1/SQRT(Omega_m*(1+$J$1:$AD$1*B394)^3+Omega_L)))*(1+B394)*100000)</f>
        <v>35.292634247408927</v>
      </c>
      <c r="G394" s="89">
        <f t="shared" si="6"/>
        <v>0.17873424740892574</v>
      </c>
    </row>
    <row r="395" spans="1:7" x14ac:dyDescent="0.6">
      <c r="A395" s="76" t="s">
        <v>1095</v>
      </c>
      <c r="B395" s="87">
        <v>2.5190000000000001E-2</v>
      </c>
      <c r="C395" s="88">
        <v>35.1145</v>
      </c>
      <c r="D395" s="88">
        <v>0.17483000000000001</v>
      </c>
      <c r="E395" s="76">
        <v>0</v>
      </c>
      <c r="F395" s="89" cm="1">
        <f t="array" ref="F395">5*LOG10(((c_light/1000/H_0_SAM)*(B395/60)*SUMPRODUCT($J$2:$AD$2,1/SQRT(Omega_m*(1+$J$1:$AD$1*B395)^3+Omega_L)))*(1+B395)*100000)</f>
        <v>35.292634247408927</v>
      </c>
      <c r="G395" s="89">
        <f t="shared" si="6"/>
        <v>0.17813424740892714</v>
      </c>
    </row>
    <row r="396" spans="1:7" x14ac:dyDescent="0.6">
      <c r="A396" s="76" t="s">
        <v>1096</v>
      </c>
      <c r="B396" s="87">
        <v>2.521E-2</v>
      </c>
      <c r="C396" s="88">
        <v>34.984200000000001</v>
      </c>
      <c r="D396" s="88">
        <v>0.18528</v>
      </c>
      <c r="E396" s="76">
        <v>0</v>
      </c>
      <c r="F396" s="89" cm="1">
        <f t="array" ref="F396">5*LOG10(((c_light/1000/H_0_SAM)*(B396/60)*SUMPRODUCT($J$2:$AD$2,1/SQRT(Omega_m*(1+$J$1:$AD$1*B396)^3+Omega_L)))*(1+B396)*100000)</f>
        <v>35.294389474945199</v>
      </c>
      <c r="G396" s="89">
        <f t="shared" si="6"/>
        <v>0.31018947494519722</v>
      </c>
    </row>
    <row r="397" spans="1:7" x14ac:dyDescent="0.6">
      <c r="A397" s="76" t="s">
        <v>1097</v>
      </c>
      <c r="B397" s="87">
        <v>2.5250000000000002E-2</v>
      </c>
      <c r="C397" s="88">
        <v>34.944099999999999</v>
      </c>
      <c r="D397" s="88">
        <v>0.24071999999999999</v>
      </c>
      <c r="E397" s="76">
        <v>0</v>
      </c>
      <c r="F397" s="89" cm="1">
        <f t="array" ref="F397">5*LOG10(((c_light/1000/H_0_SAM)*(B397/60)*SUMPRODUCT($J$2:$AD$2,1/SQRT(Omega_m*(1+$J$1:$AD$1*B397)^3+Omega_L)))*(1+B397)*100000)</f>
        <v>35.297895829281494</v>
      </c>
      <c r="G397" s="89">
        <f t="shared" si="6"/>
        <v>0.35379582928149489</v>
      </c>
    </row>
    <row r="398" spans="1:7" x14ac:dyDescent="0.6">
      <c r="A398" s="76" t="s">
        <v>1097</v>
      </c>
      <c r="B398" s="87">
        <v>2.5250000000000002E-2</v>
      </c>
      <c r="C398" s="88">
        <v>34.906300000000002</v>
      </c>
      <c r="D398" s="88">
        <v>0.26906999999999998</v>
      </c>
      <c r="E398" s="76">
        <v>0</v>
      </c>
      <c r="F398" s="89" cm="1">
        <f t="array" ref="F398">5*LOG10(((c_light/1000/H_0_SAM)*(B398/60)*SUMPRODUCT($J$2:$AD$2,1/SQRT(Omega_m*(1+$J$1:$AD$1*B398)^3+Omega_L)))*(1+B398)*100000)</f>
        <v>35.297895829281494</v>
      </c>
      <c r="G398" s="89">
        <f t="shared" si="6"/>
        <v>0.39159582928149206</v>
      </c>
    </row>
    <row r="399" spans="1:7" x14ac:dyDescent="0.6">
      <c r="A399" s="76" t="s">
        <v>1098</v>
      </c>
      <c r="B399" s="87">
        <v>2.5340000000000001E-2</v>
      </c>
      <c r="C399" s="88">
        <v>35.188200000000002</v>
      </c>
      <c r="D399" s="88">
        <v>0.1767</v>
      </c>
      <c r="E399" s="76">
        <v>0</v>
      </c>
      <c r="F399" s="89" cm="1">
        <f t="array" ref="F399">5*LOG10(((c_light/1000/H_0_SAM)*(B399/60)*SUMPRODUCT($J$2:$AD$2,1/SQRT(Omega_m*(1+$J$1:$AD$1*B399)^3+Omega_L)))*(1+B399)*100000)</f>
        <v>35.305765214383193</v>
      </c>
      <c r="G399" s="89">
        <f t="shared" si="6"/>
        <v>0.11756521438319112</v>
      </c>
    </row>
    <row r="400" spans="1:7" x14ac:dyDescent="0.6">
      <c r="A400" s="76" t="s">
        <v>1099</v>
      </c>
      <c r="B400" s="87">
        <v>2.5340000000000001E-2</v>
      </c>
      <c r="C400" s="88">
        <v>35.197400000000002</v>
      </c>
      <c r="D400" s="88">
        <v>0.18593999999999999</v>
      </c>
      <c r="E400" s="76">
        <v>0</v>
      </c>
      <c r="F400" s="89" cm="1">
        <f t="array" ref="F400">5*LOG10(((c_light/1000/H_0_SAM)*(B400/60)*SUMPRODUCT($J$2:$AD$2,1/SQRT(Omega_m*(1+$J$1:$AD$1*B400)^3+Omega_L)))*(1+B400)*100000)</f>
        <v>35.305765214383193</v>
      </c>
      <c r="G400" s="89">
        <f t="shared" si="6"/>
        <v>0.10836521438319124</v>
      </c>
    </row>
    <row r="401" spans="1:7" x14ac:dyDescent="0.6">
      <c r="A401" s="76" t="s">
        <v>1100</v>
      </c>
      <c r="B401" s="87">
        <v>2.5559999999999999E-2</v>
      </c>
      <c r="C401" s="88">
        <v>35.1828</v>
      </c>
      <c r="D401" s="88">
        <v>0.23372000000000001</v>
      </c>
      <c r="E401" s="76">
        <v>0</v>
      </c>
      <c r="F401" s="89" cm="1">
        <f t="array" ref="F401">5*LOG10(((c_light/1000/H_0_SAM)*(B401/60)*SUMPRODUCT($J$2:$AD$2,1/SQRT(Omega_m*(1+$J$1:$AD$1*B401)^3+Omega_L)))*(1+B401)*100000)</f>
        <v>35.324886481844473</v>
      </c>
      <c r="G401" s="89">
        <f t="shared" si="6"/>
        <v>0.1420864818444727</v>
      </c>
    </row>
    <row r="402" spans="1:7" x14ac:dyDescent="0.6">
      <c r="A402" s="76" t="s">
        <v>1101</v>
      </c>
      <c r="B402" s="87">
        <v>2.5569999999999999E-2</v>
      </c>
      <c r="C402" s="88">
        <v>35.062100000000001</v>
      </c>
      <c r="D402" s="88">
        <v>0.19017999999999999</v>
      </c>
      <c r="E402" s="76">
        <v>0</v>
      </c>
      <c r="F402" s="89" cm="1">
        <f t="array" ref="F402">5*LOG10(((c_light/1000/H_0_SAM)*(B402/60)*SUMPRODUCT($J$2:$AD$2,1/SQRT(Omega_m*(1+$J$1:$AD$1*B402)^3+Omega_L)))*(1+B402)*100000)</f>
        <v>35.325751784218703</v>
      </c>
      <c r="G402" s="89">
        <f t="shared" si="6"/>
        <v>0.26365178421870183</v>
      </c>
    </row>
    <row r="403" spans="1:7" x14ac:dyDescent="0.6">
      <c r="A403" s="76" t="s">
        <v>1102</v>
      </c>
      <c r="B403" s="87">
        <v>2.5850000000000001E-2</v>
      </c>
      <c r="C403" s="88">
        <v>34.766399999999997</v>
      </c>
      <c r="D403" s="88">
        <v>0.34469</v>
      </c>
      <c r="E403" s="76">
        <v>0</v>
      </c>
      <c r="F403" s="89" cm="1">
        <f t="array" ref="F403">5*LOG10(((c_light/1000/H_0_SAM)*(B403/60)*SUMPRODUCT($J$2:$AD$2,1/SQRT(Omega_m*(1+$J$1:$AD$1*B403)^3+Omega_L)))*(1+B403)*100000)</f>
        <v>35.349846255977965</v>
      </c>
      <c r="G403" s="89">
        <f t="shared" si="6"/>
        <v>0.58344625597796806</v>
      </c>
    </row>
    <row r="404" spans="1:7" x14ac:dyDescent="0.6">
      <c r="A404" s="76" t="s">
        <v>1103</v>
      </c>
      <c r="B404" s="87">
        <v>2.5909999999999999E-2</v>
      </c>
      <c r="C404" s="88">
        <v>35.118099999999998</v>
      </c>
      <c r="D404" s="88">
        <v>0.20018</v>
      </c>
      <c r="E404" s="76">
        <v>0</v>
      </c>
      <c r="F404" s="89" cm="1">
        <f t="array" ref="F404">5*LOG10(((c_light/1000/H_0_SAM)*(B404/60)*SUMPRODUCT($J$2:$AD$2,1/SQRT(Omega_m*(1+$J$1:$AD$1*B404)^3+Omega_L)))*(1+B404)*100000)</f>
        <v>35.3549759970537</v>
      </c>
      <c r="G404" s="89">
        <f t="shared" si="6"/>
        <v>0.23687599705370133</v>
      </c>
    </row>
    <row r="405" spans="1:7" x14ac:dyDescent="0.6">
      <c r="A405" s="76" t="s">
        <v>1104</v>
      </c>
      <c r="B405" s="87">
        <v>2.596E-2</v>
      </c>
      <c r="C405" s="88">
        <v>35.401400000000002</v>
      </c>
      <c r="D405" s="88">
        <v>0.20049</v>
      </c>
      <c r="E405" s="76">
        <v>0</v>
      </c>
      <c r="F405" s="89" cm="1">
        <f t="array" ref="F405">5*LOG10(((c_light/1000/H_0_SAM)*(B405/60)*SUMPRODUCT($J$2:$AD$2,1/SQRT(Omega_m*(1+$J$1:$AD$1*B405)^3+Omega_L)))*(1+B405)*100000)</f>
        <v>35.359241877337709</v>
      </c>
      <c r="G405" s="89">
        <f t="shared" si="6"/>
        <v>-4.2158122662293351E-2</v>
      </c>
    </row>
    <row r="406" spans="1:7" x14ac:dyDescent="0.6">
      <c r="A406" s="76" t="s">
        <v>1105</v>
      </c>
      <c r="B406" s="87">
        <v>2.598E-2</v>
      </c>
      <c r="C406" s="88">
        <v>35.293100000000003</v>
      </c>
      <c r="D406" s="88">
        <v>0.17954999999999999</v>
      </c>
      <c r="E406" s="76">
        <v>0</v>
      </c>
      <c r="F406" s="89" cm="1">
        <f t="array" ref="F406">5*LOG10(((c_light/1000/H_0_SAM)*(B406/60)*SUMPRODUCT($J$2:$AD$2,1/SQRT(Omega_m*(1+$J$1:$AD$1*B406)^3+Omega_L)))*(1+B406)*100000)</f>
        <v>35.360945970553033</v>
      </c>
      <c r="G406" s="89">
        <f t="shared" si="6"/>
        <v>6.7845970553030099E-2</v>
      </c>
    </row>
    <row r="407" spans="1:7" x14ac:dyDescent="0.6">
      <c r="A407" s="76" t="s">
        <v>1105</v>
      </c>
      <c r="B407" s="87">
        <v>2.598E-2</v>
      </c>
      <c r="C407" s="88">
        <v>35.1081</v>
      </c>
      <c r="D407" s="88">
        <v>0.19824</v>
      </c>
      <c r="E407" s="76">
        <v>0</v>
      </c>
      <c r="F407" s="89" cm="1">
        <f t="array" ref="F407">5*LOG10(((c_light/1000/H_0_SAM)*(B407/60)*SUMPRODUCT($J$2:$AD$2,1/SQRT(Omega_m*(1+$J$1:$AD$1*B407)^3+Omega_L)))*(1+B407)*100000)</f>
        <v>35.360945970553033</v>
      </c>
      <c r="G407" s="89">
        <f t="shared" si="6"/>
        <v>0.25284597055303237</v>
      </c>
    </row>
    <row r="408" spans="1:7" x14ac:dyDescent="0.6">
      <c r="A408" s="76" t="s">
        <v>1105</v>
      </c>
      <c r="B408" s="87">
        <v>2.598E-2</v>
      </c>
      <c r="C408" s="88">
        <v>34.835000000000001</v>
      </c>
      <c r="D408" s="88">
        <v>0.34831000000000001</v>
      </c>
      <c r="E408" s="76">
        <v>0</v>
      </c>
      <c r="F408" s="89" cm="1">
        <f t="array" ref="F408">5*LOG10(((c_light/1000/H_0_SAM)*(B408/60)*SUMPRODUCT($J$2:$AD$2,1/SQRT(Omega_m*(1+$J$1:$AD$1*B408)^3+Omega_L)))*(1+B408)*100000)</f>
        <v>35.360945970553033</v>
      </c>
      <c r="G408" s="89">
        <f t="shared" si="6"/>
        <v>0.52594597055303183</v>
      </c>
    </row>
    <row r="409" spans="1:7" x14ac:dyDescent="0.6">
      <c r="A409" s="76" t="s">
        <v>1106</v>
      </c>
      <c r="B409" s="87">
        <v>2.598E-2</v>
      </c>
      <c r="C409" s="88">
        <v>35.311100000000003</v>
      </c>
      <c r="D409" s="88">
        <v>0.17873</v>
      </c>
      <c r="E409" s="76">
        <v>0</v>
      </c>
      <c r="F409" s="89" cm="1">
        <f t="array" ref="F409">5*LOG10(((c_light/1000/H_0_SAM)*(B409/60)*SUMPRODUCT($J$2:$AD$2,1/SQRT(Omega_m*(1+$J$1:$AD$1*B409)^3+Omega_L)))*(1+B409)*100000)</f>
        <v>35.360945970553033</v>
      </c>
      <c r="G409" s="89">
        <f t="shared" si="6"/>
        <v>4.9845970553029417E-2</v>
      </c>
    </row>
    <row r="410" spans="1:7" x14ac:dyDescent="0.6">
      <c r="A410" s="76" t="s">
        <v>1107</v>
      </c>
      <c r="B410" s="87">
        <v>2.6259999999999999E-2</v>
      </c>
      <c r="C410" s="88">
        <v>35.285499999999999</v>
      </c>
      <c r="D410" s="88">
        <v>0.28891</v>
      </c>
      <c r="E410" s="76">
        <v>0</v>
      </c>
      <c r="F410" s="89" cm="1">
        <f t="array" ref="F410">5*LOG10(((c_light/1000/H_0_SAM)*(B410/60)*SUMPRODUCT($J$2:$AD$2,1/SQRT(Omega_m*(1+$J$1:$AD$1*B410)^3+Omega_L)))*(1+B410)*100000)</f>
        <v>35.384668948665578</v>
      </c>
      <c r="G410" s="89">
        <f t="shared" si="6"/>
        <v>9.9168948665578682E-2</v>
      </c>
    </row>
    <row r="411" spans="1:7" x14ac:dyDescent="0.6">
      <c r="A411" s="76" t="s">
        <v>1107</v>
      </c>
      <c r="B411" s="87">
        <v>2.6259999999999999E-2</v>
      </c>
      <c r="C411" s="88">
        <v>35.3429</v>
      </c>
      <c r="D411" s="88">
        <v>0.32323000000000002</v>
      </c>
      <c r="E411" s="76">
        <v>0</v>
      </c>
      <c r="F411" s="89" cm="1">
        <f t="array" ref="F411">5*LOG10(((c_light/1000/H_0_SAM)*(B411/60)*SUMPRODUCT($J$2:$AD$2,1/SQRT(Omega_m*(1+$J$1:$AD$1*B411)^3+Omega_L)))*(1+B411)*100000)</f>
        <v>35.384668948665578</v>
      </c>
      <c r="G411" s="89">
        <f t="shared" si="6"/>
        <v>4.1768948665577454E-2</v>
      </c>
    </row>
    <row r="412" spans="1:7" x14ac:dyDescent="0.6">
      <c r="A412" s="76" t="s">
        <v>1108</v>
      </c>
      <c r="B412" s="87">
        <v>2.632E-2</v>
      </c>
      <c r="C412" s="88">
        <v>35.022300000000001</v>
      </c>
      <c r="D412" s="88">
        <v>0.37235000000000001</v>
      </c>
      <c r="E412" s="76">
        <v>0</v>
      </c>
      <c r="F412" s="89" cm="1">
        <f t="array" ref="F412">5*LOG10(((c_light/1000/H_0_SAM)*(B412/60)*SUMPRODUCT($J$2:$AD$2,1/SQRT(Omega_m*(1+$J$1:$AD$1*B412)^3+Omega_L)))*(1+B412)*100000)</f>
        <v>35.389720119699973</v>
      </c>
      <c r="G412" s="89">
        <f t="shared" si="6"/>
        <v>0.36742011969997179</v>
      </c>
    </row>
    <row r="413" spans="1:7" x14ac:dyDescent="0.6">
      <c r="A413" s="76" t="s">
        <v>1109</v>
      </c>
      <c r="B413" s="87">
        <v>2.6689999999999998E-2</v>
      </c>
      <c r="C413" s="88">
        <v>35.308</v>
      </c>
      <c r="D413" s="88">
        <v>0.17959</v>
      </c>
      <c r="E413" s="76">
        <v>0</v>
      </c>
      <c r="F413" s="89" cm="1">
        <f t="array" ref="F413">5*LOG10(((c_light/1000/H_0_SAM)*(B413/60)*SUMPRODUCT($J$2:$AD$2,1/SQRT(Omega_m*(1+$J$1:$AD$1*B413)^3+Omega_L)))*(1+B413)*100000)</f>
        <v>35.420621398903521</v>
      </c>
      <c r="G413" s="89">
        <f t="shared" si="6"/>
        <v>0.11262139890352074</v>
      </c>
    </row>
    <row r="414" spans="1:7" x14ac:dyDescent="0.6">
      <c r="A414" s="76" t="s">
        <v>1110</v>
      </c>
      <c r="B414" s="87">
        <v>2.691E-2</v>
      </c>
      <c r="C414" s="88">
        <v>35.268799999999999</v>
      </c>
      <c r="D414" s="88">
        <v>0.18337000000000001</v>
      </c>
      <c r="E414" s="76">
        <v>0</v>
      </c>
      <c r="F414" s="89" cm="1">
        <f t="array" ref="F414">5*LOG10(((c_light/1000/H_0_SAM)*(B414/60)*SUMPRODUCT($J$2:$AD$2,1/SQRT(Omega_m*(1+$J$1:$AD$1*B414)^3+Omega_L)))*(1+B414)*100000)</f>
        <v>35.438796388895916</v>
      </c>
      <c r="G414" s="89">
        <f t="shared" si="6"/>
        <v>0.16999638889591751</v>
      </c>
    </row>
    <row r="415" spans="1:7" x14ac:dyDescent="0.6">
      <c r="A415" s="76" t="s">
        <v>1110</v>
      </c>
      <c r="B415" s="87">
        <v>2.691E-2</v>
      </c>
      <c r="C415" s="88">
        <v>35.289200000000001</v>
      </c>
      <c r="D415" s="88">
        <v>0.20588000000000001</v>
      </c>
      <c r="E415" s="76">
        <v>0</v>
      </c>
      <c r="F415" s="89" cm="1">
        <f t="array" ref="F415">5*LOG10(((c_light/1000/H_0_SAM)*(B415/60)*SUMPRODUCT($J$2:$AD$2,1/SQRT(Omega_m*(1+$J$1:$AD$1*B415)^3+Omega_L)))*(1+B415)*100000)</f>
        <v>35.438796388895916</v>
      </c>
      <c r="G415" s="89">
        <f t="shared" si="6"/>
        <v>0.14959638889591531</v>
      </c>
    </row>
    <row r="416" spans="1:7" x14ac:dyDescent="0.6">
      <c r="A416" s="76" t="s">
        <v>1111</v>
      </c>
      <c r="B416" s="87">
        <v>2.6950000000000002E-2</v>
      </c>
      <c r="C416" s="88">
        <v>35.118400000000001</v>
      </c>
      <c r="D416" s="88">
        <v>0.18137</v>
      </c>
      <c r="E416" s="76">
        <v>0</v>
      </c>
      <c r="F416" s="89" cm="1">
        <f t="array" ref="F416">5*LOG10(((c_light/1000/H_0_SAM)*(B416/60)*SUMPRODUCT($J$2:$AD$2,1/SQRT(Omega_m*(1+$J$1:$AD$1*B416)^3+Omega_L)))*(1+B416)*100000)</f>
        <v>35.442085257244464</v>
      </c>
      <c r="G416" s="89">
        <f t="shared" si="6"/>
        <v>0.32368525724446329</v>
      </c>
    </row>
    <row r="417" spans="1:7" x14ac:dyDescent="0.6">
      <c r="A417" s="76" t="s">
        <v>1112</v>
      </c>
      <c r="B417" s="87">
        <v>2.7130000000000001E-2</v>
      </c>
      <c r="C417" s="88">
        <v>35.251300000000001</v>
      </c>
      <c r="D417" s="88">
        <v>0.18676000000000001</v>
      </c>
      <c r="E417" s="76">
        <v>0</v>
      </c>
      <c r="F417" s="89" cm="1">
        <f t="array" ref="F417">5*LOG10(((c_light/1000/H_0_SAM)*(B417/60)*SUMPRODUCT($J$2:$AD$2,1/SQRT(Omega_m*(1+$J$1:$AD$1*B417)^3+Omega_L)))*(1+B417)*100000)</f>
        <v>35.456826124666051</v>
      </c>
      <c r="G417" s="89">
        <f t="shared" si="6"/>
        <v>0.20552612466605069</v>
      </c>
    </row>
    <row r="418" spans="1:7" x14ac:dyDescent="0.6">
      <c r="A418" s="76" t="s">
        <v>1113</v>
      </c>
      <c r="B418" s="87">
        <v>2.7140000000000001E-2</v>
      </c>
      <c r="C418" s="88">
        <v>35.322400000000002</v>
      </c>
      <c r="D418" s="88">
        <v>0.21606</v>
      </c>
      <c r="E418" s="76">
        <v>0</v>
      </c>
      <c r="F418" s="89" cm="1">
        <f t="array" ref="F418">5*LOG10(((c_light/1000/H_0_SAM)*(B418/60)*SUMPRODUCT($J$2:$AD$2,1/SQRT(Omega_m*(1+$J$1:$AD$1*B418)^3+Omega_L)))*(1+B418)*100000)</f>
        <v>35.457642245023706</v>
      </c>
      <c r="G418" s="89">
        <f t="shared" si="6"/>
        <v>0.1352422450237043</v>
      </c>
    </row>
    <row r="419" spans="1:7" x14ac:dyDescent="0.6">
      <c r="A419" s="76" t="s">
        <v>1114</v>
      </c>
      <c r="B419" s="87">
        <v>2.7300000000000001E-2</v>
      </c>
      <c r="C419" s="88">
        <v>35.289200000000001</v>
      </c>
      <c r="D419" s="88">
        <v>0.29891000000000001</v>
      </c>
      <c r="E419" s="76">
        <v>0</v>
      </c>
      <c r="F419" s="89" cm="1">
        <f t="array" ref="F419">5*LOG10(((c_light/1000/H_0_SAM)*(B419/60)*SUMPRODUCT($J$2:$AD$2,1/SQRT(Omega_m*(1+$J$1:$AD$1*B419)^3+Omega_L)))*(1+B419)*100000)</f>
        <v>35.470660192253433</v>
      </c>
      <c r="G419" s="89">
        <f t="shared" si="6"/>
        <v>0.18146019225343224</v>
      </c>
    </row>
    <row r="420" spans="1:7" x14ac:dyDescent="0.6">
      <c r="A420" s="76" t="s">
        <v>1115</v>
      </c>
      <c r="B420" s="87">
        <v>2.7310000000000001E-2</v>
      </c>
      <c r="C420" s="88">
        <v>35.267299999999999</v>
      </c>
      <c r="D420" s="88">
        <v>0.17236000000000001</v>
      </c>
      <c r="E420" s="76">
        <v>0</v>
      </c>
      <c r="F420" s="89" cm="1">
        <f t="array" ref="F420">5*LOG10(((c_light/1000/H_0_SAM)*(B420/60)*SUMPRODUCT($J$2:$AD$2,1/SQRT(Omega_m*(1+$J$1:$AD$1*B420)^3+Omega_L)))*(1+B420)*100000)</f>
        <v>35.471471326282085</v>
      </c>
      <c r="G420" s="89">
        <f t="shared" si="6"/>
        <v>0.20417132628208634</v>
      </c>
    </row>
    <row r="421" spans="1:7" x14ac:dyDescent="0.6">
      <c r="A421" s="76" t="s">
        <v>1116</v>
      </c>
      <c r="B421" s="87">
        <v>2.7310000000000001E-2</v>
      </c>
      <c r="C421" s="88">
        <v>35.343699999999998</v>
      </c>
      <c r="D421" s="88">
        <v>0.23079</v>
      </c>
      <c r="E421" s="76">
        <v>0</v>
      </c>
      <c r="F421" s="89" cm="1">
        <f t="array" ref="F421">5*LOG10(((c_light/1000/H_0_SAM)*(B421/60)*SUMPRODUCT($J$2:$AD$2,1/SQRT(Omega_m*(1+$J$1:$AD$1*B421)^3+Omega_L)))*(1+B421)*100000)</f>
        <v>35.471471326282085</v>
      </c>
      <c r="G421" s="89">
        <f t="shared" si="6"/>
        <v>0.12777132628208676</v>
      </c>
    </row>
    <row r="422" spans="1:7" x14ac:dyDescent="0.6">
      <c r="A422" s="76" t="s">
        <v>1116</v>
      </c>
      <c r="B422" s="87">
        <v>2.7310000000000001E-2</v>
      </c>
      <c r="C422" s="88">
        <v>35.111800000000002</v>
      </c>
      <c r="D422" s="88">
        <v>0.34659000000000001</v>
      </c>
      <c r="E422" s="76">
        <v>0</v>
      </c>
      <c r="F422" s="89" cm="1">
        <f t="array" ref="F422">5*LOG10(((c_light/1000/H_0_SAM)*(B422/60)*SUMPRODUCT($J$2:$AD$2,1/SQRT(Omega_m*(1+$J$1:$AD$1*B422)^3+Omega_L)))*(1+B422)*100000)</f>
        <v>35.471471326282085</v>
      </c>
      <c r="G422" s="89">
        <f t="shared" si="6"/>
        <v>0.35967132628208276</v>
      </c>
    </row>
    <row r="423" spans="1:7" x14ac:dyDescent="0.6">
      <c r="A423" s="76" t="s">
        <v>1116</v>
      </c>
      <c r="B423" s="87">
        <v>2.7310000000000001E-2</v>
      </c>
      <c r="C423" s="88">
        <v>35.226999999999997</v>
      </c>
      <c r="D423" s="88">
        <v>0.26164999999999999</v>
      </c>
      <c r="E423" s="76">
        <v>0</v>
      </c>
      <c r="F423" s="89" cm="1">
        <f t="array" ref="F423">5*LOG10(((c_light/1000/H_0_SAM)*(B423/60)*SUMPRODUCT($J$2:$AD$2,1/SQRT(Omega_m*(1+$J$1:$AD$1*B423)^3+Omega_L)))*(1+B423)*100000)</f>
        <v>35.471471326282085</v>
      </c>
      <c r="G423" s="89">
        <f t="shared" si="6"/>
        <v>0.24447132628208834</v>
      </c>
    </row>
    <row r="424" spans="1:7" x14ac:dyDescent="0.6">
      <c r="A424" s="76" t="s">
        <v>1117</v>
      </c>
      <c r="B424" s="87">
        <v>2.7359999999999999E-2</v>
      </c>
      <c r="C424" s="88">
        <v>35.313000000000002</v>
      </c>
      <c r="D424" s="88">
        <v>0.22014</v>
      </c>
      <c r="E424" s="76">
        <v>0</v>
      </c>
      <c r="F424" s="89" cm="1">
        <f t="array" ref="F424">5*LOG10(((c_light/1000/H_0_SAM)*(B424/60)*SUMPRODUCT($J$2:$AD$2,1/SQRT(Omega_m*(1+$J$1:$AD$1*B424)^3+Omega_L)))*(1+B424)*100000)</f>
        <v>35.475522629952188</v>
      </c>
      <c r="G424" s="89">
        <f t="shared" si="6"/>
        <v>0.16252262995218558</v>
      </c>
    </row>
    <row r="425" spans="1:7" x14ac:dyDescent="0.6">
      <c r="A425" s="76" t="s">
        <v>1118</v>
      </c>
      <c r="B425" s="87">
        <v>2.7400000000000001E-2</v>
      </c>
      <c r="C425" s="88">
        <v>35.304200000000002</v>
      </c>
      <c r="D425" s="88">
        <v>0.35285</v>
      </c>
      <c r="E425" s="76">
        <v>0</v>
      </c>
      <c r="F425" s="89" cm="1">
        <f t="array" ref="F425">5*LOG10(((c_light/1000/H_0_SAM)*(B425/60)*SUMPRODUCT($J$2:$AD$2,1/SQRT(Omega_m*(1+$J$1:$AD$1*B425)^3+Omega_L)))*(1+B425)*100000)</f>
        <v>35.478758445868209</v>
      </c>
      <c r="G425" s="89">
        <f t="shared" si="6"/>
        <v>0.17455844586820746</v>
      </c>
    </row>
    <row r="426" spans="1:7" x14ac:dyDescent="0.6">
      <c r="A426" s="76" t="s">
        <v>1119</v>
      </c>
      <c r="B426" s="87">
        <v>2.741E-2</v>
      </c>
      <c r="C426" s="88">
        <v>35.523600000000002</v>
      </c>
      <c r="D426" s="88">
        <v>0.22534000000000001</v>
      </c>
      <c r="E426" s="76">
        <v>0</v>
      </c>
      <c r="F426" s="89" cm="1">
        <f t="array" ref="F426">5*LOG10(((c_light/1000/H_0_SAM)*(B426/60)*SUMPRODUCT($J$2:$AD$2,1/SQRT(Omega_m*(1+$J$1:$AD$1*B426)^3+Omega_L)))*(1+B426)*100000)</f>
        <v>35.479566675637393</v>
      </c>
      <c r="G426" s="89">
        <f t="shared" si="6"/>
        <v>-4.4033324362608539E-2</v>
      </c>
    </row>
    <row r="427" spans="1:7" x14ac:dyDescent="0.6">
      <c r="A427" s="76" t="s">
        <v>1120</v>
      </c>
      <c r="B427" s="87">
        <v>2.7480000000000001E-2</v>
      </c>
      <c r="C427" s="88">
        <v>35.113</v>
      </c>
      <c r="D427" s="88">
        <v>0.17272000000000001</v>
      </c>
      <c r="E427" s="76">
        <v>0</v>
      </c>
      <c r="F427" s="89" cm="1">
        <f t="array" ref="F427">5*LOG10(((c_light/1000/H_0_SAM)*(B427/60)*SUMPRODUCT($J$2:$AD$2,1/SQRT(Omega_m*(1+$J$1:$AD$1*B427)^3+Omega_L)))*(1+B427)*100000)</f>
        <v>35.485216196485467</v>
      </c>
      <c r="G427" s="89">
        <f t="shared" si="6"/>
        <v>0.37221619648546778</v>
      </c>
    </row>
    <row r="428" spans="1:7" x14ac:dyDescent="0.6">
      <c r="A428" s="76" t="s">
        <v>1120</v>
      </c>
      <c r="B428" s="87">
        <v>2.7480000000000001E-2</v>
      </c>
      <c r="C428" s="88">
        <v>35.153799999999997</v>
      </c>
      <c r="D428" s="88">
        <v>0.18686</v>
      </c>
      <c r="E428" s="76">
        <v>0</v>
      </c>
      <c r="F428" s="89" cm="1">
        <f t="array" ref="F428">5*LOG10(((c_light/1000/H_0_SAM)*(B428/60)*SUMPRODUCT($J$2:$AD$2,1/SQRT(Omega_m*(1+$J$1:$AD$1*B428)^3+Omega_L)))*(1+B428)*100000)</f>
        <v>35.485216196485467</v>
      </c>
      <c r="G428" s="89">
        <f t="shared" si="6"/>
        <v>0.33141619648547049</v>
      </c>
    </row>
    <row r="429" spans="1:7" x14ac:dyDescent="0.6">
      <c r="A429" s="76" t="s">
        <v>1120</v>
      </c>
      <c r="B429" s="87">
        <v>2.7480000000000001E-2</v>
      </c>
      <c r="C429" s="88">
        <v>35.111699999999999</v>
      </c>
      <c r="D429" s="88">
        <v>0.17030000000000001</v>
      </c>
      <c r="E429" s="76">
        <v>0</v>
      </c>
      <c r="F429" s="89" cm="1">
        <f t="array" ref="F429">5*LOG10(((c_light/1000/H_0_SAM)*(B429/60)*SUMPRODUCT($J$2:$AD$2,1/SQRT(Omega_m*(1+$J$1:$AD$1*B429)^3+Omega_L)))*(1+B429)*100000)</f>
        <v>35.485216196485467</v>
      </c>
      <c r="G429" s="89">
        <f t="shared" si="6"/>
        <v>0.3735161964854683</v>
      </c>
    </row>
    <row r="430" spans="1:7" x14ac:dyDescent="0.6">
      <c r="A430" s="76" t="s">
        <v>1121</v>
      </c>
      <c r="B430" s="87">
        <v>2.7730000000000001E-2</v>
      </c>
      <c r="C430" s="88">
        <v>35.346699999999998</v>
      </c>
      <c r="D430" s="88">
        <v>0.28987000000000002</v>
      </c>
      <c r="E430" s="76">
        <v>0</v>
      </c>
      <c r="F430" s="89" cm="1">
        <f t="array" ref="F430">5*LOG10(((c_light/1000/H_0_SAM)*(B430/60)*SUMPRODUCT($J$2:$AD$2,1/SQRT(Omega_m*(1+$J$1:$AD$1*B430)^3+Omega_L)))*(1+B430)*100000)</f>
        <v>35.505278438809142</v>
      </c>
      <c r="G430" s="89">
        <f t="shared" si="6"/>
        <v>0.15857843880914402</v>
      </c>
    </row>
    <row r="431" spans="1:7" x14ac:dyDescent="0.6">
      <c r="A431" s="76" t="s">
        <v>1122</v>
      </c>
      <c r="B431" s="87">
        <v>2.8029999999999999E-2</v>
      </c>
      <c r="C431" s="88">
        <v>35.7258</v>
      </c>
      <c r="D431" s="88">
        <v>0.32169999999999999</v>
      </c>
      <c r="E431" s="76">
        <v>0</v>
      </c>
      <c r="F431" s="89" cm="1">
        <f t="array" ref="F431">5*LOG10(((c_light/1000/H_0_SAM)*(B431/60)*SUMPRODUCT($J$2:$AD$2,1/SQRT(Omega_m*(1+$J$1:$AD$1*B431)^3+Omega_L)))*(1+B431)*100000)</f>
        <v>35.529120228806519</v>
      </c>
      <c r="G431" s="89">
        <f t="shared" si="6"/>
        <v>-0.19667977119348024</v>
      </c>
    </row>
    <row r="432" spans="1:7" x14ac:dyDescent="0.6">
      <c r="A432" s="76" t="s">
        <v>1123</v>
      </c>
      <c r="B432" s="87">
        <v>2.8049999999999999E-2</v>
      </c>
      <c r="C432" s="88">
        <v>35.130600000000001</v>
      </c>
      <c r="D432" s="88">
        <v>0.18476999999999999</v>
      </c>
      <c r="E432" s="76">
        <v>0</v>
      </c>
      <c r="F432" s="89" cm="1">
        <f t="array" ref="F432">5*LOG10(((c_light/1000/H_0_SAM)*(B432/60)*SUMPRODUCT($J$2:$AD$2,1/SQRT(Omega_m*(1+$J$1:$AD$1*B432)^3+Omega_L)))*(1+B432)*100000)</f>
        <v>35.530700770361214</v>
      </c>
      <c r="G432" s="89">
        <f t="shared" si="6"/>
        <v>0.40010077036121316</v>
      </c>
    </row>
    <row r="433" spans="1:7" x14ac:dyDescent="0.6">
      <c r="A433" s="76" t="s">
        <v>1124</v>
      </c>
      <c r="B433" s="87">
        <v>2.81E-2</v>
      </c>
      <c r="C433" s="88">
        <v>35.673900000000003</v>
      </c>
      <c r="D433" s="88">
        <v>0.21634999999999999</v>
      </c>
      <c r="E433" s="76">
        <v>0</v>
      </c>
      <c r="F433" s="89" cm="1">
        <f t="array" ref="F433">5*LOG10(((c_light/1000/H_0_SAM)*(B433/60)*SUMPRODUCT($J$2:$AD$2,1/SQRT(Omega_m*(1+$J$1:$AD$1*B433)^3+Omega_L)))*(1+B433)*100000)</f>
        <v>35.534647293789256</v>
      </c>
      <c r="G433" s="89">
        <f t="shared" si="6"/>
        <v>-0.13925270621074759</v>
      </c>
    </row>
    <row r="434" spans="1:7" x14ac:dyDescent="0.6">
      <c r="A434" s="76" t="s">
        <v>1125</v>
      </c>
      <c r="B434" s="87">
        <v>2.8160000000000001E-2</v>
      </c>
      <c r="C434" s="88">
        <v>35.3613</v>
      </c>
      <c r="D434" s="88">
        <v>0.19062999999999999</v>
      </c>
      <c r="E434" s="76">
        <v>0</v>
      </c>
      <c r="F434" s="89" cm="1">
        <f t="array" ref="F434">5*LOG10(((c_light/1000/H_0_SAM)*(B434/60)*SUMPRODUCT($J$2:$AD$2,1/SQRT(Omega_m*(1+$J$1:$AD$1*B434)^3+Omega_L)))*(1+B434)*100000)</f>
        <v>35.539374041073486</v>
      </c>
      <c r="G434" s="89">
        <f t="shared" si="6"/>
        <v>0.17807404107348646</v>
      </c>
    </row>
    <row r="435" spans="1:7" x14ac:dyDescent="0.6">
      <c r="A435" s="76" t="s">
        <v>1126</v>
      </c>
      <c r="B435" s="87">
        <v>2.819E-2</v>
      </c>
      <c r="C435" s="88">
        <v>35.317399999999999</v>
      </c>
      <c r="D435" s="88">
        <v>0.17341999999999999</v>
      </c>
      <c r="E435" s="76">
        <v>0</v>
      </c>
      <c r="F435" s="89" cm="1">
        <f t="array" ref="F435">5*LOG10(((c_light/1000/H_0_SAM)*(B435/60)*SUMPRODUCT($J$2:$AD$2,1/SQRT(Omega_m*(1+$J$1:$AD$1*B435)^3+Omega_L)))*(1+B435)*100000)</f>
        <v>35.541733712129549</v>
      </c>
      <c r="G435" s="89">
        <f t="shared" si="6"/>
        <v>0.22433371212954967</v>
      </c>
    </row>
    <row r="436" spans="1:7" x14ac:dyDescent="0.6">
      <c r="A436" s="76" t="s">
        <v>1127</v>
      </c>
      <c r="B436" s="87">
        <v>2.8199999999999999E-2</v>
      </c>
      <c r="C436" s="88">
        <v>35.287399999999998</v>
      </c>
      <c r="D436" s="88">
        <v>0.29293000000000002</v>
      </c>
      <c r="E436" s="76">
        <v>0</v>
      </c>
      <c r="F436" s="89" cm="1">
        <f t="array" ref="F436">5*LOG10(((c_light/1000/H_0_SAM)*(B436/60)*SUMPRODUCT($J$2:$AD$2,1/SQRT(Omega_m*(1+$J$1:$AD$1*B436)^3+Omega_L)))*(1+B436)*100000)</f>
        <v>35.542519721913223</v>
      </c>
      <c r="G436" s="89">
        <f t="shared" si="6"/>
        <v>0.25511972191322485</v>
      </c>
    </row>
    <row r="437" spans="1:7" x14ac:dyDescent="0.6">
      <c r="A437" s="76" t="s">
        <v>1128</v>
      </c>
      <c r="B437" s="87">
        <v>2.8230000000000002E-2</v>
      </c>
      <c r="C437" s="88">
        <v>35.506100000000004</v>
      </c>
      <c r="D437" s="88">
        <v>0.16309000000000001</v>
      </c>
      <c r="E437" s="76">
        <v>0</v>
      </c>
      <c r="F437" s="89" cm="1">
        <f t="array" ref="F437">5*LOG10(((c_light/1000/H_0_SAM)*(B437/60)*SUMPRODUCT($J$2:$AD$2,1/SQRT(Omega_m*(1+$J$1:$AD$1*B437)^3+Omega_L)))*(1+B437)*100000)</f>
        <v>35.54487611227195</v>
      </c>
      <c r="G437" s="89">
        <f t="shared" si="6"/>
        <v>3.8776112271946772E-2</v>
      </c>
    </row>
    <row r="438" spans="1:7" x14ac:dyDescent="0.6">
      <c r="A438" s="76" t="s">
        <v>1128</v>
      </c>
      <c r="B438" s="87">
        <v>2.8230000000000002E-2</v>
      </c>
      <c r="C438" s="88">
        <v>35.5563</v>
      </c>
      <c r="D438" s="88">
        <v>0.16022</v>
      </c>
      <c r="E438" s="76">
        <v>0</v>
      </c>
      <c r="F438" s="89" cm="1">
        <f t="array" ref="F438">5*LOG10(((c_light/1000/H_0_SAM)*(B438/60)*SUMPRODUCT($J$2:$AD$2,1/SQRT(Omega_m*(1+$J$1:$AD$1*B438)^3+Omega_L)))*(1+B438)*100000)</f>
        <v>35.54487611227195</v>
      </c>
      <c r="G438" s="89">
        <f t="shared" si="6"/>
        <v>-1.142388772804992E-2</v>
      </c>
    </row>
    <row r="439" spans="1:7" x14ac:dyDescent="0.6">
      <c r="A439" s="76" t="s">
        <v>1128</v>
      </c>
      <c r="B439" s="87">
        <v>2.8230000000000002E-2</v>
      </c>
      <c r="C439" s="88">
        <v>35.558</v>
      </c>
      <c r="D439" s="88">
        <v>0.16098000000000001</v>
      </c>
      <c r="E439" s="76">
        <v>0</v>
      </c>
      <c r="F439" s="89" cm="1">
        <f t="array" ref="F439">5*LOG10(((c_light/1000/H_0_SAM)*(B439/60)*SUMPRODUCT($J$2:$AD$2,1/SQRT(Omega_m*(1+$J$1:$AD$1*B439)^3+Omega_L)))*(1+B439)*100000)</f>
        <v>35.54487611227195</v>
      </c>
      <c r="G439" s="89">
        <f t="shared" si="6"/>
        <v>-1.312388772804951E-2</v>
      </c>
    </row>
    <row r="440" spans="1:7" x14ac:dyDescent="0.6">
      <c r="A440" s="76" t="s">
        <v>1129</v>
      </c>
      <c r="B440" s="87">
        <v>2.8330000000000001E-2</v>
      </c>
      <c r="C440" s="88">
        <v>35.266500000000001</v>
      </c>
      <c r="D440" s="88">
        <v>0.17755000000000001</v>
      </c>
      <c r="E440" s="76">
        <v>0</v>
      </c>
      <c r="F440" s="89" cm="1">
        <f t="array" ref="F440">5*LOG10(((c_light/1000/H_0_SAM)*(B440/60)*SUMPRODUCT($J$2:$AD$2,1/SQRT(Omega_m*(1+$J$1:$AD$1*B440)^3+Omega_L)))*(1+B440)*100000)</f>
        <v>35.552713049562179</v>
      </c>
      <c r="G440" s="89">
        <f t="shared" si="6"/>
        <v>0.28621304956217841</v>
      </c>
    </row>
    <row r="441" spans="1:7" x14ac:dyDescent="0.6">
      <c r="A441" s="76" t="s">
        <v>1130</v>
      </c>
      <c r="B441" s="87">
        <v>2.844E-2</v>
      </c>
      <c r="C441" s="88">
        <v>35.372</v>
      </c>
      <c r="D441" s="88">
        <v>0.1603</v>
      </c>
      <c r="E441" s="76">
        <v>0</v>
      </c>
      <c r="F441" s="89" cm="1">
        <f t="array" ref="F441">5*LOG10(((c_light/1000/H_0_SAM)*(B441/60)*SUMPRODUCT($J$2:$AD$2,1/SQRT(Omega_m*(1+$J$1:$AD$1*B441)^3+Omega_L)))*(1+B441)*100000)</f>
        <v>35.561302411006359</v>
      </c>
      <c r="G441" s="89">
        <f t="shared" si="6"/>
        <v>0.18930241100635925</v>
      </c>
    </row>
    <row r="442" spans="1:7" x14ac:dyDescent="0.6">
      <c r="A442" s="76" t="s">
        <v>1130</v>
      </c>
      <c r="B442" s="87">
        <v>2.844E-2</v>
      </c>
      <c r="C442" s="88">
        <v>35.342100000000002</v>
      </c>
      <c r="D442" s="88">
        <v>0.15653</v>
      </c>
      <c r="E442" s="76">
        <v>0</v>
      </c>
      <c r="F442" s="89" cm="1">
        <f t="array" ref="F442">5*LOG10(((c_light/1000/H_0_SAM)*(B442/60)*SUMPRODUCT($J$2:$AD$2,1/SQRT(Omega_m*(1+$J$1:$AD$1*B442)^3+Omega_L)))*(1+B442)*100000)</f>
        <v>35.561302411006359</v>
      </c>
      <c r="G442" s="89">
        <f t="shared" si="6"/>
        <v>0.21920241100635707</v>
      </c>
    </row>
    <row r="443" spans="1:7" x14ac:dyDescent="0.6">
      <c r="A443" s="76" t="s">
        <v>1131</v>
      </c>
      <c r="B443" s="87">
        <v>2.8490000000000001E-2</v>
      </c>
      <c r="C443" s="88">
        <v>35.104900000000001</v>
      </c>
      <c r="D443" s="88">
        <v>0.18173</v>
      </c>
      <c r="E443" s="76">
        <v>0</v>
      </c>
      <c r="F443" s="89" cm="1">
        <f t="array" ref="F443">5*LOG10(((c_light/1000/H_0_SAM)*(B443/60)*SUMPRODUCT($J$2:$AD$2,1/SQRT(Omega_m*(1+$J$1:$AD$1*B443)^3+Omega_L)))*(1+B443)*100000)</f>
        <v>35.565195902838717</v>
      </c>
      <c r="G443" s="89">
        <f t="shared" si="6"/>
        <v>0.46029590283871613</v>
      </c>
    </row>
    <row r="444" spans="1:7" x14ac:dyDescent="0.6">
      <c r="A444" s="76" t="s">
        <v>1132</v>
      </c>
      <c r="B444" s="87">
        <v>2.8490000000000001E-2</v>
      </c>
      <c r="C444" s="88">
        <v>35.436799999999998</v>
      </c>
      <c r="D444" s="88">
        <v>0.18032000000000001</v>
      </c>
      <c r="E444" s="76">
        <v>0</v>
      </c>
      <c r="F444" s="89" cm="1">
        <f t="array" ref="F444">5*LOG10(((c_light/1000/H_0_SAM)*(B444/60)*SUMPRODUCT($J$2:$AD$2,1/SQRT(Omega_m*(1+$J$1:$AD$1*B444)^3+Omega_L)))*(1+B444)*100000)</f>
        <v>35.565195902838717</v>
      </c>
      <c r="G444" s="89">
        <f t="shared" si="6"/>
        <v>0.12839590283871871</v>
      </c>
    </row>
    <row r="445" spans="1:7" x14ac:dyDescent="0.6">
      <c r="A445" s="76" t="s">
        <v>1132</v>
      </c>
      <c r="B445" s="87">
        <v>2.8490000000000001E-2</v>
      </c>
      <c r="C445" s="88">
        <v>35.2913</v>
      </c>
      <c r="D445" s="88">
        <v>0.17824000000000001</v>
      </c>
      <c r="E445" s="76">
        <v>0</v>
      </c>
      <c r="F445" s="89" cm="1">
        <f t="array" ref="F445">5*LOG10(((c_light/1000/H_0_SAM)*(B445/60)*SUMPRODUCT($J$2:$AD$2,1/SQRT(Omega_m*(1+$J$1:$AD$1*B445)^3+Omega_L)))*(1+B445)*100000)</f>
        <v>35.565195902838717</v>
      </c>
      <c r="G445" s="89">
        <f t="shared" si="6"/>
        <v>0.27389590283871712</v>
      </c>
    </row>
    <row r="446" spans="1:7" x14ac:dyDescent="0.6">
      <c r="A446" s="76" t="s">
        <v>1132</v>
      </c>
      <c r="B446" s="87">
        <v>2.8490000000000001E-2</v>
      </c>
      <c r="C446" s="88">
        <v>35.359000000000002</v>
      </c>
      <c r="D446" s="88">
        <v>0.18024000000000001</v>
      </c>
      <c r="E446" s="76">
        <v>0</v>
      </c>
      <c r="F446" s="89" cm="1">
        <f t="array" ref="F446">5*LOG10(((c_light/1000/H_0_SAM)*(B446/60)*SUMPRODUCT($J$2:$AD$2,1/SQRT(Omega_m*(1+$J$1:$AD$1*B446)^3+Omega_L)))*(1+B446)*100000)</f>
        <v>35.565195902838717</v>
      </c>
      <c r="G446" s="89">
        <f t="shared" si="6"/>
        <v>0.20619590283871503</v>
      </c>
    </row>
    <row r="447" spans="1:7" x14ac:dyDescent="0.6">
      <c r="A447" s="76" t="s">
        <v>1133</v>
      </c>
      <c r="B447" s="87">
        <v>2.8490000000000001E-2</v>
      </c>
      <c r="C447" s="88">
        <v>35.196300000000001</v>
      </c>
      <c r="D447" s="88">
        <v>0.36659999999999998</v>
      </c>
      <c r="E447" s="76">
        <v>0</v>
      </c>
      <c r="F447" s="89" cm="1">
        <f t="array" ref="F447">5*LOG10(((c_light/1000/H_0_SAM)*(B447/60)*SUMPRODUCT($J$2:$AD$2,1/SQRT(Omega_m*(1+$J$1:$AD$1*B447)^3+Omega_L)))*(1+B447)*100000)</f>
        <v>35.565195902838717</v>
      </c>
      <c r="G447" s="89">
        <f t="shared" si="6"/>
        <v>0.36889590283871598</v>
      </c>
    </row>
    <row r="448" spans="1:7" x14ac:dyDescent="0.6">
      <c r="A448" s="76" t="s">
        <v>1134</v>
      </c>
      <c r="B448" s="87">
        <v>2.8570000000000002E-2</v>
      </c>
      <c r="C448" s="88">
        <v>35.599600000000002</v>
      </c>
      <c r="D448" s="88">
        <v>0.23501</v>
      </c>
      <c r="E448" s="76">
        <v>0</v>
      </c>
      <c r="F448" s="89" cm="1">
        <f t="array" ref="F448">5*LOG10(((c_light/1000/H_0_SAM)*(B448/60)*SUMPRODUCT($J$2:$AD$2,1/SQRT(Omega_m*(1+$J$1:$AD$1*B448)^3+Omega_L)))*(1+B448)*100000)</f>
        <v>35.571411575787728</v>
      </c>
      <c r="G448" s="89">
        <f t="shared" si="6"/>
        <v>-2.8188424212274299E-2</v>
      </c>
    </row>
    <row r="449" spans="1:7" x14ac:dyDescent="0.6">
      <c r="A449" s="76" t="s">
        <v>1135</v>
      </c>
      <c r="B449" s="87">
        <v>2.8580000000000001E-2</v>
      </c>
      <c r="C449" s="88">
        <v>35.659599999999998</v>
      </c>
      <c r="D449" s="88">
        <v>0.25137999999999999</v>
      </c>
      <c r="E449" s="76">
        <v>0</v>
      </c>
      <c r="F449" s="89" cm="1">
        <f t="array" ref="F449">5*LOG10(((c_light/1000/H_0_SAM)*(B449/60)*SUMPRODUCT($J$2:$AD$2,1/SQRT(Omega_m*(1+$J$1:$AD$1*B449)^3+Omega_L)))*(1+B449)*100000)</f>
        <v>35.572187334743276</v>
      </c>
      <c r="G449" s="89">
        <f t="shared" si="6"/>
        <v>-8.7412665256721311E-2</v>
      </c>
    </row>
    <row r="450" spans="1:7" x14ac:dyDescent="0.6">
      <c r="A450" s="76" t="s">
        <v>1136</v>
      </c>
      <c r="B450" s="87">
        <v>2.8660000000000001E-2</v>
      </c>
      <c r="C450" s="88">
        <v>35.344900000000003</v>
      </c>
      <c r="D450" s="88">
        <v>0.21138000000000001</v>
      </c>
      <c r="E450" s="76">
        <v>0</v>
      </c>
      <c r="F450" s="89" cm="1">
        <f t="array" ref="F450">5*LOG10(((c_light/1000/H_0_SAM)*(B450/60)*SUMPRODUCT($J$2:$AD$2,1/SQRT(Omega_m*(1+$J$1:$AD$1*B450)^3+Omega_L)))*(1+B450)*100000)</f>
        <v>35.578383843055548</v>
      </c>
      <c r="G450" s="89">
        <f t="shared" si="6"/>
        <v>0.23348384305554504</v>
      </c>
    </row>
    <row r="451" spans="1:7" x14ac:dyDescent="0.6">
      <c r="A451" s="76" t="s">
        <v>1137</v>
      </c>
      <c r="B451" s="87">
        <v>2.8660000000000001E-2</v>
      </c>
      <c r="C451" s="88">
        <v>35.410499999999999</v>
      </c>
      <c r="D451" s="88">
        <v>0.20191000000000001</v>
      </c>
      <c r="E451" s="76">
        <v>0</v>
      </c>
      <c r="F451" s="89" cm="1">
        <f t="array" ref="F451">5*LOG10(((c_light/1000/H_0_SAM)*(B451/60)*SUMPRODUCT($J$2:$AD$2,1/SQRT(Omega_m*(1+$J$1:$AD$1*B451)^3+Omega_L)))*(1+B451)*100000)</f>
        <v>35.578383843055548</v>
      </c>
      <c r="G451" s="89">
        <f t="shared" si="6"/>
        <v>0.16788384305554871</v>
      </c>
    </row>
    <row r="452" spans="1:7" x14ac:dyDescent="0.6">
      <c r="A452" s="76" t="s">
        <v>1138</v>
      </c>
      <c r="B452" s="87">
        <v>2.8729999999999999E-2</v>
      </c>
      <c r="C452" s="88">
        <v>34.948700000000002</v>
      </c>
      <c r="D452" s="88">
        <v>0.22775000000000001</v>
      </c>
      <c r="E452" s="76">
        <v>0</v>
      </c>
      <c r="F452" s="89" cm="1">
        <f t="array" ref="F452">5*LOG10(((c_light/1000/H_0_SAM)*(B452/60)*SUMPRODUCT($J$2:$AD$2,1/SQRT(Omega_m*(1+$J$1:$AD$1*B452)^3+Omega_L)))*(1+B452)*100000)</f>
        <v>35.583791893094954</v>
      </c>
      <c r="G452" s="89">
        <f t="shared" si="6"/>
        <v>0.63509189309495184</v>
      </c>
    </row>
    <row r="453" spans="1:7" x14ac:dyDescent="0.6">
      <c r="A453" s="76" t="s">
        <v>1139</v>
      </c>
      <c r="B453" s="87">
        <v>2.8879999999999999E-2</v>
      </c>
      <c r="C453" s="88">
        <v>35.276299999999999</v>
      </c>
      <c r="D453" s="88">
        <v>0.65512000000000004</v>
      </c>
      <c r="E453" s="76">
        <v>0</v>
      </c>
      <c r="F453" s="89" cm="1">
        <f t="array" ref="F453">5*LOG10(((c_light/1000/H_0_SAM)*(B453/60)*SUMPRODUCT($J$2:$AD$2,1/SQRT(Omega_m*(1+$J$1:$AD$1*B453)^3+Omega_L)))*(1+B453)*100000)</f>
        <v>35.595337205330168</v>
      </c>
      <c r="G453" s="89">
        <f t="shared" si="6"/>
        <v>0.31903720533016866</v>
      </c>
    </row>
    <row r="454" spans="1:7" x14ac:dyDescent="0.6">
      <c r="A454" s="76" t="s">
        <v>1140</v>
      </c>
      <c r="B454" s="87">
        <v>2.8979999999999999E-2</v>
      </c>
      <c r="C454" s="88">
        <v>35.477899999999998</v>
      </c>
      <c r="D454" s="88">
        <v>0.27538000000000001</v>
      </c>
      <c r="E454" s="76">
        <v>0</v>
      </c>
      <c r="F454" s="89" cm="1">
        <f t="array" ref="F454">5*LOG10(((c_light/1000/H_0_SAM)*(B454/60)*SUMPRODUCT($J$2:$AD$2,1/SQRT(Omega_m*(1+$J$1:$AD$1*B454)^3+Omega_L)))*(1+B454)*100000)</f>
        <v>35.603001468908182</v>
      </c>
      <c r="G454" s="89">
        <f t="shared" ref="G454:G517" si="7">F454-C454</f>
        <v>0.12510146890818419</v>
      </c>
    </row>
    <row r="455" spans="1:7" x14ac:dyDescent="0.6">
      <c r="A455" s="76" t="s">
        <v>1141</v>
      </c>
      <c r="B455" s="87">
        <v>2.9020000000000001E-2</v>
      </c>
      <c r="C455" s="88">
        <v>35.055799999999998</v>
      </c>
      <c r="D455" s="88">
        <v>0.21865999999999999</v>
      </c>
      <c r="E455" s="76">
        <v>0</v>
      </c>
      <c r="F455" s="89" cm="1">
        <f t="array" ref="F455">5*LOG10(((c_light/1000/H_0_SAM)*(B455/60)*SUMPRODUCT($J$2:$AD$2,1/SQRT(Omega_m*(1+$J$1:$AD$1*B455)^3+Omega_L)))*(1+B455)*100000)</f>
        <v>35.606059918109516</v>
      </c>
      <c r="G455" s="89">
        <f t="shared" si="7"/>
        <v>0.5502599181095178</v>
      </c>
    </row>
    <row r="456" spans="1:7" x14ac:dyDescent="0.6">
      <c r="A456" s="76" t="s">
        <v>1142</v>
      </c>
      <c r="B456" s="87">
        <v>2.913E-2</v>
      </c>
      <c r="C456" s="88">
        <v>35.5152</v>
      </c>
      <c r="D456" s="88">
        <v>0.25081999999999999</v>
      </c>
      <c r="E456" s="76">
        <v>0</v>
      </c>
      <c r="F456" s="89" cm="1">
        <f t="array" ref="F456">5*LOG10(((c_light/1000/H_0_SAM)*(B456/60)*SUMPRODUCT($J$2:$AD$2,1/SQRT(Omega_m*(1+$J$1:$AD$1*B456)^3+Omega_L)))*(1+B456)*100000)</f>
        <v>35.61444939584608</v>
      </c>
      <c r="G456" s="89">
        <f t="shared" si="7"/>
        <v>9.9249395846079835E-2</v>
      </c>
    </row>
    <row r="457" spans="1:7" x14ac:dyDescent="0.6">
      <c r="A457" s="76" t="s">
        <v>1143</v>
      </c>
      <c r="B457" s="87">
        <v>2.9149999999999999E-2</v>
      </c>
      <c r="C457" s="88">
        <v>35.694800000000001</v>
      </c>
      <c r="D457" s="88">
        <v>0.18335000000000001</v>
      </c>
      <c r="E457" s="76">
        <v>0</v>
      </c>
      <c r="F457" s="89" cm="1">
        <f t="array" ref="F457">5*LOG10(((c_light/1000/H_0_SAM)*(B457/60)*SUMPRODUCT($J$2:$AD$2,1/SQRT(Omega_m*(1+$J$1:$AD$1*B457)^3+Omega_L)))*(1+B457)*100000)</f>
        <v>35.615971418781015</v>
      </c>
      <c r="G457" s="89">
        <f t="shared" si="7"/>
        <v>-7.8828581218985505E-2</v>
      </c>
    </row>
    <row r="458" spans="1:7" x14ac:dyDescent="0.6">
      <c r="A458" s="76" t="s">
        <v>1144</v>
      </c>
      <c r="B458" s="87">
        <v>2.9170000000000001E-2</v>
      </c>
      <c r="C458" s="88">
        <v>35.239100000000001</v>
      </c>
      <c r="D458" s="88">
        <v>0.18582000000000001</v>
      </c>
      <c r="E458" s="76">
        <v>0</v>
      </c>
      <c r="F458" s="89" cm="1">
        <f t="array" ref="F458">5*LOG10(((c_light/1000/H_0_SAM)*(B458/60)*SUMPRODUCT($J$2:$AD$2,1/SQRT(Omega_m*(1+$J$1:$AD$1*B458)^3+Omega_L)))*(1+B458)*100000)</f>
        <v>35.617492418571899</v>
      </c>
      <c r="G458" s="89">
        <f t="shared" si="7"/>
        <v>0.37839241857189876</v>
      </c>
    </row>
    <row r="459" spans="1:7" x14ac:dyDescent="0.6">
      <c r="A459" s="76" t="s">
        <v>1145</v>
      </c>
      <c r="B459" s="87">
        <v>2.9190000000000001E-2</v>
      </c>
      <c r="C459" s="88">
        <v>35.602400000000003</v>
      </c>
      <c r="D459" s="88">
        <v>0.16999</v>
      </c>
      <c r="E459" s="76">
        <v>0</v>
      </c>
      <c r="F459" s="89" cm="1">
        <f t="array" ref="F459">5*LOG10(((c_light/1000/H_0_SAM)*(B459/60)*SUMPRODUCT($J$2:$AD$2,1/SQRT(Omega_m*(1+$J$1:$AD$1*B459)^3+Omega_L)))*(1+B459)*100000)</f>
        <v>35.619012396619986</v>
      </c>
      <c r="G459" s="89">
        <f t="shared" si="7"/>
        <v>1.6612396619983372E-2</v>
      </c>
    </row>
    <row r="460" spans="1:7" x14ac:dyDescent="0.6">
      <c r="A460" s="76" t="s">
        <v>1146</v>
      </c>
      <c r="B460" s="87">
        <v>2.938E-2</v>
      </c>
      <c r="C460" s="88">
        <v>35.622199999999999</v>
      </c>
      <c r="D460" s="88">
        <v>0.29997000000000001</v>
      </c>
      <c r="E460" s="76">
        <v>0</v>
      </c>
      <c r="F460" s="89" cm="1">
        <f t="array" ref="F460">5*LOG10(((c_light/1000/H_0_SAM)*(B460/60)*SUMPRODUCT($J$2:$AD$2,1/SQRT(Omega_m*(1+$J$1:$AD$1*B460)^3+Omega_L)))*(1+B460)*100000)</f>
        <v>35.633401494849558</v>
      </c>
      <c r="G460" s="89">
        <f t="shared" si="7"/>
        <v>1.1201494849558458E-2</v>
      </c>
    </row>
    <row r="461" spans="1:7" x14ac:dyDescent="0.6">
      <c r="A461" s="76" t="s">
        <v>1147</v>
      </c>
      <c r="B461" s="87">
        <v>2.938E-2</v>
      </c>
      <c r="C461" s="88">
        <v>35.472000000000001</v>
      </c>
      <c r="D461" s="88">
        <v>0.22575999999999999</v>
      </c>
      <c r="E461" s="76">
        <v>0</v>
      </c>
      <c r="F461" s="89" cm="1">
        <f t="array" ref="F461">5*LOG10(((c_light/1000/H_0_SAM)*(B461/60)*SUMPRODUCT($J$2:$AD$2,1/SQRT(Omega_m*(1+$J$1:$AD$1*B461)^3+Omega_L)))*(1+B461)*100000)</f>
        <v>35.633401494849558</v>
      </c>
      <c r="G461" s="89">
        <f t="shared" si="7"/>
        <v>0.16140149484955657</v>
      </c>
    </row>
    <row r="462" spans="1:7" x14ac:dyDescent="0.6">
      <c r="A462" s="76" t="s">
        <v>1148</v>
      </c>
      <c r="B462" s="87">
        <v>2.9440000000000001E-2</v>
      </c>
      <c r="C462" s="88">
        <v>35.2761</v>
      </c>
      <c r="D462" s="88">
        <v>0.18090999999999999</v>
      </c>
      <c r="E462" s="76">
        <v>0</v>
      </c>
      <c r="F462" s="89" cm="1">
        <f t="array" ref="F462">5*LOG10(((c_light/1000/H_0_SAM)*(B462/60)*SUMPRODUCT($J$2:$AD$2,1/SQRT(Omega_m*(1+$J$1:$AD$1*B462)^3+Omega_L)))*(1+B462)*100000)</f>
        <v>35.637926479609789</v>
      </c>
      <c r="G462" s="89">
        <f t="shared" si="7"/>
        <v>0.36182647960978898</v>
      </c>
    </row>
    <row r="463" spans="1:7" x14ac:dyDescent="0.6">
      <c r="A463" s="76" t="s">
        <v>1149</v>
      </c>
      <c r="B463" s="87">
        <v>2.947E-2</v>
      </c>
      <c r="C463" s="88">
        <v>35.093899999999998</v>
      </c>
      <c r="D463" s="88">
        <v>0.27268999999999999</v>
      </c>
      <c r="E463" s="76">
        <v>0</v>
      </c>
      <c r="F463" s="89" cm="1">
        <f t="array" ref="F463">5*LOG10(((c_light/1000/H_0_SAM)*(B463/60)*SUMPRODUCT($J$2:$AD$2,1/SQRT(Omega_m*(1+$J$1:$AD$1*B463)^3+Omega_L)))*(1+B463)*100000)</f>
        <v>35.64018558421094</v>
      </c>
      <c r="G463" s="89">
        <f t="shared" si="7"/>
        <v>0.54628558421094198</v>
      </c>
    </row>
    <row r="464" spans="1:7" x14ac:dyDescent="0.6">
      <c r="A464" s="76" t="s">
        <v>1150</v>
      </c>
      <c r="B464" s="87">
        <v>2.9489999999999999E-2</v>
      </c>
      <c r="C464" s="88">
        <v>35.607900000000001</v>
      </c>
      <c r="D464" s="88">
        <v>0.22423000000000001</v>
      </c>
      <c r="E464" s="76">
        <v>0</v>
      </c>
      <c r="F464" s="89" cm="1">
        <f t="array" ref="F464">5*LOG10(((c_light/1000/H_0_SAM)*(B464/60)*SUMPRODUCT($J$2:$AD$2,1/SQRT(Omega_m*(1+$J$1:$AD$1*B464)^3+Omega_L)))*(1+B464)*100000)</f>
        <v>35.641690402331008</v>
      </c>
      <c r="G464" s="89">
        <f t="shared" si="7"/>
        <v>3.3790402331007385E-2</v>
      </c>
    </row>
    <row r="465" spans="1:7" x14ac:dyDescent="0.6">
      <c r="A465" s="76" t="s">
        <v>1151</v>
      </c>
      <c r="B465" s="87">
        <v>2.9499999999999998E-2</v>
      </c>
      <c r="C465" s="88">
        <v>35.363799999999998</v>
      </c>
      <c r="D465" s="88">
        <v>0.28373999999999999</v>
      </c>
      <c r="E465" s="76">
        <v>0</v>
      </c>
      <c r="F465" s="89" cm="1">
        <f t="array" ref="F465">5*LOG10(((c_light/1000/H_0_SAM)*(B465/60)*SUMPRODUCT($J$2:$AD$2,1/SQRT(Omega_m*(1+$J$1:$AD$1*B465)^3+Omega_L)))*(1+B465)*100000)</f>
        <v>35.642442436415642</v>
      </c>
      <c r="G465" s="89">
        <f t="shared" si="7"/>
        <v>0.27864243641564457</v>
      </c>
    </row>
    <row r="466" spans="1:7" x14ac:dyDescent="0.6">
      <c r="A466" s="76" t="s">
        <v>1152</v>
      </c>
      <c r="B466" s="87">
        <v>2.9530000000000001E-2</v>
      </c>
      <c r="C466" s="88">
        <v>35.465400000000002</v>
      </c>
      <c r="D466" s="88">
        <v>0.17787</v>
      </c>
      <c r="E466" s="76">
        <v>0</v>
      </c>
      <c r="F466" s="89" cm="1">
        <f t="array" ref="F466">5*LOG10(((c_light/1000/H_0_SAM)*(B466/60)*SUMPRODUCT($J$2:$AD$2,1/SQRT(Omega_m*(1+$J$1:$AD$1*B466)^3+Omega_L)))*(1+B466)*100000)</f>
        <v>35.644697040798548</v>
      </c>
      <c r="G466" s="89">
        <f t="shared" si="7"/>
        <v>0.17929704079854503</v>
      </c>
    </row>
    <row r="467" spans="1:7" x14ac:dyDescent="0.6">
      <c r="A467" s="76" t="s">
        <v>1153</v>
      </c>
      <c r="B467" s="87">
        <v>2.9559999999999999E-2</v>
      </c>
      <c r="C467" s="88">
        <v>35.506399999999999</v>
      </c>
      <c r="D467" s="88">
        <v>0.19089999999999999</v>
      </c>
      <c r="E467" s="76">
        <v>0</v>
      </c>
      <c r="F467" s="89" cm="1">
        <f t="array" ref="F467">5*LOG10(((c_light/1000/H_0_SAM)*(B467/60)*SUMPRODUCT($J$2:$AD$2,1/SQRT(Omega_m*(1+$J$1:$AD$1*B467)^3+Omega_L)))*(1+B467)*100000)</f>
        <v>35.646949401920352</v>
      </c>
      <c r="G467" s="89">
        <f t="shared" si="7"/>
        <v>0.14054940192035303</v>
      </c>
    </row>
    <row r="468" spans="1:7" x14ac:dyDescent="0.6">
      <c r="A468" s="76" t="s">
        <v>1154</v>
      </c>
      <c r="B468" s="87">
        <v>2.9690000000000001E-2</v>
      </c>
      <c r="C468" s="88">
        <v>35.278100000000002</v>
      </c>
      <c r="D468" s="88">
        <v>0.19411999999999999</v>
      </c>
      <c r="E468" s="76">
        <v>0</v>
      </c>
      <c r="F468" s="89" cm="1">
        <f t="array" ref="F468">5*LOG10(((c_light/1000/H_0_SAM)*(B468/60)*SUMPRODUCT($J$2:$AD$2,1/SQRT(Omega_m*(1+$J$1:$AD$1*B468)^3+Omega_L)))*(1+B468)*100000)</f>
        <v>35.656683821959703</v>
      </c>
      <c r="G468" s="89">
        <f t="shared" si="7"/>
        <v>0.37858382195970108</v>
      </c>
    </row>
    <row r="469" spans="1:7" x14ac:dyDescent="0.6">
      <c r="A469" s="76" t="s">
        <v>1155</v>
      </c>
      <c r="B469" s="87">
        <v>2.9780000000000001E-2</v>
      </c>
      <c r="C469" s="88">
        <v>35.5015</v>
      </c>
      <c r="D469" s="88">
        <v>0.19037000000000001</v>
      </c>
      <c r="E469" s="76">
        <v>0</v>
      </c>
      <c r="F469" s="89" cm="1">
        <f t="array" ref="F469">5*LOG10(((c_light/1000/H_0_SAM)*(B469/60)*SUMPRODUCT($J$2:$AD$2,1/SQRT(Omega_m*(1+$J$1:$AD$1*B469)^3+Omega_L)))*(1+B469)*100000)</f>
        <v>35.66339860288258</v>
      </c>
      <c r="G469" s="89">
        <f t="shared" si="7"/>
        <v>0.16189860288258018</v>
      </c>
    </row>
    <row r="470" spans="1:7" x14ac:dyDescent="0.6">
      <c r="A470" s="76" t="s">
        <v>1156</v>
      </c>
      <c r="B470" s="87">
        <v>2.9780000000000001E-2</v>
      </c>
      <c r="C470" s="88">
        <v>35.511600000000001</v>
      </c>
      <c r="D470" s="88">
        <v>0.19078999999999999</v>
      </c>
      <c r="E470" s="76">
        <v>0</v>
      </c>
      <c r="F470" s="89" cm="1">
        <f t="array" ref="F470">5*LOG10(((c_light/1000/H_0_SAM)*(B470/60)*SUMPRODUCT($J$2:$AD$2,1/SQRT(Omega_m*(1+$J$1:$AD$1*B470)^3+Omega_L)))*(1+B470)*100000)</f>
        <v>35.66339860288258</v>
      </c>
      <c r="G470" s="89">
        <f t="shared" si="7"/>
        <v>0.15179860288257885</v>
      </c>
    </row>
    <row r="471" spans="1:7" x14ac:dyDescent="0.6">
      <c r="A471" s="76" t="s">
        <v>1157</v>
      </c>
      <c r="B471" s="87">
        <v>2.9899999999999999E-2</v>
      </c>
      <c r="C471" s="88">
        <v>35.435400000000001</v>
      </c>
      <c r="D471" s="88">
        <v>0.18532999999999999</v>
      </c>
      <c r="E471" s="76">
        <v>0</v>
      </c>
      <c r="F471" s="89" cm="1">
        <f t="array" ref="F471">5*LOG10(((c_light/1000/H_0_SAM)*(B471/60)*SUMPRODUCT($J$2:$AD$2,1/SQRT(Omega_m*(1+$J$1:$AD$1*B471)^3+Omega_L)))*(1+B471)*100000)</f>
        <v>35.672320783591204</v>
      </c>
      <c r="G471" s="89">
        <f t="shared" si="7"/>
        <v>0.23692078359120217</v>
      </c>
    </row>
    <row r="472" spans="1:7" x14ac:dyDescent="0.6">
      <c r="A472" s="76" t="s">
        <v>1158</v>
      </c>
      <c r="B472" s="87">
        <v>2.9960000000000001E-2</v>
      </c>
      <c r="C472" s="88">
        <v>35.860999999999997</v>
      </c>
      <c r="D472" s="88">
        <v>0.19252</v>
      </c>
      <c r="E472" s="76">
        <v>0</v>
      </c>
      <c r="F472" s="89" cm="1">
        <f t="array" ref="F472">5*LOG10(((c_light/1000/H_0_SAM)*(B472/60)*SUMPRODUCT($J$2:$AD$2,1/SQRT(Omega_m*(1+$J$1:$AD$1*B472)^3+Omega_L)))*(1+B472)*100000)</f>
        <v>35.676768727508147</v>
      </c>
      <c r="G472" s="89">
        <f t="shared" si="7"/>
        <v>-0.18423127249185001</v>
      </c>
    </row>
    <row r="473" spans="1:7" x14ac:dyDescent="0.6">
      <c r="A473" s="76" t="s">
        <v>1159</v>
      </c>
      <c r="B473" s="87">
        <v>3.0120000000000001E-2</v>
      </c>
      <c r="C473" s="88">
        <v>35.519500000000001</v>
      </c>
      <c r="D473" s="88">
        <v>0.19608999999999999</v>
      </c>
      <c r="E473" s="76">
        <v>0</v>
      </c>
      <c r="F473" s="89" cm="1">
        <f t="array" ref="F473">5*LOG10(((c_light/1000/H_0_SAM)*(B473/60)*SUMPRODUCT($J$2:$AD$2,1/SQRT(Omega_m*(1+$J$1:$AD$1*B473)^3+Omega_L)))*(1+B473)*100000)</f>
        <v>35.688587386429113</v>
      </c>
      <c r="G473" s="89">
        <f t="shared" si="7"/>
        <v>0.16908738642911203</v>
      </c>
    </row>
    <row r="474" spans="1:7" x14ac:dyDescent="0.6">
      <c r="A474" s="76" t="s">
        <v>1159</v>
      </c>
      <c r="B474" s="87">
        <v>3.0120000000000001E-2</v>
      </c>
      <c r="C474" s="88">
        <v>35.483800000000002</v>
      </c>
      <c r="D474" s="88">
        <v>0.1993</v>
      </c>
      <c r="E474" s="76">
        <v>0</v>
      </c>
      <c r="F474" s="89" cm="1">
        <f t="array" ref="F474">5*LOG10(((c_light/1000/H_0_SAM)*(B474/60)*SUMPRODUCT($J$2:$AD$2,1/SQRT(Omega_m*(1+$J$1:$AD$1*B474)^3+Omega_L)))*(1+B474)*100000)</f>
        <v>35.688587386429113</v>
      </c>
      <c r="G474" s="89">
        <f t="shared" si="7"/>
        <v>0.20478738642911054</v>
      </c>
    </row>
    <row r="475" spans="1:7" x14ac:dyDescent="0.6">
      <c r="A475" s="76" t="s">
        <v>1159</v>
      </c>
      <c r="B475" s="87">
        <v>3.0120000000000001E-2</v>
      </c>
      <c r="C475" s="88">
        <v>35.476100000000002</v>
      </c>
      <c r="D475" s="88">
        <v>0.23349</v>
      </c>
      <c r="E475" s="76">
        <v>0</v>
      </c>
      <c r="F475" s="89" cm="1">
        <f t="array" ref="F475">5*LOG10(((c_light/1000/H_0_SAM)*(B475/60)*SUMPRODUCT($J$2:$AD$2,1/SQRT(Omega_m*(1+$J$1:$AD$1*B475)^3+Omega_L)))*(1+B475)*100000)</f>
        <v>35.688587386429113</v>
      </c>
      <c r="G475" s="89">
        <f t="shared" si="7"/>
        <v>0.21248738642911036</v>
      </c>
    </row>
    <row r="476" spans="1:7" x14ac:dyDescent="0.6">
      <c r="A476" s="76" t="s">
        <v>1160</v>
      </c>
      <c r="B476" s="87">
        <v>3.023E-2</v>
      </c>
      <c r="C476" s="88">
        <v>35.518500000000003</v>
      </c>
      <c r="D476" s="88">
        <v>0.16600999999999999</v>
      </c>
      <c r="E476" s="76">
        <v>0</v>
      </c>
      <c r="F476" s="89" cm="1">
        <f t="array" ref="F476">5*LOG10(((c_light/1000/H_0_SAM)*(B476/60)*SUMPRODUCT($J$2:$AD$2,1/SQRT(Omega_m*(1+$J$1:$AD$1*B476)^3+Omega_L)))*(1+B476)*100000)</f>
        <v>35.696677095475692</v>
      </c>
      <c r="G476" s="89">
        <f t="shared" si="7"/>
        <v>0.17817709547568938</v>
      </c>
    </row>
    <row r="477" spans="1:7" x14ac:dyDescent="0.6">
      <c r="A477" s="76" t="s">
        <v>1161</v>
      </c>
      <c r="B477" s="87">
        <v>3.031E-2</v>
      </c>
      <c r="C477" s="88">
        <v>35.554200000000002</v>
      </c>
      <c r="D477" s="88">
        <v>0.21626999999999999</v>
      </c>
      <c r="E477" s="76">
        <v>0</v>
      </c>
      <c r="F477" s="89" cm="1">
        <f t="array" ref="F477">5*LOG10(((c_light/1000/H_0_SAM)*(B477/60)*SUMPRODUCT($J$2:$AD$2,1/SQRT(Omega_m*(1+$J$1:$AD$1*B477)^3+Omega_L)))*(1+B477)*100000)</f>
        <v>35.702542431443462</v>
      </c>
      <c r="G477" s="89">
        <f t="shared" si="7"/>
        <v>0.14834243144346004</v>
      </c>
    </row>
    <row r="478" spans="1:7" x14ac:dyDescent="0.6">
      <c r="A478" s="76" t="s">
        <v>1162</v>
      </c>
      <c r="B478" s="87">
        <v>3.0360000000000002E-2</v>
      </c>
      <c r="C478" s="88">
        <v>35.4803</v>
      </c>
      <c r="D478" s="88">
        <v>0.17380000000000001</v>
      </c>
      <c r="E478" s="76">
        <v>0</v>
      </c>
      <c r="F478" s="89" cm="1">
        <f t="array" ref="F478">5*LOG10(((c_light/1000/H_0_SAM)*(B478/60)*SUMPRODUCT($J$2:$AD$2,1/SQRT(Omega_m*(1+$J$1:$AD$1*B478)^3+Omega_L)))*(1+B478)*100000)</f>
        <v>35.706200571858062</v>
      </c>
      <c r="G478" s="89">
        <f t="shared" si="7"/>
        <v>0.22590057185806245</v>
      </c>
    </row>
    <row r="479" spans="1:7" x14ac:dyDescent="0.6">
      <c r="A479" s="76" t="s">
        <v>1163</v>
      </c>
      <c r="B479" s="87">
        <v>3.0470000000000001E-2</v>
      </c>
      <c r="C479" s="88">
        <v>35.534500000000001</v>
      </c>
      <c r="D479" s="88">
        <v>0.25824999999999998</v>
      </c>
      <c r="E479" s="76">
        <v>0</v>
      </c>
      <c r="F479" s="89" cm="1">
        <f t="array" ref="F479">5*LOG10(((c_light/1000/H_0_SAM)*(B479/60)*SUMPRODUCT($J$2:$AD$2,1/SQRT(Omega_m*(1+$J$1:$AD$1*B479)^3+Omega_L)))*(1+B479)*100000)</f>
        <v>35.714227755706119</v>
      </c>
      <c r="G479" s="89">
        <f t="shared" si="7"/>
        <v>0.17972775570611788</v>
      </c>
    </row>
    <row r="480" spans="1:7" x14ac:dyDescent="0.6">
      <c r="A480" s="76" t="s">
        <v>1164</v>
      </c>
      <c r="B480" s="87">
        <v>3.0589999999999999E-2</v>
      </c>
      <c r="C480" s="88">
        <v>35.358600000000003</v>
      </c>
      <c r="D480" s="88">
        <v>0.16452</v>
      </c>
      <c r="E480" s="76">
        <v>0</v>
      </c>
      <c r="F480" s="89" cm="1">
        <f t="array" ref="F480">5*LOG10(((c_light/1000/H_0_SAM)*(B480/60)*SUMPRODUCT($J$2:$AD$2,1/SQRT(Omega_m*(1+$J$1:$AD$1*B480)^3+Omega_L)))*(1+B480)*100000)</f>
        <v>35.72295238134717</v>
      </c>
      <c r="G480" s="89">
        <f t="shared" si="7"/>
        <v>0.36435238134716741</v>
      </c>
    </row>
    <row r="481" spans="1:7" x14ac:dyDescent="0.6">
      <c r="A481" s="76" t="s">
        <v>1165</v>
      </c>
      <c r="B481" s="87">
        <v>3.075E-2</v>
      </c>
      <c r="C481" s="88">
        <v>35.352200000000003</v>
      </c>
      <c r="D481" s="88">
        <v>0.34316000000000002</v>
      </c>
      <c r="E481" s="76">
        <v>0</v>
      </c>
      <c r="F481" s="89" cm="1">
        <f t="array" ref="F481">5*LOG10(((c_light/1000/H_0_SAM)*(B481/60)*SUMPRODUCT($J$2:$AD$2,1/SQRT(Omega_m*(1+$J$1:$AD$1*B481)^3+Omega_L)))*(1+B481)*100000)</f>
        <v>35.734533226891394</v>
      </c>
      <c r="G481" s="89">
        <f t="shared" si="7"/>
        <v>0.38233322689139015</v>
      </c>
    </row>
    <row r="482" spans="1:7" x14ac:dyDescent="0.6">
      <c r="A482" s="76" t="s">
        <v>1166</v>
      </c>
      <c r="B482" s="87">
        <v>3.0759999999999999E-2</v>
      </c>
      <c r="C482" s="88">
        <v>35.608400000000003</v>
      </c>
      <c r="D482" s="88">
        <v>0.21267</v>
      </c>
      <c r="E482" s="76">
        <v>0</v>
      </c>
      <c r="F482" s="89" cm="1">
        <f t="array" ref="F482">5*LOG10(((c_light/1000/H_0_SAM)*(B482/60)*SUMPRODUCT($J$2:$AD$2,1/SQRT(Omega_m*(1+$J$1:$AD$1*B482)^3+Omega_L)))*(1+B482)*100000)</f>
        <v>35.735255069357599</v>
      </c>
      <c r="G482" s="89">
        <f t="shared" si="7"/>
        <v>0.12685506935759605</v>
      </c>
    </row>
    <row r="483" spans="1:7" x14ac:dyDescent="0.6">
      <c r="A483" s="76" t="s">
        <v>1167</v>
      </c>
      <c r="B483" s="87">
        <v>3.083E-2</v>
      </c>
      <c r="C483" s="88">
        <v>35.464799999999997</v>
      </c>
      <c r="D483" s="88">
        <v>0.27875</v>
      </c>
      <c r="E483" s="76">
        <v>0</v>
      </c>
      <c r="F483" s="89" cm="1">
        <f t="array" ref="F483">5*LOG10(((c_light/1000/H_0_SAM)*(B483/60)*SUMPRODUCT($J$2:$AD$2,1/SQRT(Omega_m*(1+$J$1:$AD$1*B483)^3+Omega_L)))*(1+B483)*100000)</f>
        <v>35.740301542414016</v>
      </c>
      <c r="G483" s="89">
        <f t="shared" si="7"/>
        <v>0.2755015424140197</v>
      </c>
    </row>
    <row r="484" spans="1:7" x14ac:dyDescent="0.6">
      <c r="A484" s="76" t="s">
        <v>1168</v>
      </c>
      <c r="B484" s="87">
        <v>3.0859999999999999E-2</v>
      </c>
      <c r="C484" s="88">
        <v>35.416400000000003</v>
      </c>
      <c r="D484" s="88">
        <v>0.18484</v>
      </c>
      <c r="E484" s="76">
        <v>0</v>
      </c>
      <c r="F484" s="89" cm="1">
        <f t="array" ref="F484">5*LOG10(((c_light/1000/H_0_SAM)*(B484/60)*SUMPRODUCT($J$2:$AD$2,1/SQRT(Omega_m*(1+$J$1:$AD$1*B484)^3+Omega_L)))*(1+B484)*100000)</f>
        <v>35.742460883216978</v>
      </c>
      <c r="G484" s="89">
        <f t="shared" si="7"/>
        <v>0.32606088321697513</v>
      </c>
    </row>
    <row r="485" spans="1:7" x14ac:dyDescent="0.6">
      <c r="A485" s="76" t="s">
        <v>1169</v>
      </c>
      <c r="B485" s="87">
        <v>3.091E-2</v>
      </c>
      <c r="C485" s="88">
        <v>35.492600000000003</v>
      </c>
      <c r="D485" s="88">
        <v>0.16647999999999999</v>
      </c>
      <c r="E485" s="76">
        <v>0</v>
      </c>
      <c r="F485" s="89" cm="1">
        <f t="array" ref="F485">5*LOG10(((c_light/1000/H_0_SAM)*(B485/60)*SUMPRODUCT($J$2:$AD$2,1/SQRT(Omega_m*(1+$J$1:$AD$1*B485)^3+Omega_L)))*(1+B485)*100000)</f>
        <v>35.746055221543102</v>
      </c>
      <c r="G485" s="89">
        <f t="shared" si="7"/>
        <v>0.25345522154309919</v>
      </c>
    </row>
    <row r="486" spans="1:7" x14ac:dyDescent="0.6">
      <c r="A486" s="76" t="s">
        <v>1170</v>
      </c>
      <c r="B486" s="87">
        <v>3.0960000000000001E-2</v>
      </c>
      <c r="C486" s="88">
        <v>35.648099999999999</v>
      </c>
      <c r="D486" s="88">
        <v>0.20666999999999999</v>
      </c>
      <c r="E486" s="76">
        <v>0</v>
      </c>
      <c r="F486" s="89" cm="1">
        <f t="array" ref="F486">5*LOG10(((c_light/1000/H_0_SAM)*(B486/60)*SUMPRODUCT($J$2:$AD$2,1/SQRT(Omega_m*(1+$J$1:$AD$1*B486)^3+Omega_L)))*(1+B486)*100000)</f>
        <v>35.749643872066791</v>
      </c>
      <c r="G486" s="89">
        <f t="shared" si="7"/>
        <v>0.10154387206679161</v>
      </c>
    </row>
    <row r="487" spans="1:7" x14ac:dyDescent="0.6">
      <c r="A487" s="76" t="s">
        <v>1171</v>
      </c>
      <c r="B487" s="87">
        <v>3.108E-2</v>
      </c>
      <c r="C487" s="88">
        <v>35.922400000000003</v>
      </c>
      <c r="D487" s="88">
        <v>0.39929999999999999</v>
      </c>
      <c r="E487" s="76">
        <v>0</v>
      </c>
      <c r="F487" s="89" cm="1">
        <f t="array" ref="F487">5*LOG10(((c_light/1000/H_0_SAM)*(B487/60)*SUMPRODUCT($J$2:$AD$2,1/SQRT(Omega_m*(1+$J$1:$AD$1*B487)^3+Omega_L)))*(1+B487)*100000)</f>
        <v>35.758233536640645</v>
      </c>
      <c r="G487" s="89">
        <f t="shared" si="7"/>
        <v>-0.16416646335935781</v>
      </c>
    </row>
    <row r="488" spans="1:7" x14ac:dyDescent="0.6">
      <c r="A488" s="76" t="s">
        <v>1172</v>
      </c>
      <c r="B488" s="87">
        <v>3.108E-2</v>
      </c>
      <c r="C488" s="88">
        <v>35.405999999999999</v>
      </c>
      <c r="D488" s="88">
        <v>0.33212000000000003</v>
      </c>
      <c r="E488" s="76">
        <v>0</v>
      </c>
      <c r="F488" s="89" cm="1">
        <f t="array" ref="F488">5*LOG10(((c_light/1000/H_0_SAM)*(B488/60)*SUMPRODUCT($J$2:$AD$2,1/SQRT(Omega_m*(1+$J$1:$AD$1*B488)^3+Omega_L)))*(1+B488)*100000)</f>
        <v>35.758233536640645</v>
      </c>
      <c r="G488" s="89">
        <f t="shared" si="7"/>
        <v>0.35223353664064661</v>
      </c>
    </row>
    <row r="489" spans="1:7" x14ac:dyDescent="0.6">
      <c r="A489" s="76" t="s">
        <v>1172</v>
      </c>
      <c r="B489" s="87">
        <v>3.108E-2</v>
      </c>
      <c r="C489" s="88">
        <v>35.337400000000002</v>
      </c>
      <c r="D489" s="88">
        <v>0.37529000000000001</v>
      </c>
      <c r="E489" s="76">
        <v>0</v>
      </c>
      <c r="F489" s="89" cm="1">
        <f t="array" ref="F489">5*LOG10(((c_light/1000/H_0_SAM)*(B489/60)*SUMPRODUCT($J$2:$AD$2,1/SQRT(Omega_m*(1+$J$1:$AD$1*B489)^3+Omega_L)))*(1+B489)*100000)</f>
        <v>35.758233536640645</v>
      </c>
      <c r="G489" s="89">
        <f t="shared" si="7"/>
        <v>0.42083353664064305</v>
      </c>
    </row>
    <row r="490" spans="1:7" x14ac:dyDescent="0.6">
      <c r="A490" s="76" t="s">
        <v>1173</v>
      </c>
      <c r="B490" s="87">
        <v>3.1099999999999999E-2</v>
      </c>
      <c r="C490" s="88">
        <v>35.564999999999998</v>
      </c>
      <c r="D490" s="88">
        <v>0.18371999999999999</v>
      </c>
      <c r="E490" s="76">
        <v>0</v>
      </c>
      <c r="F490" s="89" cm="1">
        <f t="array" ref="F490">5*LOG10(((c_light/1000/H_0_SAM)*(B490/60)*SUMPRODUCT($J$2:$AD$2,1/SQRT(Omega_m*(1+$J$1:$AD$1*B490)^3+Omega_L)))*(1+B490)*100000)</f>
        <v>35.759661990180746</v>
      </c>
      <c r="G490" s="89">
        <f t="shared" si="7"/>
        <v>0.19466199018074803</v>
      </c>
    </row>
    <row r="491" spans="1:7" x14ac:dyDescent="0.6">
      <c r="A491" s="76" t="s">
        <v>1174</v>
      </c>
      <c r="B491" s="87">
        <v>3.1140000000000001E-2</v>
      </c>
      <c r="C491" s="88">
        <v>35.67</v>
      </c>
      <c r="D491" s="88">
        <v>0.23683000000000001</v>
      </c>
      <c r="E491" s="76">
        <v>0</v>
      </c>
      <c r="F491" s="89" cm="1">
        <f t="array" ref="F491">5*LOG10(((c_light/1000/H_0_SAM)*(B491/60)*SUMPRODUCT($J$2:$AD$2,1/SQRT(Omega_m*(1+$J$1:$AD$1*B491)^3+Omega_L)))*(1+B491)*100000)</f>
        <v>35.762516201496275</v>
      </c>
      <c r="G491" s="89">
        <f t="shared" si="7"/>
        <v>9.2516201496273709E-2</v>
      </c>
    </row>
    <row r="492" spans="1:7" x14ac:dyDescent="0.6">
      <c r="A492" s="76" t="s">
        <v>1174</v>
      </c>
      <c r="B492" s="87">
        <v>3.1140000000000001E-2</v>
      </c>
      <c r="C492" s="88">
        <v>35.540900000000001</v>
      </c>
      <c r="D492" s="88">
        <v>0.18490000000000001</v>
      </c>
      <c r="E492" s="76">
        <v>0</v>
      </c>
      <c r="F492" s="89" cm="1">
        <f t="array" ref="F492">5*LOG10(((c_light/1000/H_0_SAM)*(B492/60)*SUMPRODUCT($J$2:$AD$2,1/SQRT(Omega_m*(1+$J$1:$AD$1*B492)^3+Omega_L)))*(1+B492)*100000)</f>
        <v>35.762516201496275</v>
      </c>
      <c r="G492" s="89">
        <f t="shared" si="7"/>
        <v>0.22161620149627481</v>
      </c>
    </row>
    <row r="493" spans="1:7" x14ac:dyDescent="0.6">
      <c r="A493" s="76" t="s">
        <v>1175</v>
      </c>
      <c r="B493" s="87">
        <v>3.116E-2</v>
      </c>
      <c r="C493" s="88">
        <v>35.587699999999998</v>
      </c>
      <c r="D493" s="88">
        <v>0.16908999999999999</v>
      </c>
      <c r="E493" s="76">
        <v>0</v>
      </c>
      <c r="F493" s="89" cm="1">
        <f t="array" ref="F493">5*LOG10(((c_light/1000/H_0_SAM)*(B493/60)*SUMPRODUCT($J$2:$AD$2,1/SQRT(Omega_m*(1+$J$1:$AD$1*B493)^3+Omega_L)))*(1+B493)*100000)</f>
        <v>35.763941961577387</v>
      </c>
      <c r="G493" s="89">
        <f t="shared" si="7"/>
        <v>0.17624196157738936</v>
      </c>
    </row>
    <row r="494" spans="1:7" x14ac:dyDescent="0.6">
      <c r="A494" s="76" t="s">
        <v>1176</v>
      </c>
      <c r="B494" s="87">
        <v>3.117E-2</v>
      </c>
      <c r="C494" s="88">
        <v>35.5304</v>
      </c>
      <c r="D494" s="88">
        <v>0.28358</v>
      </c>
      <c r="E494" s="76">
        <v>0</v>
      </c>
      <c r="F494" s="89" cm="1">
        <f t="array" ref="F494">5*LOG10(((c_light/1000/H_0_SAM)*(B494/60)*SUMPRODUCT($J$2:$AD$2,1/SQRT(Omega_m*(1+$J$1:$AD$1*B494)^3+Omega_L)))*(1+B494)*100000)</f>
        <v>35.764654505727059</v>
      </c>
      <c r="G494" s="89">
        <f t="shared" si="7"/>
        <v>0.23425450572705842</v>
      </c>
    </row>
    <row r="495" spans="1:7" x14ac:dyDescent="0.6">
      <c r="A495" s="76" t="s">
        <v>1177</v>
      </c>
      <c r="B495" s="87">
        <v>3.1179999999999999E-2</v>
      </c>
      <c r="C495" s="88">
        <v>35.667499999999997</v>
      </c>
      <c r="D495" s="88">
        <v>0.17452999999999999</v>
      </c>
      <c r="E495" s="76">
        <v>0</v>
      </c>
      <c r="F495" s="89" cm="1">
        <f t="array" ref="F495">5*LOG10(((c_light/1000/H_0_SAM)*(B495/60)*SUMPRODUCT($J$2:$AD$2,1/SQRT(Omega_m*(1+$J$1:$AD$1*B495)^3+Omega_L)))*(1+B495)*100000)</f>
        <v>35.765366826140827</v>
      </c>
      <c r="G495" s="89">
        <f t="shared" si="7"/>
        <v>9.7866826140830199E-2</v>
      </c>
    </row>
    <row r="496" spans="1:7" x14ac:dyDescent="0.6">
      <c r="A496" s="76" t="s">
        <v>1178</v>
      </c>
      <c r="B496" s="87">
        <v>3.1199999999999999E-2</v>
      </c>
      <c r="C496" s="88">
        <v>35.495699999999999</v>
      </c>
      <c r="D496" s="88">
        <v>0.17595</v>
      </c>
      <c r="E496" s="76">
        <v>0</v>
      </c>
      <c r="F496" s="89" cm="1">
        <f t="array" ref="F496">5*LOG10(((c_light/1000/H_0_SAM)*(B496/60)*SUMPRODUCT($J$2:$AD$2,1/SQRT(Omega_m*(1+$J$1:$AD$1*B496)^3+Omega_L)))*(1+B496)*100000)</f>
        <v>35.766790796333893</v>
      </c>
      <c r="G496" s="89">
        <f t="shared" si="7"/>
        <v>0.27109079633389399</v>
      </c>
    </row>
    <row r="497" spans="1:7" x14ac:dyDescent="0.6">
      <c r="A497" s="76" t="s">
        <v>1178</v>
      </c>
      <c r="B497" s="87">
        <v>3.1199999999999999E-2</v>
      </c>
      <c r="C497" s="88">
        <v>35.579300000000003</v>
      </c>
      <c r="D497" s="88">
        <v>0.14868000000000001</v>
      </c>
      <c r="E497" s="76">
        <v>0</v>
      </c>
      <c r="F497" s="89" cm="1">
        <f t="array" ref="F497">5*LOG10(((c_light/1000/H_0_SAM)*(B497/60)*SUMPRODUCT($J$2:$AD$2,1/SQRT(Omega_m*(1+$J$1:$AD$1*B497)^3+Omega_L)))*(1+B497)*100000)</f>
        <v>35.766790796333893</v>
      </c>
      <c r="G497" s="89">
        <f t="shared" si="7"/>
        <v>0.18749079633388988</v>
      </c>
    </row>
    <row r="498" spans="1:7" x14ac:dyDescent="0.6">
      <c r="A498" s="76" t="s">
        <v>1178</v>
      </c>
      <c r="B498" s="87">
        <v>3.1199999999999999E-2</v>
      </c>
      <c r="C498" s="88">
        <v>35.484099999999998</v>
      </c>
      <c r="D498" s="88">
        <v>0.15379999999999999</v>
      </c>
      <c r="E498" s="76">
        <v>0</v>
      </c>
      <c r="F498" s="89" cm="1">
        <f t="array" ref="F498">5*LOG10(((c_light/1000/H_0_SAM)*(B498/60)*SUMPRODUCT($J$2:$AD$2,1/SQRT(Omega_m*(1+$J$1:$AD$1*B498)^3+Omega_L)))*(1+B498)*100000)</f>
        <v>35.766790796333893</v>
      </c>
      <c r="G498" s="89">
        <f t="shared" si="7"/>
        <v>0.28269079633389538</v>
      </c>
    </row>
    <row r="499" spans="1:7" x14ac:dyDescent="0.6">
      <c r="A499" s="76" t="s">
        <v>1179</v>
      </c>
      <c r="B499" s="87">
        <v>3.1210000000000002E-2</v>
      </c>
      <c r="C499" s="88">
        <v>35.771999999999998</v>
      </c>
      <c r="D499" s="88">
        <v>0.22423000000000001</v>
      </c>
      <c r="E499" s="76">
        <v>0</v>
      </c>
      <c r="F499" s="89" cm="1">
        <f t="array" ref="F499">5*LOG10(((c_light/1000/H_0_SAM)*(B499/60)*SUMPRODUCT($J$2:$AD$2,1/SQRT(Omega_m*(1+$J$1:$AD$1*B499)^3+Omega_L)))*(1+B499)*100000)</f>
        <v>35.767502446399469</v>
      </c>
      <c r="G499" s="89">
        <f t="shared" si="7"/>
        <v>-4.4975536005296135E-3</v>
      </c>
    </row>
    <row r="500" spans="1:7" x14ac:dyDescent="0.6">
      <c r="A500" s="76" t="s">
        <v>1179</v>
      </c>
      <c r="B500" s="87">
        <v>3.1210000000000002E-2</v>
      </c>
      <c r="C500" s="88">
        <v>35.742800000000003</v>
      </c>
      <c r="D500" s="88">
        <v>0.22675999999999999</v>
      </c>
      <c r="E500" s="76">
        <v>0</v>
      </c>
      <c r="F500" s="89" cm="1">
        <f t="array" ref="F500">5*LOG10(((c_light/1000/H_0_SAM)*(B500/60)*SUMPRODUCT($J$2:$AD$2,1/SQRT(Omega_m*(1+$J$1:$AD$1*B500)^3+Omega_L)))*(1+B500)*100000)</f>
        <v>35.767502446399469</v>
      </c>
      <c r="G500" s="89">
        <f t="shared" si="7"/>
        <v>2.4702446399466282E-2</v>
      </c>
    </row>
    <row r="501" spans="1:7" x14ac:dyDescent="0.6">
      <c r="A501" s="76" t="s">
        <v>1179</v>
      </c>
      <c r="B501" s="87">
        <v>3.1210000000000002E-2</v>
      </c>
      <c r="C501" s="88">
        <v>35.786700000000003</v>
      </c>
      <c r="D501" s="88">
        <v>0.21665999999999999</v>
      </c>
      <c r="E501" s="76">
        <v>0</v>
      </c>
      <c r="F501" s="89" cm="1">
        <f t="array" ref="F501">5*LOG10(((c_light/1000/H_0_SAM)*(B501/60)*SUMPRODUCT($J$2:$AD$2,1/SQRT(Omega_m*(1+$J$1:$AD$1*B501)^3+Omega_L)))*(1+B501)*100000)</f>
        <v>35.767502446399469</v>
      </c>
      <c r="G501" s="89">
        <f t="shared" si="7"/>
        <v>-1.9197553600534434E-2</v>
      </c>
    </row>
    <row r="502" spans="1:7" x14ac:dyDescent="0.6">
      <c r="A502" s="76" t="s">
        <v>1180</v>
      </c>
      <c r="B502" s="87">
        <v>3.1320000000000001E-2</v>
      </c>
      <c r="C502" s="88">
        <v>35.623100000000001</v>
      </c>
      <c r="D502" s="88">
        <v>0.32089000000000001</v>
      </c>
      <c r="E502" s="76">
        <v>0</v>
      </c>
      <c r="F502" s="89" cm="1">
        <f t="array" ref="F502">5*LOG10(((c_light/1000/H_0_SAM)*(B502/60)*SUMPRODUCT($J$2:$AD$2,1/SQRT(Omega_m*(1+$J$1:$AD$1*B502)^3+Omega_L)))*(1+B502)*100000)</f>
        <v>35.775315899686227</v>
      </c>
      <c r="G502" s="89">
        <f t="shared" si="7"/>
        <v>0.15221589968622595</v>
      </c>
    </row>
    <row r="503" spans="1:7" x14ac:dyDescent="0.6">
      <c r="A503" s="76" t="s">
        <v>1181</v>
      </c>
      <c r="B503" s="87">
        <v>3.143E-2</v>
      </c>
      <c r="C503" s="88">
        <v>35.646099999999997</v>
      </c>
      <c r="D503" s="88">
        <v>0.19621</v>
      </c>
      <c r="E503" s="76">
        <v>0</v>
      </c>
      <c r="F503" s="89" cm="1">
        <f t="array" ref="F503">5*LOG10(((c_light/1000/H_0_SAM)*(B503/60)*SUMPRODUCT($J$2:$AD$2,1/SQRT(Omega_m*(1+$J$1:$AD$1*B503)^3+Omega_L)))*(1+B503)*100000)</f>
        <v>35.783102539192264</v>
      </c>
      <c r="G503" s="89">
        <f t="shared" si="7"/>
        <v>0.13700253919226668</v>
      </c>
    </row>
    <row r="504" spans="1:7" x14ac:dyDescent="0.6">
      <c r="A504" s="76" t="s">
        <v>1182</v>
      </c>
      <c r="B504" s="87">
        <v>3.143E-2</v>
      </c>
      <c r="C504" s="88">
        <v>35.560200000000002</v>
      </c>
      <c r="D504" s="88">
        <v>0.18556</v>
      </c>
      <c r="E504" s="76">
        <v>0</v>
      </c>
      <c r="F504" s="89" cm="1">
        <f t="array" ref="F504">5*LOG10(((c_light/1000/H_0_SAM)*(B504/60)*SUMPRODUCT($J$2:$AD$2,1/SQRT(Omega_m*(1+$J$1:$AD$1*B504)^3+Omega_L)))*(1+B504)*100000)</f>
        <v>35.783102539192264</v>
      </c>
      <c r="G504" s="89">
        <f t="shared" si="7"/>
        <v>0.22290253919226188</v>
      </c>
    </row>
    <row r="505" spans="1:7" x14ac:dyDescent="0.6">
      <c r="A505" s="76" t="s">
        <v>1183</v>
      </c>
      <c r="B505" s="87">
        <v>3.1469999999999998E-2</v>
      </c>
      <c r="C505" s="88">
        <v>35.911900000000003</v>
      </c>
      <c r="D505" s="88">
        <v>0.27389999999999998</v>
      </c>
      <c r="E505" s="76">
        <v>0</v>
      </c>
      <c r="F505" s="89" cm="1">
        <f t="array" ref="F505">5*LOG10(((c_light/1000/H_0_SAM)*(B505/60)*SUMPRODUCT($J$2:$AD$2,1/SQRT(Omega_m*(1+$J$1:$AD$1*B505)^3+Omega_L)))*(1+B505)*100000)</f>
        <v>35.785927433045295</v>
      </c>
      <c r="G505" s="89">
        <f t="shared" si="7"/>
        <v>-0.12597256695470804</v>
      </c>
    </row>
    <row r="506" spans="1:7" x14ac:dyDescent="0.6">
      <c r="A506" s="76" t="s">
        <v>1184</v>
      </c>
      <c r="B506" s="87">
        <v>3.1480000000000001E-2</v>
      </c>
      <c r="C506" s="88">
        <v>35.701700000000002</v>
      </c>
      <c r="D506" s="88">
        <v>0.16428999999999999</v>
      </c>
      <c r="E506" s="76">
        <v>0</v>
      </c>
      <c r="F506" s="89" cm="1">
        <f t="array" ref="F506">5*LOG10(((c_light/1000/H_0_SAM)*(B506/60)*SUMPRODUCT($J$2:$AD$2,1/SQRT(Omega_m*(1+$J$1:$AD$1*B506)^3+Omega_L)))*(1+B506)*100000)</f>
        <v>35.786633107422738</v>
      </c>
      <c r="G506" s="89">
        <f t="shared" si="7"/>
        <v>8.4933107422735077E-2</v>
      </c>
    </row>
    <row r="507" spans="1:7" x14ac:dyDescent="0.6">
      <c r="A507" s="76" t="s">
        <v>1185</v>
      </c>
      <c r="B507" s="87">
        <v>3.1480000000000001E-2</v>
      </c>
      <c r="C507" s="88">
        <v>35.707000000000001</v>
      </c>
      <c r="D507" s="88">
        <v>0.22056999999999999</v>
      </c>
      <c r="E507" s="76">
        <v>0</v>
      </c>
      <c r="F507" s="89" cm="1">
        <f t="array" ref="F507">5*LOG10(((c_light/1000/H_0_SAM)*(B507/60)*SUMPRODUCT($J$2:$AD$2,1/SQRT(Omega_m*(1+$J$1:$AD$1*B507)^3+Omega_L)))*(1+B507)*100000)</f>
        <v>35.786633107422738</v>
      </c>
      <c r="G507" s="89">
        <f t="shared" si="7"/>
        <v>7.9633107422736771E-2</v>
      </c>
    </row>
    <row r="508" spans="1:7" x14ac:dyDescent="0.6">
      <c r="A508" s="76" t="s">
        <v>1186</v>
      </c>
      <c r="B508" s="87">
        <v>3.1620000000000002E-2</v>
      </c>
      <c r="C508" s="88">
        <v>35.647399999999998</v>
      </c>
      <c r="D508" s="88">
        <v>0.19424</v>
      </c>
      <c r="E508" s="76">
        <v>0</v>
      </c>
      <c r="F508" s="89" cm="1">
        <f t="array" ref="F508">5*LOG10(((c_light/1000/H_0_SAM)*(B508/60)*SUMPRODUCT($J$2:$AD$2,1/SQRT(Omega_m*(1+$J$1:$AD$1*B508)^3+Omega_L)))*(1+B508)*100000)</f>
        <v>35.79648957950679</v>
      </c>
      <c r="G508" s="89">
        <f t="shared" si="7"/>
        <v>0.1490895795067928</v>
      </c>
    </row>
    <row r="509" spans="1:7" x14ac:dyDescent="0.6">
      <c r="A509" s="76" t="s">
        <v>1186</v>
      </c>
      <c r="B509" s="87">
        <v>3.1620000000000002E-2</v>
      </c>
      <c r="C509" s="88">
        <v>35.684699999999999</v>
      </c>
      <c r="D509" s="88">
        <v>0.18808</v>
      </c>
      <c r="E509" s="76">
        <v>0</v>
      </c>
      <c r="F509" s="89" cm="1">
        <f t="array" ref="F509">5*LOG10(((c_light/1000/H_0_SAM)*(B509/60)*SUMPRODUCT($J$2:$AD$2,1/SQRT(Omega_m*(1+$J$1:$AD$1*B509)^3+Omega_L)))*(1+B509)*100000)</f>
        <v>35.79648957950679</v>
      </c>
      <c r="G509" s="89">
        <f t="shared" si="7"/>
        <v>0.11178957950679091</v>
      </c>
    </row>
    <row r="510" spans="1:7" x14ac:dyDescent="0.6">
      <c r="A510" s="76" t="s">
        <v>1187</v>
      </c>
      <c r="B510" s="87">
        <v>3.1660000000000001E-2</v>
      </c>
      <c r="C510" s="88">
        <v>35.727899999999998</v>
      </c>
      <c r="D510" s="88">
        <v>0.17805000000000001</v>
      </c>
      <c r="E510" s="76">
        <v>0</v>
      </c>
      <c r="F510" s="89" cm="1">
        <f t="array" ref="F510">5*LOG10(((c_light/1000/H_0_SAM)*(B510/60)*SUMPRODUCT($J$2:$AD$2,1/SQRT(Omega_m*(1+$J$1:$AD$1*B510)^3+Omega_L)))*(1+B510)*100000)</f>
        <v>35.799297870742237</v>
      </c>
      <c r="G510" s="89">
        <f t="shared" si="7"/>
        <v>7.1397870742238467E-2</v>
      </c>
    </row>
    <row r="511" spans="1:7" x14ac:dyDescent="0.6">
      <c r="A511" s="76" t="s">
        <v>1188</v>
      </c>
      <c r="B511" s="87">
        <v>3.1919999999999997E-2</v>
      </c>
      <c r="C511" s="88">
        <v>35.459200000000003</v>
      </c>
      <c r="D511" s="88">
        <v>0.27606000000000003</v>
      </c>
      <c r="E511" s="76">
        <v>0</v>
      </c>
      <c r="F511" s="89" cm="1">
        <f t="array" ref="F511">5*LOG10(((c_light/1000/H_0_SAM)*(B511/60)*SUMPRODUCT($J$2:$AD$2,1/SQRT(Omega_m*(1+$J$1:$AD$1*B511)^3+Omega_L)))*(1+B511)*100000)</f>
        <v>35.817467573046976</v>
      </c>
      <c r="G511" s="89">
        <f t="shared" si="7"/>
        <v>0.3582675730469731</v>
      </c>
    </row>
    <row r="512" spans="1:7" x14ac:dyDescent="0.6">
      <c r="A512" s="76" t="s">
        <v>1189</v>
      </c>
      <c r="B512" s="87">
        <v>3.2009999999999997E-2</v>
      </c>
      <c r="C512" s="88">
        <v>35.489600000000003</v>
      </c>
      <c r="D512" s="88">
        <v>0.14868000000000001</v>
      </c>
      <c r="E512" s="76">
        <v>0</v>
      </c>
      <c r="F512" s="89" cm="1">
        <f t="array" ref="F512">5*LOG10(((c_light/1000/H_0_SAM)*(B512/60)*SUMPRODUCT($J$2:$AD$2,1/SQRT(Omega_m*(1+$J$1:$AD$1*B512)^3+Omega_L)))*(1+B512)*100000)</f>
        <v>35.82372336175591</v>
      </c>
      <c r="G512" s="89">
        <f t="shared" si="7"/>
        <v>0.33412336175590696</v>
      </c>
    </row>
    <row r="513" spans="1:7" x14ac:dyDescent="0.6">
      <c r="A513" s="76">
        <v>10026</v>
      </c>
      <c r="B513" s="87">
        <v>3.236E-2</v>
      </c>
      <c r="C513" s="88">
        <v>35.674599999999998</v>
      </c>
      <c r="D513" s="88">
        <v>0.20211000000000001</v>
      </c>
      <c r="E513" s="76">
        <v>0</v>
      </c>
      <c r="F513" s="89" cm="1">
        <f t="array" ref="F513">5*LOG10(((c_light/1000/H_0_SAM)*(B513/60)*SUMPRODUCT($J$2:$AD$2,1/SQRT(Omega_m*(1+$J$1:$AD$1*B513)^3+Omega_L)))*(1+B513)*100000)</f>
        <v>35.847888942173746</v>
      </c>
      <c r="G513" s="89">
        <f t="shared" si="7"/>
        <v>0.17328894217374824</v>
      </c>
    </row>
    <row r="514" spans="1:7" x14ac:dyDescent="0.6">
      <c r="A514" s="76" t="s">
        <v>1190</v>
      </c>
      <c r="B514" s="87">
        <v>3.2550000000000003E-2</v>
      </c>
      <c r="C514" s="88">
        <v>35.576000000000001</v>
      </c>
      <c r="D514" s="88">
        <v>0.19681000000000001</v>
      </c>
      <c r="E514" s="76">
        <v>0</v>
      </c>
      <c r="F514" s="89" cm="1">
        <f t="array" ref="F514">5*LOG10(((c_light/1000/H_0_SAM)*(B514/60)*SUMPRODUCT($J$2:$AD$2,1/SQRT(Omega_m*(1+$J$1:$AD$1*B514)^3+Omega_L)))*(1+B514)*100000)</f>
        <v>35.860900546155435</v>
      </c>
      <c r="G514" s="89">
        <f t="shared" si="7"/>
        <v>0.28490054615543414</v>
      </c>
    </row>
    <row r="515" spans="1:7" x14ac:dyDescent="0.6">
      <c r="A515" s="76" t="s">
        <v>1191</v>
      </c>
      <c r="B515" s="87">
        <v>3.2599999999999997E-2</v>
      </c>
      <c r="C515" s="88">
        <v>35.856200000000001</v>
      </c>
      <c r="D515" s="88">
        <v>0.25880999999999998</v>
      </c>
      <c r="E515" s="76">
        <v>0</v>
      </c>
      <c r="F515" s="89" cm="1">
        <f t="array" ref="F515">5*LOG10(((c_light/1000/H_0_SAM)*(B515/60)*SUMPRODUCT($J$2:$AD$2,1/SQRT(Omega_m*(1+$J$1:$AD$1*B515)^3+Omega_L)))*(1+B515)*100000)</f>
        <v>35.864312305892923</v>
      </c>
      <c r="G515" s="89">
        <f t="shared" si="7"/>
        <v>8.1123058929222225E-3</v>
      </c>
    </row>
    <row r="516" spans="1:7" x14ac:dyDescent="0.6">
      <c r="A516" s="76" t="s">
        <v>1191</v>
      </c>
      <c r="B516" s="87">
        <v>3.2599999999999997E-2</v>
      </c>
      <c r="C516" s="88">
        <v>35.857700000000001</v>
      </c>
      <c r="D516" s="88">
        <v>0.29461999999999999</v>
      </c>
      <c r="E516" s="76">
        <v>0</v>
      </c>
      <c r="F516" s="89" cm="1">
        <f t="array" ref="F516">5*LOG10(((c_light/1000/H_0_SAM)*(B516/60)*SUMPRODUCT($J$2:$AD$2,1/SQRT(Omega_m*(1+$J$1:$AD$1*B516)^3+Omega_L)))*(1+B516)*100000)</f>
        <v>35.864312305892923</v>
      </c>
      <c r="G516" s="89">
        <f t="shared" si="7"/>
        <v>6.6123058929221656E-3</v>
      </c>
    </row>
    <row r="517" spans="1:7" x14ac:dyDescent="0.6">
      <c r="A517" s="76" t="s">
        <v>1192</v>
      </c>
      <c r="B517" s="87">
        <v>3.2640000000000002E-2</v>
      </c>
      <c r="C517" s="88">
        <v>35.880800000000001</v>
      </c>
      <c r="D517" s="88">
        <v>0.19003999999999999</v>
      </c>
      <c r="E517" s="76">
        <v>0</v>
      </c>
      <c r="F517" s="89" cm="1">
        <f t="array" ref="F517">5*LOG10(((c_light/1000/H_0_SAM)*(B517/60)*SUMPRODUCT($J$2:$AD$2,1/SQRT(Omega_m*(1+$J$1:$AD$1*B517)^3+Omega_L)))*(1+B517)*100000)</f>
        <v>35.867038030892651</v>
      </c>
      <c r="G517" s="89">
        <f t="shared" si="7"/>
        <v>-1.3761969107349614E-2</v>
      </c>
    </row>
    <row r="518" spans="1:7" x14ac:dyDescent="0.6">
      <c r="A518" s="76" t="s">
        <v>1192</v>
      </c>
      <c r="B518" s="87">
        <v>3.2640000000000002E-2</v>
      </c>
      <c r="C518" s="88">
        <v>35.665599999999998</v>
      </c>
      <c r="D518" s="88">
        <v>0.27453</v>
      </c>
      <c r="E518" s="76">
        <v>0</v>
      </c>
      <c r="F518" s="89" cm="1">
        <f t="array" ref="F518">5*LOG10(((c_light/1000/H_0_SAM)*(B518/60)*SUMPRODUCT($J$2:$AD$2,1/SQRT(Omega_m*(1+$J$1:$AD$1*B518)^3+Omega_L)))*(1+B518)*100000)</f>
        <v>35.867038030892651</v>
      </c>
      <c r="G518" s="89">
        <f t="shared" ref="G518:G581" si="8">F518-C518</f>
        <v>0.20143803089265333</v>
      </c>
    </row>
    <row r="519" spans="1:7" x14ac:dyDescent="0.6">
      <c r="A519" s="76" t="s">
        <v>1193</v>
      </c>
      <c r="B519" s="87">
        <v>3.2640000000000002E-2</v>
      </c>
      <c r="C519" s="88">
        <v>35.908200000000001</v>
      </c>
      <c r="D519" s="88">
        <v>0.19817000000000001</v>
      </c>
      <c r="E519" s="76">
        <v>0</v>
      </c>
      <c r="F519" s="89" cm="1">
        <f t="array" ref="F519">5*LOG10(((c_light/1000/H_0_SAM)*(B519/60)*SUMPRODUCT($J$2:$AD$2,1/SQRT(Omega_m*(1+$J$1:$AD$1*B519)^3+Omega_L)))*(1+B519)*100000)</f>
        <v>35.867038030892651</v>
      </c>
      <c r="G519" s="89">
        <f t="shared" si="8"/>
        <v>-4.1161969107349705E-2</v>
      </c>
    </row>
    <row r="520" spans="1:7" x14ac:dyDescent="0.6">
      <c r="A520" s="76" t="s">
        <v>1194</v>
      </c>
      <c r="B520" s="87">
        <v>3.2719999999999999E-2</v>
      </c>
      <c r="C520" s="88">
        <v>35.663800000000002</v>
      </c>
      <c r="D520" s="88">
        <v>0.15604999999999999</v>
      </c>
      <c r="E520" s="76">
        <v>0</v>
      </c>
      <c r="F520" s="89" cm="1">
        <f t="array" ref="F520">5*LOG10(((c_light/1000/H_0_SAM)*(B520/60)*SUMPRODUCT($J$2:$AD$2,1/SQRT(Omega_m*(1+$J$1:$AD$1*B520)^3+Omega_L)))*(1+B520)*100000)</f>
        <v>35.872479694129076</v>
      </c>
      <c r="G520" s="89">
        <f t="shared" si="8"/>
        <v>0.20867969412907428</v>
      </c>
    </row>
    <row r="521" spans="1:7" x14ac:dyDescent="0.6">
      <c r="A521" s="76" t="s">
        <v>1194</v>
      </c>
      <c r="B521" s="87">
        <v>3.2719999999999999E-2</v>
      </c>
      <c r="C521" s="88">
        <v>35.636600000000001</v>
      </c>
      <c r="D521" s="88">
        <v>0.16986000000000001</v>
      </c>
      <c r="E521" s="76">
        <v>0</v>
      </c>
      <c r="F521" s="89" cm="1">
        <f t="array" ref="F521">5*LOG10(((c_light/1000/H_0_SAM)*(B521/60)*SUMPRODUCT($J$2:$AD$2,1/SQRT(Omega_m*(1+$J$1:$AD$1*B521)^3+Omega_L)))*(1+B521)*100000)</f>
        <v>35.872479694129076</v>
      </c>
      <c r="G521" s="89">
        <f t="shared" si="8"/>
        <v>0.23587969412907484</v>
      </c>
    </row>
    <row r="522" spans="1:7" x14ac:dyDescent="0.6">
      <c r="A522" s="76" t="s">
        <v>1194</v>
      </c>
      <c r="B522" s="87">
        <v>3.2719999999999999E-2</v>
      </c>
      <c r="C522" s="88">
        <v>35.643099999999997</v>
      </c>
      <c r="D522" s="88">
        <v>0.14842</v>
      </c>
      <c r="E522" s="76">
        <v>0</v>
      </c>
      <c r="F522" s="89" cm="1">
        <f t="array" ref="F522">5*LOG10(((c_light/1000/H_0_SAM)*(B522/60)*SUMPRODUCT($J$2:$AD$2,1/SQRT(Omega_m*(1+$J$1:$AD$1*B522)^3+Omega_L)))*(1+B522)*100000)</f>
        <v>35.872479694129076</v>
      </c>
      <c r="G522" s="89">
        <f t="shared" si="8"/>
        <v>0.22937969412907933</v>
      </c>
    </row>
    <row r="523" spans="1:7" x14ac:dyDescent="0.6">
      <c r="A523" s="76" t="s">
        <v>1195</v>
      </c>
      <c r="B523" s="87">
        <v>3.2820000000000002E-2</v>
      </c>
      <c r="C523" s="88">
        <v>35.632899999999999</v>
      </c>
      <c r="D523" s="88">
        <v>0.20402999999999999</v>
      </c>
      <c r="E523" s="76">
        <v>0</v>
      </c>
      <c r="F523" s="89" cm="1">
        <f t="array" ref="F523">5*LOG10(((c_light/1000/H_0_SAM)*(B523/60)*SUMPRODUCT($J$2:$AD$2,1/SQRT(Omega_m*(1+$J$1:$AD$1*B523)^3+Omega_L)))*(1+B523)*100000)</f>
        <v>35.879263505010911</v>
      </c>
      <c r="G523" s="89">
        <f t="shared" si="8"/>
        <v>0.24636350501091187</v>
      </c>
    </row>
    <row r="524" spans="1:7" x14ac:dyDescent="0.6">
      <c r="A524" s="76" t="s">
        <v>1196</v>
      </c>
      <c r="B524" s="87">
        <v>3.2890000000000003E-2</v>
      </c>
      <c r="C524" s="88">
        <v>35.838099999999997</v>
      </c>
      <c r="D524" s="88">
        <v>0.17866000000000001</v>
      </c>
      <c r="E524" s="76">
        <v>0</v>
      </c>
      <c r="F524" s="89" cm="1">
        <f t="array" ref="F524">5*LOG10(((c_light/1000/H_0_SAM)*(B524/60)*SUMPRODUCT($J$2:$AD$2,1/SQRT(Omega_m*(1+$J$1:$AD$1*B524)^3+Omega_L)))*(1+B524)*100000)</f>
        <v>35.884000156550528</v>
      </c>
      <c r="G524" s="89">
        <f t="shared" si="8"/>
        <v>4.5900156550530369E-2</v>
      </c>
    </row>
    <row r="525" spans="1:7" x14ac:dyDescent="0.6">
      <c r="A525" s="76" t="s">
        <v>1197</v>
      </c>
      <c r="B525" s="87">
        <v>3.2899999999999999E-2</v>
      </c>
      <c r="C525" s="88">
        <v>35.724800000000002</v>
      </c>
      <c r="D525" s="88">
        <v>0.15354999999999999</v>
      </c>
      <c r="E525" s="76">
        <v>0</v>
      </c>
      <c r="F525" s="89" cm="1">
        <f t="array" ref="F525">5*LOG10(((c_light/1000/H_0_SAM)*(B525/60)*SUMPRODUCT($J$2:$AD$2,1/SQRT(Omega_m*(1+$J$1:$AD$1*B525)^3+Omega_L)))*(1+B525)*100000)</f>
        <v>35.884676016197758</v>
      </c>
      <c r="G525" s="89">
        <f t="shared" si="8"/>
        <v>0.1598760161977566</v>
      </c>
    </row>
    <row r="526" spans="1:7" x14ac:dyDescent="0.6">
      <c r="A526" s="76" t="s">
        <v>1198</v>
      </c>
      <c r="B526" s="87">
        <v>3.2939999999999997E-2</v>
      </c>
      <c r="C526" s="88">
        <v>35.799199999999999</v>
      </c>
      <c r="D526" s="88">
        <v>0.32601999999999998</v>
      </c>
      <c r="E526" s="76">
        <v>0</v>
      </c>
      <c r="F526" s="89" cm="1">
        <f t="array" ref="F526">5*LOG10(((c_light/1000/H_0_SAM)*(B526/60)*SUMPRODUCT($J$2:$AD$2,1/SQRT(Omega_m*(1+$J$1:$AD$1*B526)^3+Omega_L)))*(1+B526)*100000)</f>
        <v>35.887377447524557</v>
      </c>
      <c r="G526" s="89">
        <f t="shared" si="8"/>
        <v>8.8177447524557806E-2</v>
      </c>
    </row>
    <row r="527" spans="1:7" x14ac:dyDescent="0.6">
      <c r="A527" s="76" t="s">
        <v>1199</v>
      </c>
      <c r="B527" s="87">
        <v>3.2960000000000003E-2</v>
      </c>
      <c r="C527" s="88">
        <v>35.732399999999998</v>
      </c>
      <c r="D527" s="88">
        <v>0.22019</v>
      </c>
      <c r="E527" s="76">
        <v>0</v>
      </c>
      <c r="F527" s="89" cm="1">
        <f t="array" ref="F527">5*LOG10(((c_light/1000/H_0_SAM)*(B527/60)*SUMPRODUCT($J$2:$AD$2,1/SQRT(Omega_m*(1+$J$1:$AD$1*B527)^3+Omega_L)))*(1+B527)*100000)</f>
        <v>35.888726960534605</v>
      </c>
      <c r="G527" s="89">
        <f t="shared" si="8"/>
        <v>0.15632696053460648</v>
      </c>
    </row>
    <row r="528" spans="1:7" x14ac:dyDescent="0.6">
      <c r="A528" s="76" t="s">
        <v>1199</v>
      </c>
      <c r="B528" s="87">
        <v>3.2960000000000003E-2</v>
      </c>
      <c r="C528" s="88">
        <v>35.890700000000002</v>
      </c>
      <c r="D528" s="88">
        <v>0.22574</v>
      </c>
      <c r="E528" s="76">
        <v>0</v>
      </c>
      <c r="F528" s="89" cm="1">
        <f t="array" ref="F528">5*LOG10(((c_light/1000/H_0_SAM)*(B528/60)*SUMPRODUCT($J$2:$AD$2,1/SQRT(Omega_m*(1+$J$1:$AD$1*B528)^3+Omega_L)))*(1+B528)*100000)</f>
        <v>35.888726960534605</v>
      </c>
      <c r="G528" s="89">
        <f t="shared" si="8"/>
        <v>-1.9730394653976191E-3</v>
      </c>
    </row>
    <row r="529" spans="1:7" x14ac:dyDescent="0.6">
      <c r="A529" s="76" t="s">
        <v>1200</v>
      </c>
      <c r="B529" s="87">
        <v>3.2980000000000002E-2</v>
      </c>
      <c r="C529" s="88">
        <v>35.616399999999999</v>
      </c>
      <c r="D529" s="88">
        <v>0.16800999999999999</v>
      </c>
      <c r="E529" s="76">
        <v>0</v>
      </c>
      <c r="F529" s="89" cm="1">
        <f t="array" ref="F529">5*LOG10(((c_light/1000/H_0_SAM)*(B529/60)*SUMPRODUCT($J$2:$AD$2,1/SQRT(Omega_m*(1+$J$1:$AD$1*B529)^3+Omega_L)))*(1+B529)*100000)</f>
        <v>35.890075673071316</v>
      </c>
      <c r="G529" s="89">
        <f t="shared" si="8"/>
        <v>0.27367567307131679</v>
      </c>
    </row>
    <row r="530" spans="1:7" x14ac:dyDescent="0.6">
      <c r="A530" s="76" t="s">
        <v>1201</v>
      </c>
      <c r="B530" s="87">
        <v>3.3329999999999999E-2</v>
      </c>
      <c r="C530" s="88">
        <v>35.664299999999997</v>
      </c>
      <c r="D530" s="88">
        <v>0.15095</v>
      </c>
      <c r="E530" s="76">
        <v>0</v>
      </c>
      <c r="F530" s="89" cm="1">
        <f t="array" ref="F530">5*LOG10(((c_light/1000/H_0_SAM)*(B530/60)*SUMPRODUCT($J$2:$AD$2,1/SQRT(Omega_m*(1+$J$1:$AD$1*B530)^3+Omega_L)))*(1+B530)*100000)</f>
        <v>35.913549578315546</v>
      </c>
      <c r="G530" s="89">
        <f t="shared" si="8"/>
        <v>0.24924957831554906</v>
      </c>
    </row>
    <row r="531" spans="1:7" x14ac:dyDescent="0.6">
      <c r="A531" s="76" t="s">
        <v>1201</v>
      </c>
      <c r="B531" s="87">
        <v>3.3329999999999999E-2</v>
      </c>
      <c r="C531" s="88">
        <v>35.726799999999997</v>
      </c>
      <c r="D531" s="88">
        <v>0.16263</v>
      </c>
      <c r="E531" s="76">
        <v>0</v>
      </c>
      <c r="F531" s="89" cm="1">
        <f t="array" ref="F531">5*LOG10(((c_light/1000/H_0_SAM)*(B531/60)*SUMPRODUCT($J$2:$AD$2,1/SQRT(Omega_m*(1+$J$1:$AD$1*B531)^3+Omega_L)))*(1+B531)*100000)</f>
        <v>35.913549578315546</v>
      </c>
      <c r="G531" s="89">
        <f t="shared" si="8"/>
        <v>0.18674957831554906</v>
      </c>
    </row>
    <row r="532" spans="1:7" x14ac:dyDescent="0.6">
      <c r="A532" s="76" t="s">
        <v>1202</v>
      </c>
      <c r="B532" s="87">
        <v>3.3349999999999998E-2</v>
      </c>
      <c r="C532" s="88">
        <v>35.815899999999999</v>
      </c>
      <c r="D532" s="88">
        <v>0.19896</v>
      </c>
      <c r="E532" s="76">
        <v>0</v>
      </c>
      <c r="F532" s="89" cm="1">
        <f t="array" ref="F532">5*LOG10(((c_light/1000/H_0_SAM)*(B532/60)*SUMPRODUCT($J$2:$AD$2,1/SQRT(Omega_m*(1+$J$1:$AD$1*B532)^3+Omega_L)))*(1+B532)*100000)</f>
        <v>35.914883655127937</v>
      </c>
      <c r="G532" s="89">
        <f t="shared" si="8"/>
        <v>9.8983655127938164E-2</v>
      </c>
    </row>
    <row r="533" spans="1:7" x14ac:dyDescent="0.6">
      <c r="A533" s="76" t="s">
        <v>1203</v>
      </c>
      <c r="B533" s="87">
        <v>3.3410000000000002E-2</v>
      </c>
      <c r="C533" s="88">
        <v>35.864699999999999</v>
      </c>
      <c r="D533" s="88">
        <v>0.15099000000000001</v>
      </c>
      <c r="E533" s="76">
        <v>0</v>
      </c>
      <c r="F533" s="89" cm="1">
        <f t="array" ref="F533">5*LOG10(((c_light/1000/H_0_SAM)*(B533/60)*SUMPRODUCT($J$2:$AD$2,1/SQRT(Omega_m*(1+$J$1:$AD$1*B533)^3+Omega_L)))*(1+B533)*100000)</f>
        <v>35.918881198014418</v>
      </c>
      <c r="G533" s="89">
        <f t="shared" si="8"/>
        <v>5.4181198014418896E-2</v>
      </c>
    </row>
    <row r="534" spans="1:7" x14ac:dyDescent="0.6">
      <c r="A534" s="76" t="s">
        <v>1203</v>
      </c>
      <c r="B534" s="87">
        <v>3.3410000000000002E-2</v>
      </c>
      <c r="C534" s="88">
        <v>35.851599999999998</v>
      </c>
      <c r="D534" s="88">
        <v>0.14362</v>
      </c>
      <c r="E534" s="76">
        <v>0</v>
      </c>
      <c r="F534" s="89" cm="1">
        <f t="array" ref="F534">5*LOG10(((c_light/1000/H_0_SAM)*(B534/60)*SUMPRODUCT($J$2:$AD$2,1/SQRT(Omega_m*(1+$J$1:$AD$1*B534)^3+Omega_L)))*(1+B534)*100000)</f>
        <v>35.918881198014418</v>
      </c>
      <c r="G534" s="89">
        <f t="shared" si="8"/>
        <v>6.728119801442034E-2</v>
      </c>
    </row>
    <row r="535" spans="1:7" x14ac:dyDescent="0.6">
      <c r="A535" s="76" t="s">
        <v>1204</v>
      </c>
      <c r="B535" s="87">
        <v>3.3709999999999997E-2</v>
      </c>
      <c r="C535" s="88">
        <v>35.779699999999998</v>
      </c>
      <c r="D535" s="88">
        <v>0.15970000000000001</v>
      </c>
      <c r="E535" s="76">
        <v>0</v>
      </c>
      <c r="F535" s="89" cm="1">
        <f t="array" ref="F535">5*LOG10(((c_light/1000/H_0_SAM)*(B535/60)*SUMPRODUCT($J$2:$AD$2,1/SQRT(Omega_m*(1+$J$1:$AD$1*B535)^3+Omega_L)))*(1+B535)*100000)</f>
        <v>35.938764236299292</v>
      </c>
      <c r="G535" s="89">
        <f t="shared" si="8"/>
        <v>0.15906423629929378</v>
      </c>
    </row>
    <row r="536" spans="1:7" x14ac:dyDescent="0.6">
      <c r="A536" s="76" t="s">
        <v>1205</v>
      </c>
      <c r="B536" s="87">
        <v>3.3730000000000003E-2</v>
      </c>
      <c r="C536" s="88">
        <v>35.829000000000001</v>
      </c>
      <c r="D536" s="88">
        <v>0.27367000000000002</v>
      </c>
      <c r="E536" s="76">
        <v>0</v>
      </c>
      <c r="F536" s="89" cm="1">
        <f t="array" ref="F536">5*LOG10(((c_light/1000/H_0_SAM)*(B536/60)*SUMPRODUCT($J$2:$AD$2,1/SQRT(Omega_m*(1+$J$1:$AD$1*B536)^3+Omega_L)))*(1+B536)*100000)</f>
        <v>35.940083615771584</v>
      </c>
      <c r="G536" s="89">
        <f t="shared" si="8"/>
        <v>0.11108361577158377</v>
      </c>
    </row>
    <row r="537" spans="1:7" x14ac:dyDescent="0.6">
      <c r="A537" s="76" t="s">
        <v>1206</v>
      </c>
      <c r="B537" s="87">
        <v>3.3750000000000002E-2</v>
      </c>
      <c r="C537" s="88">
        <v>36.0229</v>
      </c>
      <c r="D537" s="88">
        <v>0.24302000000000001</v>
      </c>
      <c r="E537" s="76">
        <v>0</v>
      </c>
      <c r="F537" s="89" cm="1">
        <f t="array" ref="F537">5*LOG10(((c_light/1000/H_0_SAM)*(B537/60)*SUMPRODUCT($J$2:$AD$2,1/SQRT(Omega_m*(1+$J$1:$AD$1*B537)^3+Omega_L)))*(1+B537)*100000)</f>
        <v>35.941402230859616</v>
      </c>
      <c r="G537" s="89">
        <f t="shared" si="8"/>
        <v>-8.149776914038398E-2</v>
      </c>
    </row>
    <row r="538" spans="1:7" x14ac:dyDescent="0.6">
      <c r="A538" s="76" t="s">
        <v>1207</v>
      </c>
      <c r="B538" s="87">
        <v>3.3779999999999998E-2</v>
      </c>
      <c r="C538" s="88">
        <v>35.827599999999997</v>
      </c>
      <c r="D538" s="88">
        <v>0.25913000000000003</v>
      </c>
      <c r="E538" s="76">
        <v>0</v>
      </c>
      <c r="F538" s="89" cm="1">
        <f t="array" ref="F538">5*LOG10(((c_light/1000/H_0_SAM)*(B538/60)*SUMPRODUCT($J$2:$AD$2,1/SQRT(Omega_m*(1+$J$1:$AD$1*B538)^3+Omega_L)))*(1+B538)*100000)</f>
        <v>35.943378722249555</v>
      </c>
      <c r="G538" s="89">
        <f t="shared" si="8"/>
        <v>0.11577872224955854</v>
      </c>
    </row>
    <row r="539" spans="1:7" x14ac:dyDescent="0.6">
      <c r="A539" s="76" t="s">
        <v>1208</v>
      </c>
      <c r="B539" s="87">
        <v>3.3930000000000002E-2</v>
      </c>
      <c r="C539" s="88">
        <v>35.908900000000003</v>
      </c>
      <c r="D539" s="88">
        <v>0.17721000000000001</v>
      </c>
      <c r="E539" s="76">
        <v>0</v>
      </c>
      <c r="F539" s="89" cm="1">
        <f t="array" ref="F539">5*LOG10(((c_light/1000/H_0_SAM)*(B539/60)*SUMPRODUCT($J$2:$AD$2,1/SQRT(Omega_m*(1+$J$1:$AD$1*B539)^3+Omega_L)))*(1+B539)*100000)</f>
        <v>35.953235518090906</v>
      </c>
      <c r="G539" s="89">
        <f t="shared" si="8"/>
        <v>4.4335518090903747E-2</v>
      </c>
    </row>
    <row r="540" spans="1:7" x14ac:dyDescent="0.6">
      <c r="A540" s="76" t="s">
        <v>1209</v>
      </c>
      <c r="B540" s="87">
        <v>3.4029999999999998E-2</v>
      </c>
      <c r="C540" s="88">
        <v>35.758699999999997</v>
      </c>
      <c r="D540" s="88">
        <v>0.31297000000000003</v>
      </c>
      <c r="E540" s="76">
        <v>0</v>
      </c>
      <c r="F540" s="89" cm="1">
        <f t="array" ref="F540">5*LOG10(((c_light/1000/H_0_SAM)*(B540/60)*SUMPRODUCT($J$2:$AD$2,1/SQRT(Omega_m*(1+$J$1:$AD$1*B540)^3+Omega_L)))*(1+B540)*100000)</f>
        <v>35.959783085413562</v>
      </c>
      <c r="G540" s="89">
        <f t="shared" si="8"/>
        <v>0.20108308541356479</v>
      </c>
    </row>
    <row r="541" spans="1:7" x14ac:dyDescent="0.6">
      <c r="A541" s="76" t="s">
        <v>1210</v>
      </c>
      <c r="B541" s="87">
        <v>3.4279999999999998E-2</v>
      </c>
      <c r="C541" s="88">
        <v>35.918799999999997</v>
      </c>
      <c r="D541" s="88">
        <v>0.20741999999999999</v>
      </c>
      <c r="E541" s="76">
        <v>0</v>
      </c>
      <c r="F541" s="89" cm="1">
        <f t="array" ref="F541">5*LOG10(((c_light/1000/H_0_SAM)*(B541/60)*SUMPRODUCT($J$2:$AD$2,1/SQRT(Omega_m*(1+$J$1:$AD$1*B541)^3+Omega_L)))*(1+B541)*100000)</f>
        <v>35.976070104460426</v>
      </c>
      <c r="G541" s="89">
        <f t="shared" si="8"/>
        <v>5.7270104460428684E-2</v>
      </c>
    </row>
    <row r="542" spans="1:7" x14ac:dyDescent="0.6">
      <c r="A542" s="76" t="s">
        <v>1210</v>
      </c>
      <c r="B542" s="87">
        <v>3.4279999999999998E-2</v>
      </c>
      <c r="C542" s="88">
        <v>35.937800000000003</v>
      </c>
      <c r="D542" s="88">
        <v>0.21132000000000001</v>
      </c>
      <c r="E542" s="76">
        <v>0</v>
      </c>
      <c r="F542" s="89" cm="1">
        <f t="array" ref="F542">5*LOG10(((c_light/1000/H_0_SAM)*(B542/60)*SUMPRODUCT($J$2:$AD$2,1/SQRT(Omega_m*(1+$J$1:$AD$1*B542)^3+Omega_L)))*(1+B542)*100000)</f>
        <v>35.976070104460426</v>
      </c>
      <c r="G542" s="89">
        <f t="shared" si="8"/>
        <v>3.8270104460423227E-2</v>
      </c>
    </row>
    <row r="543" spans="1:7" x14ac:dyDescent="0.6">
      <c r="A543" s="76" t="s">
        <v>1211</v>
      </c>
      <c r="B543" s="87">
        <v>3.4369999999999998E-2</v>
      </c>
      <c r="C543" s="88">
        <v>35.783700000000003</v>
      </c>
      <c r="D543" s="88">
        <v>0.21707000000000001</v>
      </c>
      <c r="E543" s="76">
        <v>0</v>
      </c>
      <c r="F543" s="89" cm="1">
        <f t="array" ref="F543">5*LOG10(((c_light/1000/H_0_SAM)*(B543/60)*SUMPRODUCT($J$2:$AD$2,1/SQRT(Omega_m*(1+$J$1:$AD$1*B543)^3+Omega_L)))*(1+B543)*100000)</f>
        <v>35.981905034641322</v>
      </c>
      <c r="G543" s="89">
        <f t="shared" si="8"/>
        <v>0.19820503464131889</v>
      </c>
    </row>
    <row r="544" spans="1:7" x14ac:dyDescent="0.6">
      <c r="A544" s="76" t="s">
        <v>1212</v>
      </c>
      <c r="B544" s="87">
        <v>3.4410000000000003E-2</v>
      </c>
      <c r="C544" s="88">
        <v>35.825000000000003</v>
      </c>
      <c r="D544" s="88">
        <v>0.34061000000000002</v>
      </c>
      <c r="E544" s="76">
        <v>0</v>
      </c>
      <c r="F544" s="89" cm="1">
        <f t="array" ref="F544">5*LOG10(((c_light/1000/H_0_SAM)*(B544/60)*SUMPRODUCT($J$2:$AD$2,1/SQRT(Omega_m*(1+$J$1:$AD$1*B544)^3+Omega_L)))*(1+B544)*100000)</f>
        <v>35.984493546896289</v>
      </c>
      <c r="G544" s="89">
        <f t="shared" si="8"/>
        <v>0.15949354689628592</v>
      </c>
    </row>
    <row r="545" spans="1:7" x14ac:dyDescent="0.6">
      <c r="A545" s="76" t="s">
        <v>1213</v>
      </c>
      <c r="B545" s="87">
        <v>3.4509999999999999E-2</v>
      </c>
      <c r="C545" s="88">
        <v>35.975700000000003</v>
      </c>
      <c r="D545" s="88">
        <v>0.35808000000000001</v>
      </c>
      <c r="E545" s="76">
        <v>0</v>
      </c>
      <c r="F545" s="89" cm="1">
        <f t="array" ref="F545">5*LOG10(((c_light/1000/H_0_SAM)*(B545/60)*SUMPRODUCT($J$2:$AD$2,1/SQRT(Omega_m*(1+$J$1:$AD$1*B545)^3+Omega_L)))*(1+B545)*100000)</f>
        <v>35.990951988546875</v>
      </c>
      <c r="G545" s="89">
        <f t="shared" si="8"/>
        <v>1.5251988546872042E-2</v>
      </c>
    </row>
    <row r="546" spans="1:7" x14ac:dyDescent="0.6">
      <c r="A546" s="76" t="s">
        <v>1214</v>
      </c>
      <c r="B546" s="87">
        <v>3.4590000000000003E-2</v>
      </c>
      <c r="C546" s="88">
        <v>35.7348</v>
      </c>
      <c r="D546" s="88">
        <v>0.15565999999999999</v>
      </c>
      <c r="E546" s="76">
        <v>0</v>
      </c>
      <c r="F546" s="89" cm="1">
        <f t="array" ref="F546">5*LOG10(((c_light/1000/H_0_SAM)*(B546/60)*SUMPRODUCT($J$2:$AD$2,1/SQRT(Omega_m*(1+$J$1:$AD$1*B546)^3+Omega_L)))*(1+B546)*100000)</f>
        <v>35.996105592043079</v>
      </c>
      <c r="G546" s="89">
        <f t="shared" si="8"/>
        <v>0.26130559204307957</v>
      </c>
    </row>
    <row r="547" spans="1:7" x14ac:dyDescent="0.6">
      <c r="A547" s="76" t="s">
        <v>1215</v>
      </c>
      <c r="B547" s="87">
        <v>3.4790000000000001E-2</v>
      </c>
      <c r="C547" s="88">
        <v>35.8566</v>
      </c>
      <c r="D547" s="88">
        <v>0.20577000000000001</v>
      </c>
      <c r="E547" s="76">
        <v>0</v>
      </c>
      <c r="F547" s="89" cm="1">
        <f t="array" ref="F547">5*LOG10(((c_light/1000/H_0_SAM)*(B547/60)*SUMPRODUCT($J$2:$AD$2,1/SQRT(Omega_m*(1+$J$1:$AD$1*B547)^3+Omega_L)))*(1+B547)*100000)</f>
        <v>36.008938835266129</v>
      </c>
      <c r="G547" s="89">
        <f t="shared" si="8"/>
        <v>0.15233883526612857</v>
      </c>
    </row>
    <row r="548" spans="1:7" x14ac:dyDescent="0.6">
      <c r="A548" s="76" t="s">
        <v>1216</v>
      </c>
      <c r="B548" s="87">
        <v>3.4909999999999997E-2</v>
      </c>
      <c r="C548" s="88">
        <v>35.911799999999999</v>
      </c>
      <c r="D548" s="88">
        <v>0.16563</v>
      </c>
      <c r="E548" s="76">
        <v>0</v>
      </c>
      <c r="F548" s="89" cm="1">
        <f t="array" ref="F548">5*LOG10(((c_light/1000/H_0_SAM)*(B548/60)*SUMPRODUCT($J$2:$AD$2,1/SQRT(Omega_m*(1+$J$1:$AD$1*B548)^3+Omega_L)))*(1+B548)*100000)</f>
        <v>36.016604236672194</v>
      </c>
      <c r="G548" s="89">
        <f t="shared" si="8"/>
        <v>0.10480423667219441</v>
      </c>
    </row>
    <row r="549" spans="1:7" x14ac:dyDescent="0.6">
      <c r="A549" s="76" t="s">
        <v>1217</v>
      </c>
      <c r="B549" s="87">
        <v>3.5119999999999998E-2</v>
      </c>
      <c r="C549" s="88">
        <v>35.881599999999999</v>
      </c>
      <c r="D549" s="88">
        <v>0.16933000000000001</v>
      </c>
      <c r="E549" s="76">
        <v>0</v>
      </c>
      <c r="F549" s="89" cm="1">
        <f t="array" ref="F549">5*LOG10(((c_light/1000/H_0_SAM)*(B549/60)*SUMPRODUCT($J$2:$AD$2,1/SQRT(Omega_m*(1+$J$1:$AD$1*B549)^3+Omega_L)))*(1+B549)*100000)</f>
        <v>36.029956975078228</v>
      </c>
      <c r="G549" s="89">
        <f t="shared" si="8"/>
        <v>0.14835697507822942</v>
      </c>
    </row>
    <row r="550" spans="1:7" x14ac:dyDescent="0.6">
      <c r="A550" s="76" t="s">
        <v>1218</v>
      </c>
      <c r="B550" s="87">
        <v>3.5150000000000001E-2</v>
      </c>
      <c r="C550" s="88">
        <v>35.893700000000003</v>
      </c>
      <c r="D550" s="88">
        <v>0.21165999999999999</v>
      </c>
      <c r="E550" s="76">
        <v>0</v>
      </c>
      <c r="F550" s="89" cm="1">
        <f t="array" ref="F550">5*LOG10(((c_light/1000/H_0_SAM)*(B550/60)*SUMPRODUCT($J$2:$AD$2,1/SQRT(Omega_m*(1+$J$1:$AD$1*B550)^3+Omega_L)))*(1+B550)*100000)</f>
        <v>36.031858141076121</v>
      </c>
      <c r="G550" s="89">
        <f t="shared" si="8"/>
        <v>0.13815814107611857</v>
      </c>
    </row>
    <row r="551" spans="1:7" x14ac:dyDescent="0.6">
      <c r="A551" s="76" t="s">
        <v>1219</v>
      </c>
      <c r="B551" s="87">
        <v>3.5159999999999997E-2</v>
      </c>
      <c r="C551" s="88">
        <v>35.801200000000001</v>
      </c>
      <c r="D551" s="88">
        <v>0.48332999999999998</v>
      </c>
      <c r="E551" s="76">
        <v>0</v>
      </c>
      <c r="F551" s="89" cm="1">
        <f t="array" ref="F551">5*LOG10(((c_light/1000/H_0_SAM)*(B551/60)*SUMPRODUCT($J$2:$AD$2,1/SQRT(Omega_m*(1+$J$1:$AD$1*B551)^3+Omega_L)))*(1+B551)*100000)</f>
        <v>36.032491510970374</v>
      </c>
      <c r="G551" s="89">
        <f t="shared" si="8"/>
        <v>0.23129151097037237</v>
      </c>
    </row>
    <row r="552" spans="1:7" x14ac:dyDescent="0.6">
      <c r="A552" s="76" t="s">
        <v>1219</v>
      </c>
      <c r="B552" s="87">
        <v>3.5159999999999997E-2</v>
      </c>
      <c r="C552" s="88">
        <v>35.803800000000003</v>
      </c>
      <c r="D552" s="88">
        <v>0.48205999999999999</v>
      </c>
      <c r="E552" s="76">
        <v>0</v>
      </c>
      <c r="F552" s="89" cm="1">
        <f t="array" ref="F552">5*LOG10(((c_light/1000/H_0_SAM)*(B552/60)*SUMPRODUCT($J$2:$AD$2,1/SQRT(Omega_m*(1+$J$1:$AD$1*B552)^3+Omega_L)))*(1+B552)*100000)</f>
        <v>36.032491510970374</v>
      </c>
      <c r="G552" s="89">
        <f t="shared" si="8"/>
        <v>0.22869151097037133</v>
      </c>
    </row>
    <row r="553" spans="1:7" x14ac:dyDescent="0.6">
      <c r="A553" s="76" t="s">
        <v>1220</v>
      </c>
      <c r="B553" s="87">
        <v>3.5220000000000001E-2</v>
      </c>
      <c r="C553" s="88">
        <v>35.834899999999998</v>
      </c>
      <c r="D553" s="88">
        <v>0.33421000000000001</v>
      </c>
      <c r="E553" s="76">
        <v>0</v>
      </c>
      <c r="F553" s="89" cm="1">
        <f t="array" ref="F553">5*LOG10(((c_light/1000/H_0_SAM)*(B553/60)*SUMPRODUCT($J$2:$AD$2,1/SQRT(Omega_m*(1+$J$1:$AD$1*B553)^3+Omega_L)))*(1+B553)*100000)</f>
        <v>36.036288040225905</v>
      </c>
      <c r="G553" s="89">
        <f t="shared" si="8"/>
        <v>0.20138804022590762</v>
      </c>
    </row>
    <row r="554" spans="1:7" x14ac:dyDescent="0.6">
      <c r="A554" s="76" t="s">
        <v>1221</v>
      </c>
      <c r="B554" s="87">
        <v>3.5290000000000002E-2</v>
      </c>
      <c r="C554" s="88">
        <v>35.860999999999997</v>
      </c>
      <c r="D554" s="88">
        <v>0.1686</v>
      </c>
      <c r="E554" s="76">
        <v>0</v>
      </c>
      <c r="F554" s="89" cm="1">
        <f t="array" ref="F554">5*LOG10(((c_light/1000/H_0_SAM)*(B554/60)*SUMPRODUCT($J$2:$AD$2,1/SQRT(Omega_m*(1+$J$1:$AD$1*B554)^3+Omega_L)))*(1+B554)*100000)</f>
        <v>36.040709350254481</v>
      </c>
      <c r="G554" s="89">
        <f t="shared" si="8"/>
        <v>0.17970935025448398</v>
      </c>
    </row>
    <row r="555" spans="1:7" x14ac:dyDescent="0.6">
      <c r="A555" s="76" t="s">
        <v>1222</v>
      </c>
      <c r="B555" s="87">
        <v>3.551E-2</v>
      </c>
      <c r="C555" s="88">
        <v>35.990499999999997</v>
      </c>
      <c r="D555" s="88">
        <v>0.37481999999999999</v>
      </c>
      <c r="E555" s="76">
        <v>0</v>
      </c>
      <c r="F555" s="89" cm="1">
        <f t="array" ref="F555">5*LOG10(((c_light/1000/H_0_SAM)*(B555/60)*SUMPRODUCT($J$2:$AD$2,1/SQRT(Omega_m*(1+$J$1:$AD$1*B555)^3+Omega_L)))*(1+B555)*100000)</f>
        <v>36.054549357339745</v>
      </c>
      <c r="G555" s="89">
        <f t="shared" si="8"/>
        <v>6.4049357339747814E-2</v>
      </c>
    </row>
    <row r="556" spans="1:7" x14ac:dyDescent="0.6">
      <c r="A556" s="76" t="s">
        <v>1223</v>
      </c>
      <c r="B556" s="87">
        <v>3.5680000000000003E-2</v>
      </c>
      <c r="C556" s="88">
        <v>36.234000000000002</v>
      </c>
      <c r="D556" s="88">
        <v>0.18845999999999999</v>
      </c>
      <c r="E556" s="76">
        <v>0</v>
      </c>
      <c r="F556" s="89" cm="1">
        <f t="array" ref="F556">5*LOG10(((c_light/1000/H_0_SAM)*(B556/60)*SUMPRODUCT($J$2:$AD$2,1/SQRT(Omega_m*(1+$J$1:$AD$1*B556)^3+Omega_L)))*(1+B556)*100000)</f>
        <v>36.065186689870714</v>
      </c>
      <c r="G556" s="89">
        <f t="shared" si="8"/>
        <v>-0.16881331012928769</v>
      </c>
    </row>
    <row r="557" spans="1:7" x14ac:dyDescent="0.6">
      <c r="A557" s="76" t="s">
        <v>1224</v>
      </c>
      <c r="B557" s="87">
        <v>3.576E-2</v>
      </c>
      <c r="C557" s="88">
        <v>35.959099999999999</v>
      </c>
      <c r="D557" s="88">
        <v>0.22517000000000001</v>
      </c>
      <c r="E557" s="76">
        <v>0</v>
      </c>
      <c r="F557" s="89" cm="1">
        <f t="array" ref="F557">5*LOG10(((c_light/1000/H_0_SAM)*(B557/60)*SUMPRODUCT($J$2:$AD$2,1/SQRT(Omega_m*(1+$J$1:$AD$1*B557)^3+Omega_L)))*(1+B557)*100000)</f>
        <v>36.070175384287225</v>
      </c>
      <c r="G557" s="89">
        <f t="shared" si="8"/>
        <v>0.11107538428722563</v>
      </c>
    </row>
    <row r="558" spans="1:7" x14ac:dyDescent="0.6">
      <c r="A558" s="76" t="s">
        <v>1225</v>
      </c>
      <c r="B558" s="87">
        <v>3.576E-2</v>
      </c>
      <c r="C558" s="88">
        <v>36.154499999999999</v>
      </c>
      <c r="D558" s="88">
        <v>0.23032</v>
      </c>
      <c r="E558" s="76">
        <v>0</v>
      </c>
      <c r="F558" s="89" cm="1">
        <f t="array" ref="F558">5*LOG10(((c_light/1000/H_0_SAM)*(B558/60)*SUMPRODUCT($J$2:$AD$2,1/SQRT(Omega_m*(1+$J$1:$AD$1*B558)^3+Omega_L)))*(1+B558)*100000)</f>
        <v>36.070175384287225</v>
      </c>
      <c r="G558" s="89">
        <f t="shared" si="8"/>
        <v>-8.4324615712773721E-2</v>
      </c>
    </row>
    <row r="559" spans="1:7" x14ac:dyDescent="0.6">
      <c r="A559" s="76" t="s">
        <v>1226</v>
      </c>
      <c r="B559" s="87">
        <v>3.5830000000000001E-2</v>
      </c>
      <c r="C559" s="88">
        <v>35.932499999999997</v>
      </c>
      <c r="D559" s="88">
        <v>0.20422999999999999</v>
      </c>
      <c r="E559" s="76">
        <v>0</v>
      </c>
      <c r="F559" s="89" cm="1">
        <f t="array" ref="F559">5*LOG10(((c_light/1000/H_0_SAM)*(B559/60)*SUMPRODUCT($J$2:$AD$2,1/SQRT(Omega_m*(1+$J$1:$AD$1*B559)^3+Omega_L)))*(1+B559)*100000)</f>
        <v>36.074531563087938</v>
      </c>
      <c r="G559" s="89">
        <f t="shared" si="8"/>
        <v>0.14203156308794007</v>
      </c>
    </row>
    <row r="560" spans="1:7" x14ac:dyDescent="0.6">
      <c r="A560" s="76" t="s">
        <v>1227</v>
      </c>
      <c r="B560" s="87">
        <v>3.585E-2</v>
      </c>
      <c r="C560" s="88">
        <v>35.551499999999997</v>
      </c>
      <c r="D560" s="88">
        <v>0.20433000000000001</v>
      </c>
      <c r="E560" s="76">
        <v>0</v>
      </c>
      <c r="F560" s="89" cm="1">
        <f t="array" ref="F560">5*LOG10(((c_light/1000/H_0_SAM)*(B560/60)*SUMPRODUCT($J$2:$AD$2,1/SQRT(Omega_m*(1+$J$1:$AD$1*B560)^3+Omega_L)))*(1+B560)*100000)</f>
        <v>36.075774659784308</v>
      </c>
      <c r="G560" s="89">
        <f t="shared" si="8"/>
        <v>0.52427465978431087</v>
      </c>
    </row>
    <row r="561" spans="1:7" x14ac:dyDescent="0.6">
      <c r="A561" s="76" t="s">
        <v>1228</v>
      </c>
      <c r="B561" s="87">
        <v>3.5990000000000001E-2</v>
      </c>
      <c r="C561" s="88">
        <v>35.990900000000003</v>
      </c>
      <c r="D561" s="88">
        <v>0.18718000000000001</v>
      </c>
      <c r="E561" s="76">
        <v>0</v>
      </c>
      <c r="F561" s="89" cm="1">
        <f t="array" ref="F561">5*LOG10(((c_light/1000/H_0_SAM)*(B561/60)*SUMPRODUCT($J$2:$AD$2,1/SQRT(Omega_m*(1+$J$1:$AD$1*B561)^3+Omega_L)))*(1+B561)*100000)</f>
        <v>36.084457429589655</v>
      </c>
      <c r="G561" s="89">
        <f t="shared" si="8"/>
        <v>9.355742958965152E-2</v>
      </c>
    </row>
    <row r="562" spans="1:7" x14ac:dyDescent="0.6">
      <c r="A562" s="76" t="s">
        <v>1229</v>
      </c>
      <c r="B562" s="87">
        <v>3.6159999999999998E-2</v>
      </c>
      <c r="C562" s="88">
        <v>35.858600000000003</v>
      </c>
      <c r="D562" s="88">
        <v>0.22348000000000001</v>
      </c>
      <c r="E562" s="76">
        <v>0</v>
      </c>
      <c r="F562" s="89" cm="1">
        <f t="array" ref="F562">5*LOG10(((c_light/1000/H_0_SAM)*(B562/60)*SUMPRODUCT($J$2:$AD$2,1/SQRT(Omega_m*(1+$J$1:$AD$1*B562)^3+Omega_L)))*(1+B562)*100000)</f>
        <v>36.094956581448521</v>
      </c>
      <c r="G562" s="89">
        <f t="shared" si="8"/>
        <v>0.23635658144851845</v>
      </c>
    </row>
    <row r="563" spans="1:7" x14ac:dyDescent="0.6">
      <c r="A563" s="76" t="s">
        <v>1230</v>
      </c>
      <c r="B563" s="87">
        <v>3.6240000000000001E-2</v>
      </c>
      <c r="C563" s="88">
        <v>36.1845</v>
      </c>
      <c r="D563" s="88">
        <v>0.18723999999999999</v>
      </c>
      <c r="E563" s="76">
        <v>0</v>
      </c>
      <c r="F563" s="89" cm="1">
        <f t="array" ref="F563">5*LOG10(((c_light/1000/H_0_SAM)*(B563/60)*SUMPRODUCT($J$2:$AD$2,1/SQRT(Omega_m*(1+$J$1:$AD$1*B563)^3+Omega_L)))*(1+B563)*100000)</f>
        <v>36.09988070066013</v>
      </c>
      <c r="G563" s="89">
        <f t="shared" si="8"/>
        <v>-8.4619299339870224E-2</v>
      </c>
    </row>
    <row r="564" spans="1:7" x14ac:dyDescent="0.6">
      <c r="A564" s="76" t="s">
        <v>1231</v>
      </c>
      <c r="B564" s="87">
        <v>3.635E-2</v>
      </c>
      <c r="C564" s="88">
        <v>36.003500000000003</v>
      </c>
      <c r="D564" s="88">
        <v>0.18525</v>
      </c>
      <c r="E564" s="76">
        <v>0</v>
      </c>
      <c r="F564" s="89" cm="1">
        <f t="array" ref="F564">5*LOG10(((c_light/1000/H_0_SAM)*(B564/60)*SUMPRODUCT($J$2:$AD$2,1/SQRT(Omega_m*(1+$J$1:$AD$1*B564)^3+Omega_L)))*(1+B564)*100000)</f>
        <v>36.106634071780427</v>
      </c>
      <c r="G564" s="89">
        <f t="shared" si="8"/>
        <v>0.10313407178042411</v>
      </c>
    </row>
    <row r="565" spans="1:7" x14ac:dyDescent="0.6">
      <c r="A565" s="76" t="s">
        <v>1232</v>
      </c>
      <c r="B565" s="87">
        <v>3.6819999999999999E-2</v>
      </c>
      <c r="C565" s="88">
        <v>35.928199999999997</v>
      </c>
      <c r="D565" s="88">
        <v>0.15659999999999999</v>
      </c>
      <c r="E565" s="76">
        <v>0</v>
      </c>
      <c r="F565" s="89" cm="1">
        <f t="array" ref="F565">5*LOG10(((c_light/1000/H_0_SAM)*(B565/60)*SUMPRODUCT($J$2:$AD$2,1/SQRT(Omega_m*(1+$J$1:$AD$1*B565)^3+Omega_L)))*(1+B565)*100000)</f>
        <v>36.135266535922142</v>
      </c>
      <c r="G565" s="89">
        <f t="shared" si="8"/>
        <v>0.20706653592214508</v>
      </c>
    </row>
    <row r="566" spans="1:7" x14ac:dyDescent="0.6">
      <c r="A566" s="76" t="s">
        <v>1232</v>
      </c>
      <c r="B566" s="87">
        <v>3.6819999999999999E-2</v>
      </c>
      <c r="C566" s="88">
        <v>35.883600000000001</v>
      </c>
      <c r="D566" s="88">
        <v>0.18511</v>
      </c>
      <c r="E566" s="76">
        <v>0</v>
      </c>
      <c r="F566" s="89" cm="1">
        <f t="array" ref="F566">5*LOG10(((c_light/1000/H_0_SAM)*(B566/60)*SUMPRODUCT($J$2:$AD$2,1/SQRT(Omega_m*(1+$J$1:$AD$1*B566)^3+Omega_L)))*(1+B566)*100000)</f>
        <v>36.135266535922142</v>
      </c>
      <c r="G566" s="89">
        <f t="shared" si="8"/>
        <v>0.25166653592214061</v>
      </c>
    </row>
    <row r="567" spans="1:7" x14ac:dyDescent="0.6">
      <c r="A567" s="76" t="s">
        <v>1233</v>
      </c>
      <c r="B567" s="87">
        <v>3.6970000000000003E-2</v>
      </c>
      <c r="C567" s="88">
        <v>36.074800000000003</v>
      </c>
      <c r="D567" s="88">
        <v>0.28927999999999998</v>
      </c>
      <c r="E567" s="76">
        <v>0</v>
      </c>
      <c r="F567" s="89" cm="1">
        <f t="array" ref="F567">5*LOG10(((c_light/1000/H_0_SAM)*(B567/60)*SUMPRODUCT($J$2:$AD$2,1/SQRT(Omega_m*(1+$J$1:$AD$1*B567)^3+Omega_L)))*(1+B567)*100000)</f>
        <v>36.144329532305747</v>
      </c>
      <c r="G567" s="89">
        <f t="shared" si="8"/>
        <v>6.9529532305743658E-2</v>
      </c>
    </row>
    <row r="568" spans="1:7" x14ac:dyDescent="0.6">
      <c r="A568" s="76" t="s">
        <v>1234</v>
      </c>
      <c r="B568" s="87">
        <v>3.7019999999999997E-2</v>
      </c>
      <c r="C568" s="88">
        <v>35.805599999999998</v>
      </c>
      <c r="D568" s="88">
        <v>0.30817</v>
      </c>
      <c r="E568" s="76">
        <v>0</v>
      </c>
      <c r="F568" s="89" cm="1">
        <f t="array" ref="F568">5*LOG10(((c_light/1000/H_0_SAM)*(B568/60)*SUMPRODUCT($J$2:$AD$2,1/SQRT(Omega_m*(1+$J$1:$AD$1*B568)^3+Omega_L)))*(1+B568)*100000)</f>
        <v>36.147342561396187</v>
      </c>
      <c r="G568" s="89">
        <f t="shared" si="8"/>
        <v>0.34174256139618819</v>
      </c>
    </row>
    <row r="569" spans="1:7" x14ac:dyDescent="0.6">
      <c r="A569" s="76" t="s">
        <v>1234</v>
      </c>
      <c r="B569" s="87">
        <v>3.7019999999999997E-2</v>
      </c>
      <c r="C569" s="88">
        <v>35.928699999999999</v>
      </c>
      <c r="D569" s="88">
        <v>0.31846999999999998</v>
      </c>
      <c r="E569" s="76">
        <v>0</v>
      </c>
      <c r="F569" s="89" cm="1">
        <f t="array" ref="F569">5*LOG10(((c_light/1000/H_0_SAM)*(B569/60)*SUMPRODUCT($J$2:$AD$2,1/SQRT(Omega_m*(1+$J$1:$AD$1*B569)^3+Omega_L)))*(1+B569)*100000)</f>
        <v>36.147342561396187</v>
      </c>
      <c r="G569" s="89">
        <f t="shared" si="8"/>
        <v>0.21864256139618732</v>
      </c>
    </row>
    <row r="570" spans="1:7" x14ac:dyDescent="0.6">
      <c r="A570" s="76" t="s">
        <v>1235</v>
      </c>
      <c r="B570" s="87">
        <v>3.7019999999999997E-2</v>
      </c>
      <c r="C570" s="88">
        <v>36.069499999999998</v>
      </c>
      <c r="D570" s="88">
        <v>0.17502000000000001</v>
      </c>
      <c r="E570" s="76">
        <v>0</v>
      </c>
      <c r="F570" s="89" cm="1">
        <f t="array" ref="F570">5*LOG10(((c_light/1000/H_0_SAM)*(B570/60)*SUMPRODUCT($J$2:$AD$2,1/SQRT(Omega_m*(1+$J$1:$AD$1*B570)^3+Omega_L)))*(1+B570)*100000)</f>
        <v>36.147342561396187</v>
      </c>
      <c r="G570" s="89">
        <f t="shared" si="8"/>
        <v>7.7842561396188614E-2</v>
      </c>
    </row>
    <row r="571" spans="1:7" x14ac:dyDescent="0.6">
      <c r="A571" s="76" t="s">
        <v>1236</v>
      </c>
      <c r="B571" s="87">
        <v>3.7019999999999997E-2</v>
      </c>
      <c r="C571" s="88">
        <v>36.08</v>
      </c>
      <c r="D571" s="88">
        <v>0.33681</v>
      </c>
      <c r="E571" s="76">
        <v>0</v>
      </c>
      <c r="F571" s="89" cm="1">
        <f t="array" ref="F571">5*LOG10(((c_light/1000/H_0_SAM)*(B571/60)*SUMPRODUCT($J$2:$AD$2,1/SQRT(Omega_m*(1+$J$1:$AD$1*B571)^3+Omega_L)))*(1+B571)*100000)</f>
        <v>36.147342561396187</v>
      </c>
      <c r="G571" s="89">
        <f t="shared" si="8"/>
        <v>6.7342561396188216E-2</v>
      </c>
    </row>
    <row r="572" spans="1:7" x14ac:dyDescent="0.6">
      <c r="A572" s="76" t="s">
        <v>1237</v>
      </c>
      <c r="B572" s="87">
        <v>3.705E-2</v>
      </c>
      <c r="C572" s="88">
        <v>35.963700000000003</v>
      </c>
      <c r="D572" s="88">
        <v>0.16656000000000001</v>
      </c>
      <c r="E572" s="76">
        <v>0</v>
      </c>
      <c r="F572" s="89" cm="1">
        <f t="array" ref="F572">5*LOG10(((c_light/1000/H_0_SAM)*(B572/60)*SUMPRODUCT($J$2:$AD$2,1/SQRT(Omega_m*(1+$J$1:$AD$1*B572)^3+Omega_L)))*(1+B572)*100000)</f>
        <v>36.149148474032366</v>
      </c>
      <c r="G572" s="89">
        <f t="shared" si="8"/>
        <v>0.18544847403236275</v>
      </c>
    </row>
    <row r="573" spans="1:7" x14ac:dyDescent="0.6">
      <c r="A573" s="76" t="s">
        <v>1238</v>
      </c>
      <c r="B573" s="87">
        <v>3.7069999999999999E-2</v>
      </c>
      <c r="C573" s="88">
        <v>36.047499999999999</v>
      </c>
      <c r="D573" s="88">
        <v>0.16633999999999999</v>
      </c>
      <c r="E573" s="76">
        <v>0</v>
      </c>
      <c r="F573" s="89" cm="1">
        <f t="array" ref="F573">5*LOG10(((c_light/1000/H_0_SAM)*(B573/60)*SUMPRODUCT($J$2:$AD$2,1/SQRT(Omega_m*(1+$J$1:$AD$1*B573)^3+Omega_L)))*(1+B573)*100000)</f>
        <v>36.150351623541496</v>
      </c>
      <c r="G573" s="89">
        <f t="shared" si="8"/>
        <v>0.10285162354149691</v>
      </c>
    </row>
    <row r="574" spans="1:7" x14ac:dyDescent="0.6">
      <c r="A574" s="76" t="s">
        <v>1239</v>
      </c>
      <c r="B574" s="87">
        <v>3.7249999999999998E-2</v>
      </c>
      <c r="C574" s="88">
        <v>36.006700000000002</v>
      </c>
      <c r="D574" s="88">
        <v>0.13521</v>
      </c>
      <c r="E574" s="76">
        <v>0</v>
      </c>
      <c r="F574" s="89" cm="1">
        <f t="array" ref="F574">5*LOG10(((c_light/1000/H_0_SAM)*(B574/60)*SUMPRODUCT($J$2:$AD$2,1/SQRT(Omega_m*(1+$J$1:$AD$1*B574)^3+Omega_L)))*(1+B574)*100000)</f>
        <v>36.161151565580781</v>
      </c>
      <c r="G574" s="89">
        <f t="shared" si="8"/>
        <v>0.15445156558077855</v>
      </c>
    </row>
    <row r="575" spans="1:7" x14ac:dyDescent="0.6">
      <c r="A575" s="76" t="s">
        <v>1239</v>
      </c>
      <c r="B575" s="87">
        <v>3.7249999999999998E-2</v>
      </c>
      <c r="C575" s="88">
        <v>35.992699999999999</v>
      </c>
      <c r="D575" s="88">
        <v>0.14917</v>
      </c>
      <c r="E575" s="76">
        <v>0</v>
      </c>
      <c r="F575" s="89" cm="1">
        <f t="array" ref="F575">5*LOG10(((c_light/1000/H_0_SAM)*(B575/60)*SUMPRODUCT($J$2:$AD$2,1/SQRT(Omega_m*(1+$J$1:$AD$1*B575)^3+Omega_L)))*(1+B575)*100000)</f>
        <v>36.161151565580781</v>
      </c>
      <c r="G575" s="89">
        <f t="shared" si="8"/>
        <v>0.16845156558078145</v>
      </c>
    </row>
    <row r="576" spans="1:7" x14ac:dyDescent="0.6">
      <c r="A576" s="76" t="s">
        <v>1240</v>
      </c>
      <c r="B576" s="87">
        <v>3.73E-2</v>
      </c>
      <c r="C576" s="88">
        <v>35.869799999999998</v>
      </c>
      <c r="D576" s="88">
        <v>0.18969</v>
      </c>
      <c r="E576" s="76">
        <v>0</v>
      </c>
      <c r="F576" s="89" cm="1">
        <f t="array" ref="F576">5*LOG10(((c_light/1000/H_0_SAM)*(B576/60)*SUMPRODUCT($J$2:$AD$2,1/SQRT(Omega_m*(1+$J$1:$AD$1*B576)^3+Omega_L)))*(1+B576)*100000)</f>
        <v>36.164142516659588</v>
      </c>
      <c r="G576" s="89">
        <f t="shared" si="8"/>
        <v>0.2943425166595901</v>
      </c>
    </row>
    <row r="577" spans="1:7" x14ac:dyDescent="0.6">
      <c r="A577" s="76" t="s">
        <v>1241</v>
      </c>
      <c r="B577" s="87">
        <v>3.7400000000000003E-2</v>
      </c>
      <c r="C577" s="88">
        <v>35.978900000000003</v>
      </c>
      <c r="D577" s="88">
        <v>0.16367999999999999</v>
      </c>
      <c r="E577" s="76">
        <v>0</v>
      </c>
      <c r="F577" s="89" cm="1">
        <f t="array" ref="F577">5*LOG10(((c_light/1000/H_0_SAM)*(B577/60)*SUMPRODUCT($J$2:$AD$2,1/SQRT(Omega_m*(1+$J$1:$AD$1*B577)^3+Omega_L)))*(1+B577)*100000)</f>
        <v>36.17011270617359</v>
      </c>
      <c r="G577" s="89">
        <f t="shared" si="8"/>
        <v>0.19121270617358732</v>
      </c>
    </row>
    <row r="578" spans="1:7" x14ac:dyDescent="0.6">
      <c r="A578" s="76" t="s">
        <v>1242</v>
      </c>
      <c r="B578" s="87">
        <v>3.7530000000000001E-2</v>
      </c>
      <c r="C578" s="88">
        <v>35.948999999999998</v>
      </c>
      <c r="D578" s="88">
        <v>0.26261000000000001</v>
      </c>
      <c r="E578" s="76">
        <v>0</v>
      </c>
      <c r="F578" s="89" cm="1">
        <f t="array" ref="F578">5*LOG10(((c_light/1000/H_0_SAM)*(B578/60)*SUMPRODUCT($J$2:$AD$2,1/SQRT(Omega_m*(1+$J$1:$AD$1*B578)^3+Omega_L)))*(1+B578)*100000)</f>
        <v>36.177850721462569</v>
      </c>
      <c r="G578" s="89">
        <f t="shared" si="8"/>
        <v>0.22885072146257102</v>
      </c>
    </row>
    <row r="579" spans="1:7" x14ac:dyDescent="0.6">
      <c r="A579" s="76" t="s">
        <v>1243</v>
      </c>
      <c r="B579" s="87">
        <v>3.7560000000000003E-2</v>
      </c>
      <c r="C579" s="88">
        <v>36.333300000000001</v>
      </c>
      <c r="D579" s="88">
        <v>0.17125000000000001</v>
      </c>
      <c r="E579" s="76">
        <v>0</v>
      </c>
      <c r="F579" s="89" cm="1">
        <f t="array" ref="F579">5*LOG10(((c_light/1000/H_0_SAM)*(B579/60)*SUMPRODUCT($J$2:$AD$2,1/SQRT(Omega_m*(1+$J$1:$AD$1*B579)^3+Omega_L)))*(1+B579)*100000)</f>
        <v>36.179632705097575</v>
      </c>
      <c r="G579" s="89">
        <f t="shared" si="8"/>
        <v>-0.15366729490242648</v>
      </c>
    </row>
    <row r="580" spans="1:7" x14ac:dyDescent="0.6">
      <c r="A580" s="76" t="s">
        <v>1243</v>
      </c>
      <c r="B580" s="87">
        <v>3.7560000000000003E-2</v>
      </c>
      <c r="C580" s="88">
        <v>36.218499999999999</v>
      </c>
      <c r="D580" s="88">
        <v>0.17133999999999999</v>
      </c>
      <c r="E580" s="76">
        <v>0</v>
      </c>
      <c r="F580" s="89" cm="1">
        <f t="array" ref="F580">5*LOG10(((c_light/1000/H_0_SAM)*(B580/60)*SUMPRODUCT($J$2:$AD$2,1/SQRT(Omega_m*(1+$J$1:$AD$1*B580)^3+Omega_L)))*(1+B580)*100000)</f>
        <v>36.179632705097575</v>
      </c>
      <c r="G580" s="89">
        <f t="shared" si="8"/>
        <v>-3.8867294902424021E-2</v>
      </c>
    </row>
    <row r="581" spans="1:7" x14ac:dyDescent="0.6">
      <c r="A581" s="76" t="s">
        <v>1244</v>
      </c>
      <c r="B581" s="87">
        <v>3.7870000000000001E-2</v>
      </c>
      <c r="C581" s="88">
        <v>36.006300000000003</v>
      </c>
      <c r="D581" s="88">
        <v>0.20666000000000001</v>
      </c>
      <c r="E581" s="76">
        <v>0</v>
      </c>
      <c r="F581" s="89" cm="1">
        <f t="array" ref="F581">5*LOG10(((c_light/1000/H_0_SAM)*(B581/60)*SUMPRODUCT($J$2:$AD$2,1/SQRT(Omega_m*(1+$J$1:$AD$1*B581)^3+Omega_L)))*(1+B581)*100000)</f>
        <v>36.197965697380866</v>
      </c>
      <c r="G581" s="89">
        <f t="shared" si="8"/>
        <v>0.19166569738086281</v>
      </c>
    </row>
    <row r="582" spans="1:7" x14ac:dyDescent="0.6">
      <c r="A582" s="76" t="s">
        <v>1245</v>
      </c>
      <c r="B582" s="87">
        <v>3.7900000000000003E-2</v>
      </c>
      <c r="C582" s="88">
        <v>36.062399999999997</v>
      </c>
      <c r="D582" s="88">
        <v>0.16300999999999999</v>
      </c>
      <c r="E582" s="76">
        <v>0</v>
      </c>
      <c r="F582" s="89" cm="1">
        <f t="array" ref="F582">5*LOG10(((c_light/1000/H_0_SAM)*(B582/60)*SUMPRODUCT($J$2:$AD$2,1/SQRT(Omega_m*(1+$J$1:$AD$1*B582)^3+Omega_L)))*(1+B582)*100000)</f>
        <v>36.199732085757539</v>
      </c>
      <c r="G582" s="89">
        <f t="shared" ref="G582:G645" si="9">F582-C582</f>
        <v>0.13733208575754219</v>
      </c>
    </row>
    <row r="583" spans="1:7" x14ac:dyDescent="0.6">
      <c r="A583" s="76" t="s">
        <v>1246</v>
      </c>
      <c r="B583" s="87">
        <v>3.7960000000000001E-2</v>
      </c>
      <c r="C583" s="88">
        <v>36.088900000000002</v>
      </c>
      <c r="D583" s="88">
        <v>0.19888</v>
      </c>
      <c r="E583" s="76">
        <v>0</v>
      </c>
      <c r="F583" s="89" cm="1">
        <f t="array" ref="F583">5*LOG10(((c_light/1000/H_0_SAM)*(B583/60)*SUMPRODUCT($J$2:$AD$2,1/SQRT(Omega_m*(1+$J$1:$AD$1*B583)^3+Omega_L)))*(1+B583)*100000)</f>
        <v>36.203260776732407</v>
      </c>
      <c r="G583" s="89">
        <f t="shared" si="9"/>
        <v>0.11436077673240419</v>
      </c>
    </row>
    <row r="584" spans="1:7" x14ac:dyDescent="0.6">
      <c r="A584" s="76" t="s">
        <v>1247</v>
      </c>
      <c r="B584" s="87">
        <v>3.8179999999999999E-2</v>
      </c>
      <c r="C584" s="88">
        <v>35.893799999999999</v>
      </c>
      <c r="D584" s="88">
        <v>0.15171999999999999</v>
      </c>
      <c r="E584" s="76">
        <v>0</v>
      </c>
      <c r="F584" s="89" cm="1">
        <f t="array" ref="F584">5*LOG10(((c_light/1000/H_0_SAM)*(B584/60)*SUMPRODUCT($J$2:$AD$2,1/SQRT(Omega_m*(1+$J$1:$AD$1*B584)^3+Omega_L)))*(1+B584)*100000)</f>
        <v>36.216152954530678</v>
      </c>
      <c r="G584" s="89">
        <f t="shared" si="9"/>
        <v>0.32235295453067891</v>
      </c>
    </row>
    <row r="585" spans="1:7" x14ac:dyDescent="0.6">
      <c r="A585" s="76" t="s">
        <v>1247</v>
      </c>
      <c r="B585" s="87">
        <v>3.8179999999999999E-2</v>
      </c>
      <c r="C585" s="88">
        <v>35.861699999999999</v>
      </c>
      <c r="D585" s="88">
        <v>0.1527</v>
      </c>
      <c r="E585" s="76">
        <v>0</v>
      </c>
      <c r="F585" s="89" cm="1">
        <f t="array" ref="F585">5*LOG10(((c_light/1000/H_0_SAM)*(B585/60)*SUMPRODUCT($J$2:$AD$2,1/SQRT(Omega_m*(1+$J$1:$AD$1*B585)^3+Omega_L)))*(1+B585)*100000)</f>
        <v>36.216152954530678</v>
      </c>
      <c r="G585" s="89">
        <f t="shared" si="9"/>
        <v>0.35445295453067871</v>
      </c>
    </row>
    <row r="586" spans="1:7" x14ac:dyDescent="0.6">
      <c r="A586" s="76" t="s">
        <v>1248</v>
      </c>
      <c r="B586" s="87">
        <v>3.8280000000000002E-2</v>
      </c>
      <c r="C586" s="88">
        <v>36.114100000000001</v>
      </c>
      <c r="D586" s="88">
        <v>0.23615</v>
      </c>
      <c r="E586" s="76">
        <v>0</v>
      </c>
      <c r="F586" s="89" cm="1">
        <f t="array" ref="F586">5*LOG10(((c_light/1000/H_0_SAM)*(B586/60)*SUMPRODUCT($J$2:$AD$2,1/SQRT(Omega_m*(1+$J$1:$AD$1*B586)^3+Omega_L)))*(1+B586)*100000)</f>
        <v>36.221989113833118</v>
      </c>
      <c r="G586" s="89">
        <f t="shared" si="9"/>
        <v>0.10788911383311728</v>
      </c>
    </row>
    <row r="587" spans="1:7" x14ac:dyDescent="0.6">
      <c r="A587" s="76" t="s">
        <v>1249</v>
      </c>
      <c r="B587" s="87">
        <v>3.8339999999999999E-2</v>
      </c>
      <c r="C587" s="88">
        <v>36.517699999999998</v>
      </c>
      <c r="D587" s="88">
        <v>0.24581</v>
      </c>
      <c r="E587" s="76">
        <v>0</v>
      </c>
      <c r="F587" s="89" cm="1">
        <f t="array" ref="F587">5*LOG10(((c_light/1000/H_0_SAM)*(B587/60)*SUMPRODUCT($J$2:$AD$2,1/SQRT(Omega_m*(1+$J$1:$AD$1*B587)^3+Omega_L)))*(1+B587)*100000)</f>
        <v>36.225483680370253</v>
      </c>
      <c r="G587" s="89">
        <f t="shared" si="9"/>
        <v>-0.2922163196297447</v>
      </c>
    </row>
    <row r="588" spans="1:7" x14ac:dyDescent="0.6">
      <c r="A588" s="76" t="s">
        <v>1250</v>
      </c>
      <c r="B588" s="87">
        <v>3.8469999999999997E-2</v>
      </c>
      <c r="C588" s="88">
        <v>36.2254</v>
      </c>
      <c r="D588" s="88">
        <v>0.31119000000000002</v>
      </c>
      <c r="E588" s="76">
        <v>0</v>
      </c>
      <c r="F588" s="89" cm="1">
        <f t="array" ref="F588">5*LOG10(((c_light/1000/H_0_SAM)*(B588/60)*SUMPRODUCT($J$2:$AD$2,1/SQRT(Omega_m*(1+$J$1:$AD$1*B588)^3+Omega_L)))*(1+B588)*100000)</f>
        <v>36.233036990928738</v>
      </c>
      <c r="G588" s="89">
        <f t="shared" si="9"/>
        <v>7.6369909287379301E-3</v>
      </c>
    </row>
    <row r="589" spans="1:7" x14ac:dyDescent="0.6">
      <c r="A589" s="76" t="s">
        <v>1251</v>
      </c>
      <c r="B589" s="87">
        <v>3.848E-2</v>
      </c>
      <c r="C589" s="88">
        <v>36.256399999999999</v>
      </c>
      <c r="D589" s="88">
        <v>0.14996999999999999</v>
      </c>
      <c r="E589" s="76">
        <v>0</v>
      </c>
      <c r="F589" s="89" cm="1">
        <f t="array" ref="F589">5*LOG10(((c_light/1000/H_0_SAM)*(B589/60)*SUMPRODUCT($J$2:$AD$2,1/SQRT(Omega_m*(1+$J$1:$AD$1*B589)^3+Omega_L)))*(1+B589)*100000)</f>
        <v>36.23361698397111</v>
      </c>
      <c r="G589" s="89">
        <f t="shared" si="9"/>
        <v>-2.2783016028888881E-2</v>
      </c>
    </row>
    <row r="590" spans="1:7" x14ac:dyDescent="0.6">
      <c r="A590" s="76">
        <v>2008051</v>
      </c>
      <c r="B590" s="87">
        <v>3.8730000000000001E-2</v>
      </c>
      <c r="C590" s="88">
        <v>36.012500000000003</v>
      </c>
      <c r="D590" s="88">
        <v>0.17035</v>
      </c>
      <c r="E590" s="76">
        <v>0</v>
      </c>
      <c r="F590" s="89" cm="1">
        <f t="array" ref="F590">5*LOG10(((c_light/1000/H_0_SAM)*(B590/60)*SUMPRODUCT($J$2:$AD$2,1/SQRT(Omega_m*(1+$J$1:$AD$1*B590)^3+Omega_L)))*(1+B590)*100000)</f>
        <v>36.248069270722858</v>
      </c>
      <c r="G590" s="89">
        <f t="shared" si="9"/>
        <v>0.23556927072285561</v>
      </c>
    </row>
    <row r="591" spans="1:7" x14ac:dyDescent="0.6">
      <c r="A591" s="76" t="s">
        <v>1252</v>
      </c>
      <c r="B591" s="87">
        <v>3.884E-2</v>
      </c>
      <c r="C591" s="88">
        <v>36.026000000000003</v>
      </c>
      <c r="D591" s="88">
        <v>0.21951000000000001</v>
      </c>
      <c r="E591" s="76">
        <v>0</v>
      </c>
      <c r="F591" s="89" cm="1">
        <f t="array" ref="F591">5*LOG10(((c_light/1000/H_0_SAM)*(B591/60)*SUMPRODUCT($J$2:$AD$2,1/SQRT(Omega_m*(1+$J$1:$AD$1*B591)^3+Omega_L)))*(1+B591)*100000)</f>
        <v>36.254399498473326</v>
      </c>
      <c r="G591" s="89">
        <f t="shared" si="9"/>
        <v>0.22839949847332264</v>
      </c>
    </row>
    <row r="592" spans="1:7" x14ac:dyDescent="0.6">
      <c r="A592" s="76" t="s">
        <v>1253</v>
      </c>
      <c r="B592" s="87">
        <v>3.9019999999999999E-2</v>
      </c>
      <c r="C592" s="88">
        <v>36.012500000000003</v>
      </c>
      <c r="D592" s="88">
        <v>0.20471</v>
      </c>
      <c r="E592" s="76">
        <v>0</v>
      </c>
      <c r="F592" s="89" cm="1">
        <f t="array" ref="F592">5*LOG10(((c_light/1000/H_0_SAM)*(B592/60)*SUMPRODUCT($J$2:$AD$2,1/SQRT(Omega_m*(1+$J$1:$AD$1*B592)^3+Omega_L)))*(1+B592)*100000)</f>
        <v>36.264720467997691</v>
      </c>
      <c r="G592" s="89">
        <f t="shared" si="9"/>
        <v>0.25222046799768805</v>
      </c>
    </row>
    <row r="593" spans="1:7" x14ac:dyDescent="0.6">
      <c r="A593" s="76" t="s">
        <v>1254</v>
      </c>
      <c r="B593" s="87">
        <v>3.909E-2</v>
      </c>
      <c r="C593" s="88">
        <v>36.196199999999997</v>
      </c>
      <c r="D593" s="88">
        <v>0.22081999999999999</v>
      </c>
      <c r="E593" s="76">
        <v>0</v>
      </c>
      <c r="F593" s="89" cm="1">
        <f t="array" ref="F593">5*LOG10(((c_light/1000/H_0_SAM)*(B593/60)*SUMPRODUCT($J$2:$AD$2,1/SQRT(Omega_m*(1+$J$1:$AD$1*B593)^3+Omega_L)))*(1+B593)*100000)</f>
        <v>36.268721655395986</v>
      </c>
      <c r="G593" s="89">
        <f t="shared" si="9"/>
        <v>7.2521655395988205E-2</v>
      </c>
    </row>
    <row r="594" spans="1:7" x14ac:dyDescent="0.6">
      <c r="A594" s="76" t="s">
        <v>1255</v>
      </c>
      <c r="B594" s="87">
        <v>3.9100000000000003E-2</v>
      </c>
      <c r="C594" s="88">
        <v>36.212499999999999</v>
      </c>
      <c r="D594" s="88">
        <v>0.18351999999999999</v>
      </c>
      <c r="E594" s="76">
        <v>0</v>
      </c>
      <c r="F594" s="89" cm="1">
        <f t="array" ref="F594">5*LOG10(((c_light/1000/H_0_SAM)*(B594/60)*SUMPRODUCT($J$2:$AD$2,1/SQRT(Omega_m*(1+$J$1:$AD$1*B594)^3+Omega_L)))*(1+B594)*100000)</f>
        <v>36.269292683652814</v>
      </c>
      <c r="G594" s="89">
        <f t="shared" si="9"/>
        <v>5.6792683652815867E-2</v>
      </c>
    </row>
    <row r="595" spans="1:7" x14ac:dyDescent="0.6">
      <c r="A595" s="76" t="s">
        <v>1256</v>
      </c>
      <c r="B595" s="87">
        <v>4.0140000000000002E-2</v>
      </c>
      <c r="C595" s="88">
        <v>36.283999999999999</v>
      </c>
      <c r="D595" s="88">
        <v>0.1479</v>
      </c>
      <c r="E595" s="76">
        <v>0</v>
      </c>
      <c r="F595" s="89" cm="1">
        <f t="array" ref="F595">5*LOG10(((c_light/1000/H_0_SAM)*(B595/60)*SUMPRODUCT($J$2:$AD$2,1/SQRT(Omega_m*(1+$J$1:$AD$1*B595)^3+Omega_L)))*(1+B595)*100000)</f>
        <v>36.327916196576489</v>
      </c>
      <c r="G595" s="89">
        <f t="shared" si="9"/>
        <v>4.3916196576489597E-2</v>
      </c>
    </row>
    <row r="596" spans="1:7" x14ac:dyDescent="0.6">
      <c r="A596" s="76" t="s">
        <v>1257</v>
      </c>
      <c r="B596" s="87">
        <v>4.0349999999999997E-2</v>
      </c>
      <c r="C596" s="88">
        <v>36.5486</v>
      </c>
      <c r="D596" s="88">
        <v>0.23463999999999999</v>
      </c>
      <c r="E596" s="76">
        <v>0</v>
      </c>
      <c r="F596" s="89" cm="1">
        <f t="array" ref="F596">5*LOG10(((c_light/1000/H_0_SAM)*(B596/60)*SUMPRODUCT($J$2:$AD$2,1/SQRT(Omega_m*(1+$J$1:$AD$1*B596)^3+Omega_L)))*(1+B596)*100000)</f>
        <v>36.339573956934544</v>
      </c>
      <c r="G596" s="89">
        <f t="shared" si="9"/>
        <v>-0.20902604306545669</v>
      </c>
    </row>
    <row r="597" spans="1:7" x14ac:dyDescent="0.6">
      <c r="A597" s="76" t="s">
        <v>1258</v>
      </c>
      <c r="B597" s="87">
        <v>4.0559999999999999E-2</v>
      </c>
      <c r="C597" s="88">
        <v>36.0167</v>
      </c>
      <c r="D597" s="88">
        <v>0.14346999999999999</v>
      </c>
      <c r="E597" s="76">
        <v>0</v>
      </c>
      <c r="F597" s="89" cm="1">
        <f t="array" ref="F597">5*LOG10(((c_light/1000/H_0_SAM)*(B597/60)*SUMPRODUCT($J$2:$AD$2,1/SQRT(Omega_m*(1+$J$1:$AD$1*B597)^3+Omega_L)))*(1+B597)*100000)</f>
        <v>36.351172797628578</v>
      </c>
      <c r="G597" s="89">
        <f t="shared" si="9"/>
        <v>0.33447279762857818</v>
      </c>
    </row>
    <row r="598" spans="1:7" x14ac:dyDescent="0.6">
      <c r="A598" s="76" t="s">
        <v>1258</v>
      </c>
      <c r="B598" s="87">
        <v>4.0559999999999999E-2</v>
      </c>
      <c r="C598" s="88">
        <v>36.081800000000001</v>
      </c>
      <c r="D598" s="88">
        <v>0.14498</v>
      </c>
      <c r="E598" s="76">
        <v>0</v>
      </c>
      <c r="F598" s="89" cm="1">
        <f t="array" ref="F598">5*LOG10(((c_light/1000/H_0_SAM)*(B598/60)*SUMPRODUCT($J$2:$AD$2,1/SQRT(Omega_m*(1+$J$1:$AD$1*B598)^3+Omega_L)))*(1+B598)*100000)</f>
        <v>36.351172797628578</v>
      </c>
      <c r="G598" s="89">
        <f t="shared" si="9"/>
        <v>0.26937279762857713</v>
      </c>
    </row>
    <row r="599" spans="1:7" x14ac:dyDescent="0.6">
      <c r="A599" s="76" t="s">
        <v>1259</v>
      </c>
      <c r="B599" s="87">
        <v>4.0770000000000001E-2</v>
      </c>
      <c r="C599" s="88">
        <v>35.991799999999998</v>
      </c>
      <c r="D599" s="88">
        <v>0.21046000000000001</v>
      </c>
      <c r="E599" s="76">
        <v>0</v>
      </c>
      <c r="F599" s="89" cm="1">
        <f t="array" ref="F599">5*LOG10(((c_light/1000/H_0_SAM)*(B599/60)*SUMPRODUCT($J$2:$AD$2,1/SQRT(Omega_m*(1+$J$1:$AD$1*B599)^3+Omega_L)))*(1+B599)*100000)</f>
        <v>36.362713326195745</v>
      </c>
      <c r="G599" s="89">
        <f t="shared" si="9"/>
        <v>0.37091332619574757</v>
      </c>
    </row>
    <row r="600" spans="1:7" x14ac:dyDescent="0.6">
      <c r="A600" s="76" t="s">
        <v>1260</v>
      </c>
      <c r="B600" s="87">
        <v>4.0890000000000003E-2</v>
      </c>
      <c r="C600" s="88">
        <v>36.126300000000001</v>
      </c>
      <c r="D600" s="88">
        <v>0.16883999999999999</v>
      </c>
      <c r="E600" s="76">
        <v>0</v>
      </c>
      <c r="F600" s="89" cm="1">
        <f t="array" ref="F600">5*LOG10(((c_light/1000/H_0_SAM)*(B600/60)*SUMPRODUCT($J$2:$AD$2,1/SQRT(Omega_m*(1+$J$1:$AD$1*B600)^3+Omega_L)))*(1+B600)*100000)</f>
        <v>36.36928196357492</v>
      </c>
      <c r="G600" s="89">
        <f t="shared" si="9"/>
        <v>0.24298196357491975</v>
      </c>
    </row>
    <row r="601" spans="1:7" x14ac:dyDescent="0.6">
      <c r="A601" s="76" t="s">
        <v>1261</v>
      </c>
      <c r="B601" s="87">
        <v>4.095E-2</v>
      </c>
      <c r="C601" s="88">
        <v>36.410400000000003</v>
      </c>
      <c r="D601" s="88">
        <v>0.30719000000000002</v>
      </c>
      <c r="E601" s="76">
        <v>0</v>
      </c>
      <c r="F601" s="89" cm="1">
        <f t="array" ref="F601">5*LOG10(((c_light/1000/H_0_SAM)*(B601/60)*SUMPRODUCT($J$2:$AD$2,1/SQRT(Omega_m*(1+$J$1:$AD$1*B601)^3+Omega_L)))*(1+B601)*100000)</f>
        <v>36.372559249807644</v>
      </c>
      <c r="G601" s="89">
        <f t="shared" si="9"/>
        <v>-3.7840750192358996E-2</v>
      </c>
    </row>
    <row r="602" spans="1:7" x14ac:dyDescent="0.6">
      <c r="A602" s="76" t="s">
        <v>1262</v>
      </c>
      <c r="B602" s="87">
        <v>4.0989999999999999E-2</v>
      </c>
      <c r="C602" s="88">
        <v>36.040300000000002</v>
      </c>
      <c r="D602" s="88">
        <v>0.14724000000000001</v>
      </c>
      <c r="E602" s="76">
        <v>0</v>
      </c>
      <c r="F602" s="89" cm="1">
        <f t="array" ref="F602">5*LOG10(((c_light/1000/H_0_SAM)*(B602/60)*SUMPRODUCT($J$2:$AD$2,1/SQRT(Omega_m*(1+$J$1:$AD$1*B602)^3+Omega_L)))*(1+B602)*100000)</f>
        <v>36.374741511993108</v>
      </c>
      <c r="G602" s="89">
        <f t="shared" si="9"/>
        <v>0.33444151199310568</v>
      </c>
    </row>
    <row r="603" spans="1:7" x14ac:dyDescent="0.6">
      <c r="A603" s="76" t="s">
        <v>1263</v>
      </c>
      <c r="B603" s="87">
        <v>4.1009999999999998E-2</v>
      </c>
      <c r="C603" s="88">
        <v>36.315300000000001</v>
      </c>
      <c r="D603" s="88">
        <v>0.15079000000000001</v>
      </c>
      <c r="E603" s="76">
        <v>0</v>
      </c>
      <c r="F603" s="89" cm="1">
        <f t="array" ref="F603">5*LOG10(((c_light/1000/H_0_SAM)*(B603/60)*SUMPRODUCT($J$2:$AD$2,1/SQRT(Omega_m*(1+$J$1:$AD$1*B603)^3+Omega_L)))*(1+B603)*100000)</f>
        <v>36.375831866011794</v>
      </c>
      <c r="G603" s="89">
        <f t="shared" si="9"/>
        <v>6.0531866011793056E-2</v>
      </c>
    </row>
    <row r="604" spans="1:7" x14ac:dyDescent="0.6">
      <c r="A604" s="76" t="s">
        <v>1264</v>
      </c>
      <c r="B604" s="87">
        <v>4.1669999999999999E-2</v>
      </c>
      <c r="C604" s="88">
        <v>36.560099999999998</v>
      </c>
      <c r="D604" s="88">
        <v>0.28011999999999998</v>
      </c>
      <c r="E604" s="76">
        <v>0</v>
      </c>
      <c r="F604" s="89" cm="1">
        <f t="array" ref="F604">5*LOG10(((c_light/1000/H_0_SAM)*(B604/60)*SUMPRODUCT($J$2:$AD$2,1/SQRT(Omega_m*(1+$J$1:$AD$1*B604)^3+Omega_L)))*(1+B604)*100000)</f>
        <v>36.411526278836689</v>
      </c>
      <c r="G604" s="89">
        <f t="shared" si="9"/>
        <v>-0.14857372116330936</v>
      </c>
    </row>
    <row r="605" spans="1:7" x14ac:dyDescent="0.6">
      <c r="A605" s="76" t="s">
        <v>1265</v>
      </c>
      <c r="B605" s="87">
        <v>4.2220000000000001E-2</v>
      </c>
      <c r="C605" s="88">
        <v>36.210099999999997</v>
      </c>
      <c r="D605" s="88">
        <v>0.20804</v>
      </c>
      <c r="E605" s="76">
        <v>0</v>
      </c>
      <c r="F605" s="89" cm="1">
        <f t="array" ref="F605">5*LOG10(((c_light/1000/H_0_SAM)*(B605/60)*SUMPRODUCT($J$2:$AD$2,1/SQRT(Omega_m*(1+$J$1:$AD$1*B605)^3+Omega_L)))*(1+B605)*100000)</f>
        <v>36.440853955199742</v>
      </c>
      <c r="G605" s="89">
        <f t="shared" si="9"/>
        <v>0.23075395519974506</v>
      </c>
    </row>
    <row r="606" spans="1:7" x14ac:dyDescent="0.6">
      <c r="A606" s="76" t="s">
        <v>1266</v>
      </c>
      <c r="B606" s="87">
        <v>4.258E-2</v>
      </c>
      <c r="C606" s="88">
        <v>36.510599999999997</v>
      </c>
      <c r="D606" s="88">
        <v>0.42648999999999998</v>
      </c>
      <c r="E606" s="76">
        <v>0</v>
      </c>
      <c r="F606" s="89" cm="1">
        <f t="array" ref="F606">5*LOG10(((c_light/1000/H_0_SAM)*(B606/60)*SUMPRODUCT($J$2:$AD$2,1/SQRT(Omega_m*(1+$J$1:$AD$1*B606)^3+Omega_L)))*(1+B606)*100000)</f>
        <v>36.45984972423819</v>
      </c>
      <c r="G606" s="89">
        <f t="shared" si="9"/>
        <v>-5.0750275761807018E-2</v>
      </c>
    </row>
    <row r="607" spans="1:7" x14ac:dyDescent="0.6">
      <c r="A607" s="76" t="s">
        <v>1267</v>
      </c>
      <c r="B607" s="87">
        <v>4.2680000000000003E-2</v>
      </c>
      <c r="C607" s="88">
        <v>36.293100000000003</v>
      </c>
      <c r="D607" s="88">
        <v>0.15101999999999999</v>
      </c>
      <c r="E607" s="76">
        <v>0</v>
      </c>
      <c r="F607" s="89" cm="1">
        <f t="array" ref="F607">5*LOG10(((c_light/1000/H_0_SAM)*(B607/60)*SUMPRODUCT($J$2:$AD$2,1/SQRT(Omega_m*(1+$J$1:$AD$1*B607)^3+Omega_L)))*(1+B607)*100000)</f>
        <v>36.465098614341812</v>
      </c>
      <c r="G607" s="89">
        <f t="shared" si="9"/>
        <v>0.17199861434180974</v>
      </c>
    </row>
    <row r="608" spans="1:7" x14ac:dyDescent="0.6">
      <c r="A608" s="76" t="s">
        <v>1268</v>
      </c>
      <c r="B608" s="87">
        <v>4.2680000000000003E-2</v>
      </c>
      <c r="C608" s="88">
        <v>35.913800000000002</v>
      </c>
      <c r="D608" s="88">
        <v>0.29448999999999997</v>
      </c>
      <c r="E608" s="76">
        <v>0</v>
      </c>
      <c r="F608" s="89" cm="1">
        <f t="array" ref="F608">5*LOG10(((c_light/1000/H_0_SAM)*(B608/60)*SUMPRODUCT($J$2:$AD$2,1/SQRT(Omega_m*(1+$J$1:$AD$1*B608)^3+Omega_L)))*(1+B608)*100000)</f>
        <v>36.465098614341812</v>
      </c>
      <c r="G608" s="89">
        <f t="shared" si="9"/>
        <v>0.55129861434181038</v>
      </c>
    </row>
    <row r="609" spans="1:7" x14ac:dyDescent="0.6">
      <c r="A609" s="76" t="s">
        <v>1269</v>
      </c>
      <c r="B609" s="87">
        <v>4.2849999999999999E-2</v>
      </c>
      <c r="C609" s="88">
        <v>36.252099999999999</v>
      </c>
      <c r="D609" s="88">
        <v>0.17554</v>
      </c>
      <c r="E609" s="76">
        <v>0</v>
      </c>
      <c r="F609" s="89" cm="1">
        <f t="array" ref="F609">5*LOG10(((c_light/1000/H_0_SAM)*(B609/60)*SUMPRODUCT($J$2:$AD$2,1/SQRT(Omega_m*(1+$J$1:$AD$1*B609)^3+Omega_L)))*(1+B609)*100000)</f>
        <v>36.473994346463449</v>
      </c>
      <c r="G609" s="89">
        <f t="shared" si="9"/>
        <v>0.22189434646345063</v>
      </c>
    </row>
    <row r="610" spans="1:7" x14ac:dyDescent="0.6">
      <c r="A610" s="76" t="s">
        <v>1269</v>
      </c>
      <c r="B610" s="87">
        <v>4.2849999999999999E-2</v>
      </c>
      <c r="C610" s="88">
        <v>36.207099999999997</v>
      </c>
      <c r="D610" s="88">
        <v>0.16650999999999999</v>
      </c>
      <c r="E610" s="76">
        <v>0</v>
      </c>
      <c r="F610" s="89" cm="1">
        <f t="array" ref="F610">5*LOG10(((c_light/1000/H_0_SAM)*(B610/60)*SUMPRODUCT($J$2:$AD$2,1/SQRT(Omega_m*(1+$J$1:$AD$1*B610)^3+Omega_L)))*(1+B610)*100000)</f>
        <v>36.473994346463449</v>
      </c>
      <c r="G610" s="89">
        <f t="shared" si="9"/>
        <v>0.26689434646345234</v>
      </c>
    </row>
    <row r="611" spans="1:7" x14ac:dyDescent="0.6">
      <c r="A611" s="76" t="s">
        <v>1270</v>
      </c>
      <c r="B611" s="87">
        <v>4.2889999999999998E-2</v>
      </c>
      <c r="C611" s="88">
        <v>36.201799999999999</v>
      </c>
      <c r="D611" s="88">
        <v>0.16252</v>
      </c>
      <c r="E611" s="76">
        <v>0</v>
      </c>
      <c r="F611" s="89" cm="1">
        <f t="array" ref="F611">5*LOG10(((c_light/1000/H_0_SAM)*(B611/60)*SUMPRODUCT($J$2:$AD$2,1/SQRT(Omega_m*(1+$J$1:$AD$1*B611)^3+Omega_L)))*(1+B611)*100000)</f>
        <v>36.476082473119</v>
      </c>
      <c r="G611" s="89">
        <f t="shared" si="9"/>
        <v>0.27428247311900122</v>
      </c>
    </row>
    <row r="612" spans="1:7" x14ac:dyDescent="0.6">
      <c r="A612" s="76" t="s">
        <v>1271</v>
      </c>
      <c r="B612" s="87">
        <v>4.3060000000000001E-2</v>
      </c>
      <c r="C612" s="88">
        <v>36.245699999999999</v>
      </c>
      <c r="D612" s="88">
        <v>0.20705999999999999</v>
      </c>
      <c r="E612" s="76">
        <v>0</v>
      </c>
      <c r="F612" s="89" cm="1">
        <f t="array" ref="F612">5*LOG10(((c_light/1000/H_0_SAM)*(B612/60)*SUMPRODUCT($J$2:$AD$2,1/SQRT(Omega_m*(1+$J$1:$AD$1*B612)^3+Omega_L)))*(1+B612)*100000)</f>
        <v>36.484935942211592</v>
      </c>
      <c r="G612" s="89">
        <f t="shared" si="9"/>
        <v>0.23923594221159306</v>
      </c>
    </row>
    <row r="613" spans="1:7" x14ac:dyDescent="0.6">
      <c r="A613" s="76" t="s">
        <v>1272</v>
      </c>
      <c r="B613" s="87">
        <v>4.3490000000000001E-2</v>
      </c>
      <c r="C613" s="88">
        <v>36.416499999999999</v>
      </c>
      <c r="D613" s="88">
        <v>0.16606000000000001</v>
      </c>
      <c r="E613" s="76">
        <v>0</v>
      </c>
      <c r="F613" s="89" cm="1">
        <f t="array" ref="F613">5*LOG10(((c_light/1000/H_0_SAM)*(B613/60)*SUMPRODUCT($J$2:$AD$2,1/SQRT(Omega_m*(1+$J$1:$AD$1*B613)^3+Omega_L)))*(1+B613)*100000)</f>
        <v>36.507179242176846</v>
      </c>
      <c r="G613" s="89">
        <f t="shared" si="9"/>
        <v>9.0679242176847197E-2</v>
      </c>
    </row>
    <row r="614" spans="1:7" x14ac:dyDescent="0.6">
      <c r="A614" s="76" t="s">
        <v>1273</v>
      </c>
      <c r="B614" s="87">
        <v>4.3490000000000001E-2</v>
      </c>
      <c r="C614" s="88">
        <v>36.213700000000003</v>
      </c>
      <c r="D614" s="88">
        <v>0.15218999999999999</v>
      </c>
      <c r="E614" s="76">
        <v>0</v>
      </c>
      <c r="F614" s="89" cm="1">
        <f t="array" ref="F614">5*LOG10(((c_light/1000/H_0_SAM)*(B614/60)*SUMPRODUCT($J$2:$AD$2,1/SQRT(Omega_m*(1+$J$1:$AD$1*B614)^3+Omega_L)))*(1+B614)*100000)</f>
        <v>36.507179242176846</v>
      </c>
      <c r="G614" s="89">
        <f t="shared" si="9"/>
        <v>0.29347924217684351</v>
      </c>
    </row>
    <row r="615" spans="1:7" x14ac:dyDescent="0.6">
      <c r="A615" s="76" t="s">
        <v>1273</v>
      </c>
      <c r="B615" s="87">
        <v>4.3490000000000001E-2</v>
      </c>
      <c r="C615" s="88">
        <v>36.288200000000003</v>
      </c>
      <c r="D615" s="88">
        <v>0.16663</v>
      </c>
      <c r="E615" s="76">
        <v>0</v>
      </c>
      <c r="F615" s="89" cm="1">
        <f t="array" ref="F615">5*LOG10(((c_light/1000/H_0_SAM)*(B615/60)*SUMPRODUCT($J$2:$AD$2,1/SQRT(Omega_m*(1+$J$1:$AD$1*B615)^3+Omega_L)))*(1+B615)*100000)</f>
        <v>36.507179242176846</v>
      </c>
      <c r="G615" s="89">
        <f t="shared" si="9"/>
        <v>0.21897924217684306</v>
      </c>
    </row>
    <row r="616" spans="1:7" x14ac:dyDescent="0.6">
      <c r="A616" s="76" t="s">
        <v>1274</v>
      </c>
      <c r="B616" s="87">
        <v>4.369E-2</v>
      </c>
      <c r="C616" s="88">
        <v>36.259399999999999</v>
      </c>
      <c r="D616" s="88">
        <v>0.17777999999999999</v>
      </c>
      <c r="E616" s="76">
        <v>0</v>
      </c>
      <c r="F616" s="89" cm="1">
        <f t="array" ref="F616">5*LOG10(((c_light/1000/H_0_SAM)*(B616/60)*SUMPRODUCT($J$2:$AD$2,1/SQRT(Omega_m*(1+$J$1:$AD$1*B616)^3+Omega_L)))*(1+B616)*100000)</f>
        <v>36.517452231716135</v>
      </c>
      <c r="G616" s="89">
        <f t="shared" si="9"/>
        <v>0.25805223171613534</v>
      </c>
    </row>
    <row r="617" spans="1:7" x14ac:dyDescent="0.6">
      <c r="A617" s="76" t="s">
        <v>1275</v>
      </c>
      <c r="B617" s="87">
        <v>4.4080000000000001E-2</v>
      </c>
      <c r="C617" s="88">
        <v>36.329799999999999</v>
      </c>
      <c r="D617" s="88">
        <v>0.18121000000000001</v>
      </c>
      <c r="E617" s="76">
        <v>0</v>
      </c>
      <c r="F617" s="89" cm="1">
        <f t="array" ref="F617">5*LOG10(((c_light/1000/H_0_SAM)*(B617/60)*SUMPRODUCT($J$2:$AD$2,1/SQRT(Omega_m*(1+$J$1:$AD$1*B617)^3+Omega_L)))*(1+B617)*100000)</f>
        <v>36.537353792847107</v>
      </c>
      <c r="G617" s="89">
        <f t="shared" si="9"/>
        <v>0.20755379284710784</v>
      </c>
    </row>
    <row r="618" spans="1:7" x14ac:dyDescent="0.6">
      <c r="A618" s="76" t="s">
        <v>1276</v>
      </c>
      <c r="B618" s="87">
        <v>4.4380000000000003E-2</v>
      </c>
      <c r="C618" s="88">
        <v>36.546900000000001</v>
      </c>
      <c r="D618" s="88">
        <v>0.23119999999999999</v>
      </c>
      <c r="E618" s="76">
        <v>0</v>
      </c>
      <c r="F618" s="89" cm="1">
        <f t="array" ref="F618">5*LOG10(((c_light/1000/H_0_SAM)*(B618/60)*SUMPRODUCT($J$2:$AD$2,1/SQRT(Omega_m*(1+$J$1:$AD$1*B618)^3+Omega_L)))*(1+B618)*100000)</f>
        <v>36.55254662088393</v>
      </c>
      <c r="G618" s="89">
        <f t="shared" si="9"/>
        <v>5.6466208839296428E-3</v>
      </c>
    </row>
    <row r="619" spans="1:7" x14ac:dyDescent="0.6">
      <c r="A619" s="76" t="s">
        <v>1277</v>
      </c>
      <c r="B619" s="87">
        <v>4.4389999999999999E-2</v>
      </c>
      <c r="C619" s="88">
        <v>36.291600000000003</v>
      </c>
      <c r="D619" s="88">
        <v>0.24908</v>
      </c>
      <c r="E619" s="76">
        <v>0</v>
      </c>
      <c r="F619" s="89" cm="1">
        <f t="array" ref="F619">5*LOG10(((c_light/1000/H_0_SAM)*(B619/60)*SUMPRODUCT($J$2:$AD$2,1/SQRT(Omega_m*(1+$J$1:$AD$1*B619)^3+Omega_L)))*(1+B619)*100000)</f>
        <v>36.553051328584289</v>
      </c>
      <c r="G619" s="89">
        <f t="shared" si="9"/>
        <v>0.2614513285842861</v>
      </c>
    </row>
    <row r="620" spans="1:7" x14ac:dyDescent="0.6">
      <c r="A620" s="76" t="s">
        <v>1278</v>
      </c>
      <c r="B620" s="87">
        <v>4.4400000000000002E-2</v>
      </c>
      <c r="C620" s="88">
        <v>36.551000000000002</v>
      </c>
      <c r="D620" s="88">
        <v>0.27052999999999999</v>
      </c>
      <c r="E620" s="76">
        <v>0</v>
      </c>
      <c r="F620" s="89" cm="1">
        <f t="array" ref="F620">5*LOG10(((c_light/1000/H_0_SAM)*(B620/60)*SUMPRODUCT($J$2:$AD$2,1/SQRT(Omega_m*(1+$J$1:$AD$1*B620)^3+Omega_L)))*(1+B620)*100000)</f>
        <v>36.55355592585574</v>
      </c>
      <c r="G620" s="89">
        <f t="shared" si="9"/>
        <v>2.5559258557379394E-3</v>
      </c>
    </row>
    <row r="621" spans="1:7" x14ac:dyDescent="0.6">
      <c r="A621" s="76" t="s">
        <v>1279</v>
      </c>
      <c r="B621" s="87">
        <v>4.4639999999999999E-2</v>
      </c>
      <c r="C621" s="88">
        <v>36.511400000000002</v>
      </c>
      <c r="D621" s="88">
        <v>0.28627000000000002</v>
      </c>
      <c r="E621" s="76">
        <v>0</v>
      </c>
      <c r="F621" s="89" cm="1">
        <f t="array" ref="F621">5*LOG10(((c_light/1000/H_0_SAM)*(B621/60)*SUMPRODUCT($J$2:$AD$2,1/SQRT(Omega_m*(1+$J$1:$AD$1*B621)^3+Omega_L)))*(1+B621)*100000)</f>
        <v>36.565633260262871</v>
      </c>
      <c r="G621" s="89">
        <f t="shared" si="9"/>
        <v>5.423326026286901E-2</v>
      </c>
    </row>
    <row r="622" spans="1:7" x14ac:dyDescent="0.6">
      <c r="A622" s="76" t="s">
        <v>1280</v>
      </c>
      <c r="B622" s="87">
        <v>4.487E-2</v>
      </c>
      <c r="C622" s="88">
        <v>36.456499999999998</v>
      </c>
      <c r="D622" s="88">
        <v>0.16233</v>
      </c>
      <c r="E622" s="76">
        <v>0</v>
      </c>
      <c r="F622" s="89" cm="1">
        <f t="array" ref="F622">5*LOG10(((c_light/1000/H_0_SAM)*(B622/60)*SUMPRODUCT($J$2:$AD$2,1/SQRT(Omega_m*(1+$J$1:$AD$1*B622)^3+Omega_L)))*(1+B622)*100000)</f>
        <v>36.577148341315883</v>
      </c>
      <c r="G622" s="89">
        <f t="shared" si="9"/>
        <v>0.12064834131588498</v>
      </c>
    </row>
    <row r="623" spans="1:7" x14ac:dyDescent="0.6">
      <c r="A623" s="76" t="s">
        <v>1281</v>
      </c>
      <c r="B623" s="87">
        <v>4.521E-2</v>
      </c>
      <c r="C623" s="88">
        <v>36.686599999999999</v>
      </c>
      <c r="D623" s="88">
        <v>0.30492000000000002</v>
      </c>
      <c r="E623" s="76">
        <v>0</v>
      </c>
      <c r="F623" s="89" cm="1">
        <f t="array" ref="F623">5*LOG10(((c_light/1000/H_0_SAM)*(B623/60)*SUMPRODUCT($J$2:$AD$2,1/SQRT(Omega_m*(1+$J$1:$AD$1*B623)^3+Omega_L)))*(1+B623)*100000)</f>
        <v>36.594066070590515</v>
      </c>
      <c r="G623" s="89">
        <f t="shared" si="9"/>
        <v>-9.2533929409484017E-2</v>
      </c>
    </row>
    <row r="624" spans="1:7" x14ac:dyDescent="0.6">
      <c r="A624" s="76" t="s">
        <v>1282</v>
      </c>
      <c r="B624" s="87">
        <v>4.5449999999999997E-2</v>
      </c>
      <c r="C624" s="88">
        <v>36.454099999999997</v>
      </c>
      <c r="D624" s="88">
        <v>0.19627</v>
      </c>
      <c r="E624" s="76">
        <v>0</v>
      </c>
      <c r="F624" s="89" cm="1">
        <f t="array" ref="F624">5*LOG10(((c_light/1000/H_0_SAM)*(B624/60)*SUMPRODUCT($J$2:$AD$2,1/SQRT(Omega_m*(1+$J$1:$AD$1*B624)^3+Omega_L)))*(1+B624)*100000)</f>
        <v>36.605933785230619</v>
      </c>
      <c r="G624" s="89">
        <f t="shared" si="9"/>
        <v>0.15183378523062174</v>
      </c>
    </row>
    <row r="625" spans="1:7" x14ac:dyDescent="0.6">
      <c r="A625" s="76" t="s">
        <v>1283</v>
      </c>
      <c r="B625" s="87">
        <v>4.5749999999999999E-2</v>
      </c>
      <c r="C625" s="88">
        <v>36.4634</v>
      </c>
      <c r="D625" s="88">
        <v>0.17352999999999999</v>
      </c>
      <c r="E625" s="76">
        <v>0</v>
      </c>
      <c r="F625" s="89" cm="1">
        <f t="array" ref="F625">5*LOG10(((c_light/1000/H_0_SAM)*(B625/60)*SUMPRODUCT($J$2:$AD$2,1/SQRT(Omega_m*(1+$J$1:$AD$1*B625)^3+Omega_L)))*(1+B625)*100000)</f>
        <v>36.620683169963108</v>
      </c>
      <c r="G625" s="89">
        <f t="shared" si="9"/>
        <v>0.15728316996310809</v>
      </c>
    </row>
    <row r="626" spans="1:7" x14ac:dyDescent="0.6">
      <c r="A626" s="76" t="s">
        <v>1283</v>
      </c>
      <c r="B626" s="87">
        <v>4.5749999999999999E-2</v>
      </c>
      <c r="C626" s="88">
        <v>36.5139</v>
      </c>
      <c r="D626" s="88">
        <v>0.15193000000000001</v>
      </c>
      <c r="E626" s="76">
        <v>0</v>
      </c>
      <c r="F626" s="89" cm="1">
        <f t="array" ref="F626">5*LOG10(((c_light/1000/H_0_SAM)*(B626/60)*SUMPRODUCT($J$2:$AD$2,1/SQRT(Omega_m*(1+$J$1:$AD$1*B626)^3+Omega_L)))*(1+B626)*100000)</f>
        <v>36.620683169963108</v>
      </c>
      <c r="G626" s="89">
        <f t="shared" si="9"/>
        <v>0.10678316996310855</v>
      </c>
    </row>
    <row r="627" spans="1:7" x14ac:dyDescent="0.6">
      <c r="A627" s="76" t="s">
        <v>1284</v>
      </c>
      <c r="B627" s="87">
        <v>4.5830000000000003E-2</v>
      </c>
      <c r="C627" s="88">
        <v>36.157899999999998</v>
      </c>
      <c r="D627" s="88">
        <v>0.18276000000000001</v>
      </c>
      <c r="E627" s="76">
        <v>0</v>
      </c>
      <c r="F627" s="89" cm="1">
        <f t="array" ref="F627">5*LOG10(((c_light/1000/H_0_SAM)*(B627/60)*SUMPRODUCT($J$2:$AD$2,1/SQRT(Omega_m*(1+$J$1:$AD$1*B627)^3+Omega_L)))*(1+B627)*100000)</f>
        <v>36.624600484365921</v>
      </c>
      <c r="G627" s="89">
        <f t="shared" si="9"/>
        <v>0.46670048436592282</v>
      </c>
    </row>
    <row r="628" spans="1:7" x14ac:dyDescent="0.6">
      <c r="A628" s="76" t="s">
        <v>1285</v>
      </c>
      <c r="B628" s="87">
        <v>4.5900000000000003E-2</v>
      </c>
      <c r="C628" s="88">
        <v>36.381100000000004</v>
      </c>
      <c r="D628" s="88">
        <v>0.19600999999999999</v>
      </c>
      <c r="E628" s="76">
        <v>0</v>
      </c>
      <c r="F628" s="89" cm="1">
        <f t="array" ref="F628">5*LOG10(((c_light/1000/H_0_SAM)*(B628/60)*SUMPRODUCT($J$2:$AD$2,1/SQRT(Omega_m*(1+$J$1:$AD$1*B628)^3+Omega_L)))*(1+B628)*100000)</f>
        <v>36.628022694044468</v>
      </c>
      <c r="G628" s="89">
        <f t="shared" si="9"/>
        <v>0.24692269404446421</v>
      </c>
    </row>
    <row r="629" spans="1:7" x14ac:dyDescent="0.6">
      <c r="A629" s="76">
        <v>2008050</v>
      </c>
      <c r="B629" s="87">
        <v>4.6249999999999999E-2</v>
      </c>
      <c r="C629" s="88">
        <v>36.263599999999997</v>
      </c>
      <c r="D629" s="88">
        <v>0.21809999999999999</v>
      </c>
      <c r="E629" s="76">
        <v>0</v>
      </c>
      <c r="F629" s="89" cm="1">
        <f t="array" ref="F629">5*LOG10(((c_light/1000/H_0_SAM)*(B629/60)*SUMPRODUCT($J$2:$AD$2,1/SQRT(Omega_m*(1+$J$1:$AD$1*B629)^3+Omega_L)))*(1+B629)*100000)</f>
        <v>36.645058125552708</v>
      </c>
      <c r="G629" s="89">
        <f t="shared" si="9"/>
        <v>0.38145812555271164</v>
      </c>
    </row>
    <row r="630" spans="1:7" x14ac:dyDescent="0.6">
      <c r="A630" s="76" t="s">
        <v>1286</v>
      </c>
      <c r="B630" s="87">
        <v>4.6309999999999997E-2</v>
      </c>
      <c r="C630" s="88">
        <v>36.539400000000001</v>
      </c>
      <c r="D630" s="88">
        <v>0.15922</v>
      </c>
      <c r="E630" s="76">
        <v>0</v>
      </c>
      <c r="F630" s="89" cm="1">
        <f t="array" ref="F630">5*LOG10(((c_light/1000/H_0_SAM)*(B630/60)*SUMPRODUCT($J$2:$AD$2,1/SQRT(Omega_m*(1+$J$1:$AD$1*B630)^3+Omega_L)))*(1+B630)*100000)</f>
        <v>36.64796591839108</v>
      </c>
      <c r="G630" s="89">
        <f t="shared" si="9"/>
        <v>0.10856591839107921</v>
      </c>
    </row>
    <row r="631" spans="1:7" x14ac:dyDescent="0.6">
      <c r="A631" s="76" t="s">
        <v>1287</v>
      </c>
      <c r="B631" s="87">
        <v>4.6429999999999999E-2</v>
      </c>
      <c r="C631" s="88">
        <v>36.3247</v>
      </c>
      <c r="D631" s="88">
        <v>0.19502</v>
      </c>
      <c r="E631" s="76">
        <v>0</v>
      </c>
      <c r="F631" s="89" cm="1">
        <f t="array" ref="F631">5*LOG10(((c_light/1000/H_0_SAM)*(B631/60)*SUMPRODUCT($J$2:$AD$2,1/SQRT(Omega_m*(1+$J$1:$AD$1*B631)^3+Omega_L)))*(1+B631)*100000)</f>
        <v>36.653770553679706</v>
      </c>
      <c r="G631" s="89">
        <f t="shared" si="9"/>
        <v>0.32907055367970628</v>
      </c>
    </row>
    <row r="632" spans="1:7" x14ac:dyDescent="0.6">
      <c r="A632" s="76">
        <v>360156</v>
      </c>
      <c r="B632" s="87">
        <v>4.6559999999999997E-2</v>
      </c>
      <c r="C632" s="88">
        <v>36.508099999999999</v>
      </c>
      <c r="D632" s="88">
        <v>0.20956</v>
      </c>
      <c r="E632" s="76">
        <v>0</v>
      </c>
      <c r="F632" s="89" cm="1">
        <f t="array" ref="F632">5*LOG10(((c_light/1000/H_0_SAM)*(B632/60)*SUMPRODUCT($J$2:$AD$2,1/SQRT(Omega_m*(1+$J$1:$AD$1*B632)^3+Omega_L)))*(1+B632)*100000)</f>
        <v>36.660042505364522</v>
      </c>
      <c r="G632" s="89">
        <f t="shared" si="9"/>
        <v>0.15194250536452358</v>
      </c>
    </row>
    <row r="633" spans="1:7" x14ac:dyDescent="0.6">
      <c r="A633" s="76" t="s">
        <v>1288</v>
      </c>
      <c r="B633" s="87">
        <v>4.6640000000000001E-2</v>
      </c>
      <c r="C633" s="88">
        <v>36.471299999999999</v>
      </c>
      <c r="D633" s="88">
        <v>0.19409000000000001</v>
      </c>
      <c r="E633" s="76">
        <v>0</v>
      </c>
      <c r="F633" s="89" cm="1">
        <f t="array" ref="F633">5*LOG10(((c_light/1000/H_0_SAM)*(B633/60)*SUMPRODUCT($J$2:$AD$2,1/SQRT(Omega_m*(1+$J$1:$AD$1*B633)^3+Omega_L)))*(1+B633)*100000)</f>
        <v>36.663893728695939</v>
      </c>
      <c r="G633" s="89">
        <f t="shared" si="9"/>
        <v>0.1925937286959396</v>
      </c>
    </row>
    <row r="634" spans="1:7" x14ac:dyDescent="0.6">
      <c r="A634" s="76" t="s">
        <v>1289</v>
      </c>
      <c r="B634" s="87">
        <v>4.6820000000000001E-2</v>
      </c>
      <c r="C634" s="88">
        <v>36.4786</v>
      </c>
      <c r="D634" s="88">
        <v>0.1482</v>
      </c>
      <c r="E634" s="76">
        <v>0</v>
      </c>
      <c r="F634" s="89" cm="1">
        <f t="array" ref="F634">5*LOG10(((c_light/1000/H_0_SAM)*(B634/60)*SUMPRODUCT($J$2:$AD$2,1/SQRT(Omega_m*(1+$J$1:$AD$1*B634)^3+Omega_L)))*(1+B634)*100000)</f>
        <v>36.672535602331983</v>
      </c>
      <c r="G634" s="89">
        <f t="shared" si="9"/>
        <v>0.19393560233198315</v>
      </c>
    </row>
    <row r="635" spans="1:7" x14ac:dyDescent="0.6">
      <c r="A635" s="76" t="s">
        <v>1289</v>
      </c>
      <c r="B635" s="87">
        <v>4.6820000000000001E-2</v>
      </c>
      <c r="C635" s="88">
        <v>36.485700000000001</v>
      </c>
      <c r="D635" s="88">
        <v>0.18293000000000001</v>
      </c>
      <c r="E635" s="76">
        <v>0</v>
      </c>
      <c r="F635" s="89" cm="1">
        <f t="array" ref="F635">5*LOG10(((c_light/1000/H_0_SAM)*(B635/60)*SUMPRODUCT($J$2:$AD$2,1/SQRT(Omega_m*(1+$J$1:$AD$1*B635)^3+Omega_L)))*(1+B635)*100000)</f>
        <v>36.672535602331983</v>
      </c>
      <c r="G635" s="89">
        <f t="shared" si="9"/>
        <v>0.18683560233198193</v>
      </c>
    </row>
    <row r="636" spans="1:7" x14ac:dyDescent="0.6">
      <c r="A636" s="76" t="s">
        <v>1290</v>
      </c>
      <c r="B636" s="87">
        <v>4.691E-2</v>
      </c>
      <c r="C636" s="88">
        <v>36.758200000000002</v>
      </c>
      <c r="D636" s="88">
        <v>0.28067999999999999</v>
      </c>
      <c r="E636" s="76">
        <v>0</v>
      </c>
      <c r="F636" s="89" cm="1">
        <f t="array" ref="F636">5*LOG10(((c_light/1000/H_0_SAM)*(B636/60)*SUMPRODUCT($J$2:$AD$2,1/SQRT(Omega_m*(1+$J$1:$AD$1*B636)^3+Omega_L)))*(1+B636)*100000)</f>
        <v>36.676844460452116</v>
      </c>
      <c r="G636" s="89">
        <f t="shared" si="9"/>
        <v>-8.1355539547885769E-2</v>
      </c>
    </row>
    <row r="637" spans="1:7" x14ac:dyDescent="0.6">
      <c r="A637" s="76" t="s">
        <v>1291</v>
      </c>
      <c r="B637" s="87">
        <v>4.7379999999999999E-2</v>
      </c>
      <c r="C637" s="88">
        <v>36.5642</v>
      </c>
      <c r="D637" s="88">
        <v>0.22914999999999999</v>
      </c>
      <c r="E637" s="76">
        <v>0</v>
      </c>
      <c r="F637" s="89" cm="1">
        <f t="array" ref="F637">5*LOG10(((c_light/1000/H_0_SAM)*(B637/60)*SUMPRODUCT($J$2:$AD$2,1/SQRT(Omega_m*(1+$J$1:$AD$1*B637)^3+Omega_L)))*(1+B637)*100000)</f>
        <v>36.699216810869125</v>
      </c>
      <c r="G637" s="89">
        <f t="shared" si="9"/>
        <v>0.13501681086912498</v>
      </c>
    </row>
    <row r="638" spans="1:7" x14ac:dyDescent="0.6">
      <c r="A638" s="76" t="s">
        <v>1292</v>
      </c>
      <c r="B638" s="87">
        <v>4.7600000000000003E-2</v>
      </c>
      <c r="C638" s="88">
        <v>36.600900000000003</v>
      </c>
      <c r="D638" s="88">
        <v>0.16169</v>
      </c>
      <c r="E638" s="76">
        <v>0</v>
      </c>
      <c r="F638" s="89" cm="1">
        <f t="array" ref="F638">5*LOG10(((c_light/1000/H_0_SAM)*(B638/60)*SUMPRODUCT($J$2:$AD$2,1/SQRT(Omega_m*(1+$J$1:$AD$1*B638)^3+Omega_L)))*(1+B638)*100000)</f>
        <v>36.709615123035519</v>
      </c>
      <c r="G638" s="89">
        <f t="shared" si="9"/>
        <v>0.10871512303551611</v>
      </c>
    </row>
    <row r="639" spans="1:7" x14ac:dyDescent="0.6">
      <c r="A639" s="76" t="s">
        <v>1293</v>
      </c>
      <c r="B639" s="87">
        <v>4.777E-2</v>
      </c>
      <c r="C639" s="88">
        <v>36.5946</v>
      </c>
      <c r="D639" s="88">
        <v>0.14538000000000001</v>
      </c>
      <c r="E639" s="76">
        <v>0</v>
      </c>
      <c r="F639" s="89" cm="1">
        <f t="array" ref="F639">5*LOG10(((c_light/1000/H_0_SAM)*(B639/60)*SUMPRODUCT($J$2:$AD$2,1/SQRT(Omega_m*(1+$J$1:$AD$1*B639)^3+Omega_L)))*(1+B639)*100000)</f>
        <v>36.717618314210817</v>
      </c>
      <c r="G639" s="89">
        <f t="shared" si="9"/>
        <v>0.12301831421081744</v>
      </c>
    </row>
    <row r="640" spans="1:7" x14ac:dyDescent="0.6">
      <c r="A640" s="76" t="s">
        <v>1294</v>
      </c>
      <c r="B640" s="87">
        <v>4.777E-2</v>
      </c>
      <c r="C640" s="88">
        <v>36.5627</v>
      </c>
      <c r="D640" s="88">
        <v>0.20881</v>
      </c>
      <c r="E640" s="76">
        <v>0</v>
      </c>
      <c r="F640" s="89" cm="1">
        <f t="array" ref="F640">5*LOG10(((c_light/1000/H_0_SAM)*(B640/60)*SUMPRODUCT($J$2:$AD$2,1/SQRT(Omega_m*(1+$J$1:$AD$1*B640)^3+Omega_L)))*(1+B640)*100000)</f>
        <v>36.717618314210817</v>
      </c>
      <c r="G640" s="89">
        <f t="shared" si="9"/>
        <v>0.1549183142108177</v>
      </c>
    </row>
    <row r="641" spans="1:7" x14ac:dyDescent="0.6">
      <c r="A641" s="76" t="s">
        <v>1295</v>
      </c>
      <c r="B641" s="87">
        <v>4.8189999999999997E-2</v>
      </c>
      <c r="C641" s="88">
        <v>36.497599999999998</v>
      </c>
      <c r="D641" s="88">
        <v>0.16586999999999999</v>
      </c>
      <c r="E641" s="76">
        <v>0</v>
      </c>
      <c r="F641" s="89" cm="1">
        <f t="array" ref="F641">5*LOG10(((c_light/1000/H_0_SAM)*(B641/60)*SUMPRODUCT($J$2:$AD$2,1/SQRT(Omega_m*(1+$J$1:$AD$1*B641)^3+Omega_L)))*(1+B641)*100000)</f>
        <v>36.737273130784551</v>
      </c>
      <c r="G641" s="89">
        <f t="shared" si="9"/>
        <v>0.23967313078455277</v>
      </c>
    </row>
    <row r="642" spans="1:7" x14ac:dyDescent="0.6">
      <c r="A642" s="76" t="s">
        <v>1296</v>
      </c>
      <c r="B642" s="87">
        <v>4.8370000000000003E-2</v>
      </c>
      <c r="C642" s="88">
        <v>36.3735</v>
      </c>
      <c r="D642" s="88">
        <v>0.15473999999999999</v>
      </c>
      <c r="E642" s="76">
        <v>0</v>
      </c>
      <c r="F642" s="89" cm="1">
        <f t="array" ref="F642">5*LOG10(((c_light/1000/H_0_SAM)*(B642/60)*SUMPRODUCT($J$2:$AD$2,1/SQRT(Omega_m*(1+$J$1:$AD$1*B642)^3+Omega_L)))*(1+B642)*100000)</f>
        <v>36.745645838761597</v>
      </c>
      <c r="G642" s="89">
        <f t="shared" si="9"/>
        <v>0.37214583876159679</v>
      </c>
    </row>
    <row r="643" spans="1:7" x14ac:dyDescent="0.6">
      <c r="A643" s="76" t="s">
        <v>1297</v>
      </c>
      <c r="B643" s="87">
        <v>4.8599999999999997E-2</v>
      </c>
      <c r="C643" s="88">
        <v>36.330300000000001</v>
      </c>
      <c r="D643" s="88">
        <v>0.13583999999999999</v>
      </c>
      <c r="E643" s="76">
        <v>0</v>
      </c>
      <c r="F643" s="89" cm="1">
        <f t="array" ref="F643">5*LOG10(((c_light/1000/H_0_SAM)*(B643/60)*SUMPRODUCT($J$2:$AD$2,1/SQRT(Omega_m*(1+$J$1:$AD$1*B643)^3+Omega_L)))*(1+B643)*100000)</f>
        <v>36.75630046124467</v>
      </c>
      <c r="G643" s="89">
        <f t="shared" si="9"/>
        <v>0.42600046124466928</v>
      </c>
    </row>
    <row r="644" spans="1:7" x14ac:dyDescent="0.6">
      <c r="A644" s="76" t="s">
        <v>1298</v>
      </c>
      <c r="B644" s="87">
        <v>4.8649999999999999E-2</v>
      </c>
      <c r="C644" s="88">
        <v>36.640999999999998</v>
      </c>
      <c r="D644" s="88">
        <v>0.18146000000000001</v>
      </c>
      <c r="E644" s="76">
        <v>0</v>
      </c>
      <c r="F644" s="89" cm="1">
        <f t="array" ref="F644">5*LOG10(((c_light/1000/H_0_SAM)*(B644/60)*SUMPRODUCT($J$2:$AD$2,1/SQRT(Omega_m*(1+$J$1:$AD$1*B644)^3+Omega_L)))*(1+B644)*100000)</f>
        <v>36.758610216259292</v>
      </c>
      <c r="G644" s="89">
        <f t="shared" si="9"/>
        <v>0.11761021625929402</v>
      </c>
    </row>
    <row r="645" spans="1:7" x14ac:dyDescent="0.6">
      <c r="A645" s="76" t="s">
        <v>1299</v>
      </c>
      <c r="B645" s="87">
        <v>4.9340000000000002E-2</v>
      </c>
      <c r="C645" s="88">
        <v>36.599699999999999</v>
      </c>
      <c r="D645" s="88">
        <v>0.20268</v>
      </c>
      <c r="E645" s="76">
        <v>0</v>
      </c>
      <c r="F645" s="89" cm="1">
        <f t="array" ref="F645">5*LOG10(((c_light/1000/H_0_SAM)*(B645/60)*SUMPRODUCT($J$2:$AD$2,1/SQRT(Omega_m*(1+$J$1:$AD$1*B645)^3+Omega_L)))*(1+B645)*100000)</f>
        <v>36.790252061860492</v>
      </c>
      <c r="G645" s="89">
        <f t="shared" si="9"/>
        <v>0.19055206186049389</v>
      </c>
    </row>
    <row r="646" spans="1:7" x14ac:dyDescent="0.6">
      <c r="A646" s="76" t="s">
        <v>1300</v>
      </c>
      <c r="B646" s="87">
        <v>4.9399999999999999E-2</v>
      </c>
      <c r="C646" s="88">
        <v>36.469099999999997</v>
      </c>
      <c r="D646" s="88">
        <v>0.17699999999999999</v>
      </c>
      <c r="E646" s="76">
        <v>0</v>
      </c>
      <c r="F646" s="89" cm="1">
        <f t="array" ref="F646">5*LOG10(((c_light/1000/H_0_SAM)*(B646/60)*SUMPRODUCT($J$2:$AD$2,1/SQRT(Omega_m*(1+$J$1:$AD$1*B646)^3+Omega_L)))*(1+B646)*100000)</f>
        <v>36.792983233545499</v>
      </c>
      <c r="G646" s="89">
        <f t="shared" ref="G646:G709" si="10">F646-C646</f>
        <v>0.32388323354550153</v>
      </c>
    </row>
    <row r="647" spans="1:7" x14ac:dyDescent="0.6">
      <c r="A647" s="76" t="s">
        <v>1301</v>
      </c>
      <c r="B647" s="87">
        <v>4.9439999999999998E-2</v>
      </c>
      <c r="C647" s="88">
        <v>36.582799999999999</v>
      </c>
      <c r="D647" s="88">
        <v>0.1681</v>
      </c>
      <c r="E647" s="76">
        <v>0</v>
      </c>
      <c r="F647" s="89" cm="1">
        <f t="array" ref="F647">5*LOG10(((c_light/1000/H_0_SAM)*(B647/60)*SUMPRODUCT($J$2:$AD$2,1/SQRT(Omega_m*(1+$J$1:$AD$1*B647)^3+Omega_L)))*(1+B647)*100000)</f>
        <v>36.794802230033284</v>
      </c>
      <c r="G647" s="89">
        <f t="shared" si="10"/>
        <v>0.21200223003328489</v>
      </c>
    </row>
    <row r="648" spans="1:7" x14ac:dyDescent="0.6">
      <c r="A648" s="76" t="s">
        <v>1302</v>
      </c>
      <c r="B648" s="87">
        <v>4.9849999999999998E-2</v>
      </c>
      <c r="C648" s="88">
        <v>36.6402</v>
      </c>
      <c r="D648" s="88">
        <v>0.24440000000000001</v>
      </c>
      <c r="E648" s="76">
        <v>0</v>
      </c>
      <c r="F648" s="89" cm="1">
        <f t="array" ref="F648">5*LOG10(((c_light/1000/H_0_SAM)*(B648/60)*SUMPRODUCT($J$2:$AD$2,1/SQRT(Omega_m*(1+$J$1:$AD$1*B648)^3+Omega_L)))*(1+B648)*100000)</f>
        <v>36.813365189087733</v>
      </c>
      <c r="G648" s="89">
        <f t="shared" si="10"/>
        <v>0.17316518908773304</v>
      </c>
    </row>
    <row r="649" spans="1:7" x14ac:dyDescent="0.6">
      <c r="A649" s="76" t="s">
        <v>1303</v>
      </c>
      <c r="B649" s="87">
        <v>4.9889999999999997E-2</v>
      </c>
      <c r="C649" s="88">
        <v>36.471400000000003</v>
      </c>
      <c r="D649" s="88">
        <v>0.18553</v>
      </c>
      <c r="E649" s="76">
        <v>0</v>
      </c>
      <c r="F649" s="89" cm="1">
        <f t="array" ref="F649">5*LOG10(((c_light/1000/H_0_SAM)*(B649/60)*SUMPRODUCT($J$2:$AD$2,1/SQRT(Omega_m*(1+$J$1:$AD$1*B649)^3+Omega_L)))*(1+B649)*100000)</f>
        <v>36.815168285575325</v>
      </c>
      <c r="G649" s="89">
        <f t="shared" si="10"/>
        <v>0.34376828557532235</v>
      </c>
    </row>
    <row r="650" spans="1:7" x14ac:dyDescent="0.6">
      <c r="A650" s="76" t="s">
        <v>1304</v>
      </c>
      <c r="B650" s="87">
        <v>5.0180000000000002E-2</v>
      </c>
      <c r="C650" s="88">
        <v>36.569299999999998</v>
      </c>
      <c r="D650" s="88">
        <v>0.15581</v>
      </c>
      <c r="E650" s="76">
        <v>0</v>
      </c>
      <c r="F650" s="89" cm="1">
        <f t="array" ref="F650">5*LOG10(((c_light/1000/H_0_SAM)*(B650/60)*SUMPRODUCT($J$2:$AD$2,1/SQRT(Omega_m*(1+$J$1:$AD$1*B650)^3+Omega_L)))*(1+B650)*100000)</f>
        <v>36.828199020439023</v>
      </c>
      <c r="G650" s="89">
        <f t="shared" si="10"/>
        <v>0.25889902043902424</v>
      </c>
    </row>
    <row r="651" spans="1:7" x14ac:dyDescent="0.6">
      <c r="A651" s="76" t="s">
        <v>1305</v>
      </c>
      <c r="B651" s="87">
        <v>5.0229999999999997E-2</v>
      </c>
      <c r="C651" s="88">
        <v>36.8583</v>
      </c>
      <c r="D651" s="88">
        <v>0.16322999999999999</v>
      </c>
      <c r="E651" s="76">
        <v>0</v>
      </c>
      <c r="F651" s="89" cm="1">
        <f t="array" ref="F651">5*LOG10(((c_light/1000/H_0_SAM)*(B651/60)*SUMPRODUCT($J$2:$AD$2,1/SQRT(Omega_m*(1+$J$1:$AD$1*B651)^3+Omega_L)))*(1+B651)*100000)</f>
        <v>36.83043832606252</v>
      </c>
      <c r="G651" s="89">
        <f t="shared" si="10"/>
        <v>-2.7861673937479736E-2</v>
      </c>
    </row>
    <row r="652" spans="1:7" x14ac:dyDescent="0.6">
      <c r="A652" s="76" t="s">
        <v>1306</v>
      </c>
      <c r="B652" s="87">
        <v>5.0319999999999997E-2</v>
      </c>
      <c r="C652" s="88">
        <v>36.540300000000002</v>
      </c>
      <c r="D652" s="88">
        <v>0.45340999999999998</v>
      </c>
      <c r="E652" s="76">
        <v>0</v>
      </c>
      <c r="F652" s="89" cm="1">
        <f t="array" ref="F652">5*LOG10(((c_light/1000/H_0_SAM)*(B652/60)*SUMPRODUCT($J$2:$AD$2,1/SQRT(Omega_m*(1+$J$1:$AD$1*B652)^3+Omega_L)))*(1+B652)*100000)</f>
        <v>36.834463642725787</v>
      </c>
      <c r="G652" s="89">
        <f t="shared" si="10"/>
        <v>0.29416364272578477</v>
      </c>
    </row>
    <row r="653" spans="1:7" x14ac:dyDescent="0.6">
      <c r="A653" s="76" t="s">
        <v>1307</v>
      </c>
      <c r="B653" s="87">
        <v>5.0439999999999999E-2</v>
      </c>
      <c r="C653" s="88">
        <v>36.4621</v>
      </c>
      <c r="D653" s="88">
        <v>0.2019</v>
      </c>
      <c r="E653" s="76">
        <v>0</v>
      </c>
      <c r="F653" s="89" cm="1">
        <f t="array" ref="F653">5*LOG10(((c_light/1000/H_0_SAM)*(B653/60)*SUMPRODUCT($J$2:$AD$2,1/SQRT(Omega_m*(1+$J$1:$AD$1*B653)^3+Omega_L)))*(1+B653)*100000)</f>
        <v>36.839819901978885</v>
      </c>
      <c r="G653" s="89">
        <f t="shared" si="10"/>
        <v>0.37771990197888528</v>
      </c>
    </row>
    <row r="654" spans="1:7" x14ac:dyDescent="0.6">
      <c r="A654" s="76" t="s">
        <v>1308</v>
      </c>
      <c r="B654" s="87">
        <v>5.049E-2</v>
      </c>
      <c r="C654" s="88">
        <v>36.546100000000003</v>
      </c>
      <c r="D654" s="88">
        <v>0.19095999999999999</v>
      </c>
      <c r="E654" s="76">
        <v>0</v>
      </c>
      <c r="F654" s="89" cm="1">
        <f t="array" ref="F654">5*LOG10(((c_light/1000/H_0_SAM)*(B654/60)*SUMPRODUCT($J$2:$AD$2,1/SQRT(Omega_m*(1+$J$1:$AD$1*B654)^3+Omega_L)))*(1+B654)*100000)</f>
        <v>36.842048036334809</v>
      </c>
      <c r="G654" s="89">
        <f t="shared" si="10"/>
        <v>0.29594803633480637</v>
      </c>
    </row>
    <row r="655" spans="1:7" x14ac:dyDescent="0.6">
      <c r="A655" s="76" t="s">
        <v>1309</v>
      </c>
      <c r="B655" s="87">
        <v>5.0520000000000002E-2</v>
      </c>
      <c r="C655" s="88">
        <v>36.703600000000002</v>
      </c>
      <c r="D655" s="88">
        <v>0.13336000000000001</v>
      </c>
      <c r="E655" s="76">
        <v>0</v>
      </c>
      <c r="F655" s="89" cm="1">
        <f t="array" ref="F655">5*LOG10(((c_light/1000/H_0_SAM)*(B655/60)*SUMPRODUCT($J$2:$AD$2,1/SQRT(Omega_m*(1+$J$1:$AD$1*B655)^3+Omega_L)))*(1+B655)*100000)</f>
        <v>36.843383891797004</v>
      </c>
      <c r="G655" s="89">
        <f t="shared" si="10"/>
        <v>0.13978389179700201</v>
      </c>
    </row>
    <row r="656" spans="1:7" x14ac:dyDescent="0.6">
      <c r="A656" s="76" t="s">
        <v>1310</v>
      </c>
      <c r="B656" s="87">
        <v>5.0659999999999997E-2</v>
      </c>
      <c r="C656" s="88">
        <v>36.8523</v>
      </c>
      <c r="D656" s="88">
        <v>0.30256</v>
      </c>
      <c r="E656" s="76">
        <v>0</v>
      </c>
      <c r="F656" s="89" cm="1">
        <f t="array" ref="F656">5*LOG10(((c_light/1000/H_0_SAM)*(B656/60)*SUMPRODUCT($J$2:$AD$2,1/SQRT(Omega_m*(1+$J$1:$AD$1*B656)^3+Omega_L)))*(1+B656)*100000)</f>
        <v>36.849607747253344</v>
      </c>
      <c r="G656" s="89">
        <f t="shared" si="10"/>
        <v>-2.6922527466552992E-3</v>
      </c>
    </row>
    <row r="657" spans="1:7" x14ac:dyDescent="0.6">
      <c r="A657" s="76" t="s">
        <v>1311</v>
      </c>
      <c r="B657" s="87">
        <v>5.1060000000000001E-2</v>
      </c>
      <c r="C657" s="88">
        <v>36.880400000000002</v>
      </c>
      <c r="D657" s="88">
        <v>0.16836000000000001</v>
      </c>
      <c r="E657" s="76">
        <v>0</v>
      </c>
      <c r="F657" s="89" cm="1">
        <f t="array" ref="F657">5*LOG10(((c_light/1000/H_0_SAM)*(B657/60)*SUMPRODUCT($J$2:$AD$2,1/SQRT(Omega_m*(1+$J$1:$AD$1*B657)^3+Omega_L)))*(1+B657)*100000)</f>
        <v>36.867298879096637</v>
      </c>
      <c r="G657" s="89">
        <f t="shared" si="10"/>
        <v>-1.310112090336446E-2</v>
      </c>
    </row>
    <row r="658" spans="1:7" x14ac:dyDescent="0.6">
      <c r="A658" s="76" t="s">
        <v>1312</v>
      </c>
      <c r="B658" s="87">
        <v>5.126E-2</v>
      </c>
      <c r="C658" s="88">
        <v>36.393000000000001</v>
      </c>
      <c r="D658" s="88">
        <v>0.20144999999999999</v>
      </c>
      <c r="E658" s="76">
        <v>0</v>
      </c>
      <c r="F658" s="89" cm="1">
        <f t="array" ref="F658">5*LOG10(((c_light/1000/H_0_SAM)*(B658/60)*SUMPRODUCT($J$2:$AD$2,1/SQRT(Omega_m*(1+$J$1:$AD$1*B658)^3+Omega_L)))*(1+B658)*100000)</f>
        <v>36.876094204164673</v>
      </c>
      <c r="G658" s="89">
        <f t="shared" si="10"/>
        <v>0.48309420416467219</v>
      </c>
    </row>
    <row r="659" spans="1:7" x14ac:dyDescent="0.6">
      <c r="A659" s="76" t="s">
        <v>1313</v>
      </c>
      <c r="B659" s="87">
        <v>5.151E-2</v>
      </c>
      <c r="C659" s="88">
        <v>36.586199999999998</v>
      </c>
      <c r="D659" s="88">
        <v>0.15683</v>
      </c>
      <c r="E659" s="76">
        <v>0</v>
      </c>
      <c r="F659" s="89" cm="1">
        <f t="array" ref="F659">5*LOG10(((c_light/1000/H_0_SAM)*(B659/60)*SUMPRODUCT($J$2:$AD$2,1/SQRT(Omega_m*(1+$J$1:$AD$1*B659)^3+Omega_L)))*(1+B659)*100000)</f>
        <v>36.887041777838135</v>
      </c>
      <c r="G659" s="89">
        <f t="shared" si="10"/>
        <v>0.30084177783813715</v>
      </c>
    </row>
    <row r="660" spans="1:7" x14ac:dyDescent="0.6">
      <c r="A660" s="76" t="s">
        <v>1314</v>
      </c>
      <c r="B660" s="87">
        <v>5.194E-2</v>
      </c>
      <c r="C660" s="88">
        <v>36.7759</v>
      </c>
      <c r="D660" s="88">
        <v>0.22817999999999999</v>
      </c>
      <c r="E660" s="76">
        <v>0</v>
      </c>
      <c r="F660" s="89" cm="1">
        <f t="array" ref="F660">5*LOG10(((c_light/1000/H_0_SAM)*(B660/60)*SUMPRODUCT($J$2:$AD$2,1/SQRT(Omega_m*(1+$J$1:$AD$1*B660)^3+Omega_L)))*(1+B660)*100000)</f>
        <v>36.905751899426008</v>
      </c>
      <c r="G660" s="89">
        <f t="shared" si="10"/>
        <v>0.12985189942600783</v>
      </c>
    </row>
    <row r="661" spans="1:7" x14ac:dyDescent="0.6">
      <c r="A661" s="76" t="s">
        <v>1315</v>
      </c>
      <c r="B661" s="87">
        <v>5.2019999999999997E-2</v>
      </c>
      <c r="C661" s="88">
        <v>36.867899999999999</v>
      </c>
      <c r="D661" s="88">
        <v>0.20831</v>
      </c>
      <c r="E661" s="76">
        <v>0</v>
      </c>
      <c r="F661" s="89" cm="1">
        <f t="array" ref="F661">5*LOG10(((c_light/1000/H_0_SAM)*(B661/60)*SUMPRODUCT($J$2:$AD$2,1/SQRT(Omega_m*(1+$J$1:$AD$1*B661)^3+Omega_L)))*(1+B661)*100000)</f>
        <v>36.90921631185121</v>
      </c>
      <c r="G661" s="89">
        <f t="shared" si="10"/>
        <v>4.1316311851211651E-2</v>
      </c>
    </row>
    <row r="662" spans="1:7" x14ac:dyDescent="0.6">
      <c r="A662" s="76" t="s">
        <v>1315</v>
      </c>
      <c r="B662" s="87">
        <v>5.2019999999999997E-2</v>
      </c>
      <c r="C662" s="88">
        <v>36.543300000000002</v>
      </c>
      <c r="D662" s="88">
        <v>0.29882999999999998</v>
      </c>
      <c r="E662" s="76">
        <v>0</v>
      </c>
      <c r="F662" s="89" cm="1">
        <f t="array" ref="F662">5*LOG10(((c_light/1000/H_0_SAM)*(B662/60)*SUMPRODUCT($J$2:$AD$2,1/SQRT(Omega_m*(1+$J$1:$AD$1*B662)^3+Omega_L)))*(1+B662)*100000)</f>
        <v>36.90921631185121</v>
      </c>
      <c r="G662" s="89">
        <f t="shared" si="10"/>
        <v>0.36591631185120832</v>
      </c>
    </row>
    <row r="663" spans="1:7" x14ac:dyDescent="0.6">
      <c r="A663" s="76" t="s">
        <v>1316</v>
      </c>
      <c r="B663" s="87">
        <v>5.2220000000000003E-2</v>
      </c>
      <c r="C663" s="88">
        <v>36.841099999999997</v>
      </c>
      <c r="D663" s="88">
        <v>0.21825</v>
      </c>
      <c r="E663" s="76">
        <v>0</v>
      </c>
      <c r="F663" s="89" cm="1">
        <f t="array" ref="F663">5*LOG10(((c_light/1000/H_0_SAM)*(B663/60)*SUMPRODUCT($J$2:$AD$2,1/SQRT(Omega_m*(1+$J$1:$AD$1*B663)^3+Omega_L)))*(1+B663)*100000)</f>
        <v>36.917854845995627</v>
      </c>
      <c r="G663" s="89">
        <f t="shared" si="10"/>
        <v>7.6754845995630205E-2</v>
      </c>
    </row>
    <row r="664" spans="1:7" x14ac:dyDescent="0.6">
      <c r="A664" s="76" t="s">
        <v>1317</v>
      </c>
      <c r="B664" s="87">
        <v>5.262E-2</v>
      </c>
      <c r="C664" s="88">
        <v>36.914400000000001</v>
      </c>
      <c r="D664" s="88">
        <v>0.20751</v>
      </c>
      <c r="E664" s="76">
        <v>0</v>
      </c>
      <c r="F664" s="89" cm="1">
        <f t="array" ref="F664">5*LOG10(((c_light/1000/H_0_SAM)*(B664/60)*SUMPRODUCT($J$2:$AD$2,1/SQRT(Omega_m*(1+$J$1:$AD$1*B664)^3+Omega_L)))*(1+B664)*100000)</f>
        <v>36.935036329566977</v>
      </c>
      <c r="G664" s="89">
        <f t="shared" si="10"/>
        <v>2.063632956697603E-2</v>
      </c>
    </row>
    <row r="665" spans="1:7" x14ac:dyDescent="0.6">
      <c r="A665" s="76" t="s">
        <v>1318</v>
      </c>
      <c r="B665" s="87">
        <v>5.3089999999999998E-2</v>
      </c>
      <c r="C665" s="88">
        <v>36.775199999999998</v>
      </c>
      <c r="D665" s="88">
        <v>0.16177</v>
      </c>
      <c r="E665" s="76">
        <v>0</v>
      </c>
      <c r="F665" s="89" cm="1">
        <f t="array" ref="F665">5*LOG10(((c_light/1000/H_0_SAM)*(B665/60)*SUMPRODUCT($J$2:$AD$2,1/SQRT(Omega_m*(1+$J$1:$AD$1*B665)^3+Omega_L)))*(1+B665)*100000)</f>
        <v>36.955063910890338</v>
      </c>
      <c r="G665" s="89">
        <f t="shared" si="10"/>
        <v>0.17986391089034015</v>
      </c>
    </row>
    <row r="666" spans="1:7" x14ac:dyDescent="0.6">
      <c r="A666" s="76" t="s">
        <v>1319</v>
      </c>
      <c r="B666" s="87">
        <v>5.3159999999999999E-2</v>
      </c>
      <c r="C666" s="88">
        <v>36.8474</v>
      </c>
      <c r="D666" s="88">
        <v>0.17219999999999999</v>
      </c>
      <c r="E666" s="76">
        <v>0</v>
      </c>
      <c r="F666" s="89" cm="1">
        <f t="array" ref="F666">5*LOG10(((c_light/1000/H_0_SAM)*(B666/60)*SUMPRODUCT($J$2:$AD$2,1/SQRT(Omega_m*(1+$J$1:$AD$1*B666)^3+Omega_L)))*(1+B666)*100000)</f>
        <v>36.958032065096617</v>
      </c>
      <c r="G666" s="89">
        <f t="shared" si="10"/>
        <v>0.11063206509661683</v>
      </c>
    </row>
    <row r="667" spans="1:7" x14ac:dyDescent="0.6">
      <c r="A667" s="76" t="s">
        <v>1320</v>
      </c>
      <c r="B667" s="87">
        <v>5.3460000000000001E-2</v>
      </c>
      <c r="C667" s="88">
        <v>36.863100000000003</v>
      </c>
      <c r="D667" s="88">
        <v>0.13381999999999999</v>
      </c>
      <c r="E667" s="76">
        <v>0</v>
      </c>
      <c r="F667" s="89" cm="1">
        <f t="array" ref="F667">5*LOG10(((c_light/1000/H_0_SAM)*(B667/60)*SUMPRODUCT($J$2:$AD$2,1/SQRT(Omega_m*(1+$J$1:$AD$1*B667)^3+Omega_L)))*(1+B667)*100000)</f>
        <v>36.970710077990873</v>
      </c>
      <c r="G667" s="89">
        <f t="shared" si="10"/>
        <v>0.10761007799086997</v>
      </c>
    </row>
    <row r="668" spans="1:7" x14ac:dyDescent="0.6">
      <c r="A668" s="76" t="s">
        <v>1321</v>
      </c>
      <c r="B668" s="87">
        <v>5.4679999999999999E-2</v>
      </c>
      <c r="C668" s="88">
        <v>36.832700000000003</v>
      </c>
      <c r="D668" s="88">
        <v>0.1789</v>
      </c>
      <c r="E668" s="76">
        <v>0</v>
      </c>
      <c r="F668" s="89" cm="1">
        <f t="array" ref="F668">5*LOG10(((c_light/1000/H_0_SAM)*(B668/60)*SUMPRODUCT($J$2:$AD$2,1/SQRT(Omega_m*(1+$J$1:$AD$1*B668)^3+Omega_L)))*(1+B668)*100000)</f>
        <v>37.021568705715836</v>
      </c>
      <c r="G668" s="89">
        <f t="shared" si="10"/>
        <v>0.18886870571583358</v>
      </c>
    </row>
    <row r="669" spans="1:7" x14ac:dyDescent="0.6">
      <c r="A669" s="76" t="s">
        <v>1322</v>
      </c>
      <c r="B669" s="87">
        <v>5.4690000000000003E-2</v>
      </c>
      <c r="C669" s="88">
        <v>36.8581</v>
      </c>
      <c r="D669" s="88">
        <v>0.14959</v>
      </c>
      <c r="E669" s="76">
        <v>0</v>
      </c>
      <c r="F669" s="89" cm="1">
        <f t="array" ref="F669">5*LOG10(((c_light/1000/H_0_SAM)*(B669/60)*SUMPRODUCT($J$2:$AD$2,1/SQRT(Omega_m*(1+$J$1:$AD$1*B669)^3+Omega_L)))*(1+B669)*100000)</f>
        <v>37.021981032373773</v>
      </c>
      <c r="G669" s="89">
        <f t="shared" si="10"/>
        <v>0.16388103237377294</v>
      </c>
    </row>
    <row r="670" spans="1:7" x14ac:dyDescent="0.6">
      <c r="A670" s="76" t="s">
        <v>1323</v>
      </c>
      <c r="B670" s="87">
        <v>5.5019999999999999E-2</v>
      </c>
      <c r="C670" s="88">
        <v>36.643300000000004</v>
      </c>
      <c r="D670" s="88">
        <v>0.17541999999999999</v>
      </c>
      <c r="E670" s="76">
        <v>0</v>
      </c>
      <c r="F670" s="89" cm="1">
        <f t="array" ref="F670">5*LOG10(((c_light/1000/H_0_SAM)*(B670/60)*SUMPRODUCT($J$2:$AD$2,1/SQRT(Omega_m*(1+$J$1:$AD$1*B670)^3+Omega_L)))*(1+B670)*100000)</f>
        <v>37.03554711596945</v>
      </c>
      <c r="G670" s="89">
        <f t="shared" si="10"/>
        <v>0.39224711596944672</v>
      </c>
    </row>
    <row r="671" spans="1:7" x14ac:dyDescent="0.6">
      <c r="A671" s="76">
        <v>490007</v>
      </c>
      <c r="B671" s="87">
        <v>5.5410000000000001E-2</v>
      </c>
      <c r="C671" s="88">
        <v>36.867600000000003</v>
      </c>
      <c r="D671" s="88">
        <v>0.19436999999999999</v>
      </c>
      <c r="E671" s="76">
        <v>0</v>
      </c>
      <c r="F671" s="89" cm="1">
        <f t="array" ref="F671">5*LOG10(((c_light/1000/H_0_SAM)*(B671/60)*SUMPRODUCT($J$2:$AD$2,1/SQRT(Omega_m*(1+$J$1:$AD$1*B671)^3+Omega_L)))*(1+B671)*100000)</f>
        <v>37.051478805525797</v>
      </c>
      <c r="G671" s="89">
        <f t="shared" si="10"/>
        <v>0.18387880552579361</v>
      </c>
    </row>
    <row r="672" spans="1:7" x14ac:dyDescent="0.6">
      <c r="A672" s="76" t="s">
        <v>1324</v>
      </c>
      <c r="B672" s="87">
        <v>5.6140000000000002E-2</v>
      </c>
      <c r="C672" s="88">
        <v>36.810899999999997</v>
      </c>
      <c r="D672" s="88">
        <v>0.19316</v>
      </c>
      <c r="E672" s="76">
        <v>0</v>
      </c>
      <c r="F672" s="89" cm="1">
        <f t="array" ref="F672">5*LOG10(((c_light/1000/H_0_SAM)*(B672/60)*SUMPRODUCT($J$2:$AD$2,1/SQRT(Omega_m*(1+$J$1:$AD$1*B672)^3+Omega_L)))*(1+B672)*100000)</f>
        <v>37.081010783979231</v>
      </c>
      <c r="G672" s="89">
        <f t="shared" si="10"/>
        <v>0.27011078397923427</v>
      </c>
    </row>
    <row r="673" spans="1:7" x14ac:dyDescent="0.6">
      <c r="A673" s="76" t="s">
        <v>1325</v>
      </c>
      <c r="B673" s="87">
        <v>5.6529999999999997E-2</v>
      </c>
      <c r="C673" s="88">
        <v>36.909799999999997</v>
      </c>
      <c r="D673" s="88">
        <v>0.18504999999999999</v>
      </c>
      <c r="E673" s="76">
        <v>0</v>
      </c>
      <c r="F673" s="89" cm="1">
        <f t="array" ref="F673">5*LOG10(((c_light/1000/H_0_SAM)*(B673/60)*SUMPRODUCT($J$2:$AD$2,1/SQRT(Omega_m*(1+$J$1:$AD$1*B673)^3+Omega_L)))*(1+B673)*100000)</f>
        <v>37.096636563503111</v>
      </c>
      <c r="G673" s="89">
        <f t="shared" si="10"/>
        <v>0.18683656350311395</v>
      </c>
    </row>
    <row r="674" spans="1:7" x14ac:dyDescent="0.6">
      <c r="A674" s="76" t="s">
        <v>1326</v>
      </c>
      <c r="B674" s="87">
        <v>5.6930000000000001E-2</v>
      </c>
      <c r="C674" s="88">
        <v>37.039299999999997</v>
      </c>
      <c r="D674" s="88">
        <v>0.17630999999999999</v>
      </c>
      <c r="E674" s="76">
        <v>0</v>
      </c>
      <c r="F674" s="89" cm="1">
        <f t="array" ref="F674">5*LOG10(((c_light/1000/H_0_SAM)*(B674/60)*SUMPRODUCT($J$2:$AD$2,1/SQRT(Omega_m*(1+$J$1:$AD$1*B674)^3+Omega_L)))*(1+B674)*100000)</f>
        <v>37.112555299105885</v>
      </c>
      <c r="G674" s="89">
        <f t="shared" si="10"/>
        <v>7.3255299105888128E-2</v>
      </c>
    </row>
    <row r="675" spans="1:7" x14ac:dyDescent="0.6">
      <c r="A675" s="76" t="s">
        <v>1327</v>
      </c>
      <c r="B675" s="87">
        <v>5.7079999999999999E-2</v>
      </c>
      <c r="C675" s="88">
        <v>36.990299999999998</v>
      </c>
      <c r="D675" s="88">
        <v>0.17144999999999999</v>
      </c>
      <c r="E675" s="76">
        <v>0</v>
      </c>
      <c r="F675" s="89" cm="1">
        <f t="array" ref="F675">5*LOG10(((c_light/1000/H_0_SAM)*(B675/60)*SUMPRODUCT($J$2:$AD$2,1/SQRT(Omega_m*(1+$J$1:$AD$1*B675)^3+Omega_L)))*(1+B675)*100000)</f>
        <v>37.118497014289169</v>
      </c>
      <c r="G675" s="89">
        <f t="shared" si="10"/>
        <v>0.12819701428917085</v>
      </c>
    </row>
    <row r="676" spans="1:7" x14ac:dyDescent="0.6">
      <c r="A676" s="76" t="s">
        <v>1328</v>
      </c>
      <c r="B676" s="87">
        <v>5.7279999999999998E-2</v>
      </c>
      <c r="C676" s="88">
        <v>37.0687</v>
      </c>
      <c r="D676" s="88">
        <v>0.22131999999999999</v>
      </c>
      <c r="E676" s="76">
        <v>0</v>
      </c>
      <c r="F676" s="89" cm="1">
        <f t="array" ref="F676">5*LOG10(((c_light/1000/H_0_SAM)*(B676/60)*SUMPRODUCT($J$2:$AD$2,1/SQRT(Omega_m*(1+$J$1:$AD$1*B676)^3+Omega_L)))*(1+B676)*100000)</f>
        <v>37.126395909995729</v>
      </c>
      <c r="G676" s="89">
        <f t="shared" si="10"/>
        <v>5.7695909995729266E-2</v>
      </c>
    </row>
    <row r="677" spans="1:7" x14ac:dyDescent="0.6">
      <c r="A677" s="76" t="s">
        <v>1329</v>
      </c>
      <c r="B677" s="87">
        <v>5.824E-2</v>
      </c>
      <c r="C677" s="88">
        <v>36.982100000000003</v>
      </c>
      <c r="D677" s="88">
        <v>0.13815</v>
      </c>
      <c r="E677" s="76">
        <v>0</v>
      </c>
      <c r="F677" s="89" cm="1">
        <f t="array" ref="F677">5*LOG10(((c_light/1000/H_0_SAM)*(B677/60)*SUMPRODUCT($J$2:$AD$2,1/SQRT(Omega_m*(1+$J$1:$AD$1*B677)^3+Omega_L)))*(1+B677)*100000)</f>
        <v>37.163944078814872</v>
      </c>
      <c r="G677" s="89">
        <f t="shared" si="10"/>
        <v>0.18184407881486919</v>
      </c>
    </row>
    <row r="678" spans="1:7" x14ac:dyDescent="0.6">
      <c r="A678" s="76" t="s">
        <v>1329</v>
      </c>
      <c r="B678" s="87">
        <v>5.824E-2</v>
      </c>
      <c r="C678" s="88">
        <v>36.932400000000001</v>
      </c>
      <c r="D678" s="88">
        <v>0.14674000000000001</v>
      </c>
      <c r="E678" s="76">
        <v>0</v>
      </c>
      <c r="F678" s="89" cm="1">
        <f t="array" ref="F678">5*LOG10(((c_light/1000/H_0_SAM)*(B678/60)*SUMPRODUCT($J$2:$AD$2,1/SQRT(Omega_m*(1+$J$1:$AD$1*B678)^3+Omega_L)))*(1+B678)*100000)</f>
        <v>37.163944078814872</v>
      </c>
      <c r="G678" s="89">
        <f t="shared" si="10"/>
        <v>0.2315440788148706</v>
      </c>
    </row>
    <row r="679" spans="1:7" x14ac:dyDescent="0.6">
      <c r="A679" s="76" t="s">
        <v>1330</v>
      </c>
      <c r="B679" s="87">
        <v>5.8299999999999998E-2</v>
      </c>
      <c r="C679" s="88">
        <v>36.954500000000003</v>
      </c>
      <c r="D679" s="88">
        <v>0.18284</v>
      </c>
      <c r="E679" s="76">
        <v>0</v>
      </c>
      <c r="F679" s="89" cm="1">
        <f t="array" ref="F679">5*LOG10(((c_light/1000/H_0_SAM)*(B679/60)*SUMPRODUCT($J$2:$AD$2,1/SQRT(Omega_m*(1+$J$1:$AD$1*B679)^3+Omega_L)))*(1+B679)*100000)</f>
        <v>37.166270977032681</v>
      </c>
      <c r="G679" s="89">
        <f t="shared" si="10"/>
        <v>0.21177097703267833</v>
      </c>
    </row>
    <row r="680" spans="1:7" x14ac:dyDescent="0.6">
      <c r="A680" s="76" t="s">
        <v>1331</v>
      </c>
      <c r="B680" s="87">
        <v>5.8860000000000003E-2</v>
      </c>
      <c r="C680" s="88">
        <v>36.980200000000004</v>
      </c>
      <c r="D680" s="88">
        <v>0.21557000000000001</v>
      </c>
      <c r="E680" s="76">
        <v>0</v>
      </c>
      <c r="F680" s="89" cm="1">
        <f t="array" ref="F680">5*LOG10(((c_light/1000/H_0_SAM)*(B680/60)*SUMPRODUCT($J$2:$AD$2,1/SQRT(Omega_m*(1+$J$1:$AD$1*B680)^3+Omega_L)))*(1+B680)*100000)</f>
        <v>37.187878028625391</v>
      </c>
      <c r="G680" s="89">
        <f t="shared" si="10"/>
        <v>0.20767802862538787</v>
      </c>
    </row>
    <row r="681" spans="1:7" x14ac:dyDescent="0.6">
      <c r="A681" s="76" t="s">
        <v>1331</v>
      </c>
      <c r="B681" s="87">
        <v>5.8860000000000003E-2</v>
      </c>
      <c r="C681" s="88">
        <v>37.146000000000001</v>
      </c>
      <c r="D681" s="88">
        <v>0.25280000000000002</v>
      </c>
      <c r="E681" s="76">
        <v>0</v>
      </c>
      <c r="F681" s="89" cm="1">
        <f t="array" ref="F681">5*LOG10(((c_light/1000/H_0_SAM)*(B681/60)*SUMPRODUCT($J$2:$AD$2,1/SQRT(Omega_m*(1+$J$1:$AD$1*B681)^3+Omega_L)))*(1+B681)*100000)</f>
        <v>37.187878028625391</v>
      </c>
      <c r="G681" s="89">
        <f t="shared" si="10"/>
        <v>4.1878028625390584E-2</v>
      </c>
    </row>
    <row r="682" spans="1:7" x14ac:dyDescent="0.6">
      <c r="A682" s="76" t="s">
        <v>1332</v>
      </c>
      <c r="B682" s="87">
        <v>5.9740000000000001E-2</v>
      </c>
      <c r="C682" s="88">
        <v>36.3001</v>
      </c>
      <c r="D682" s="88">
        <v>0.61751999999999996</v>
      </c>
      <c r="E682" s="76">
        <v>0</v>
      </c>
      <c r="F682" s="89" cm="1">
        <f t="array" ref="F682">5*LOG10(((c_light/1000/H_0_SAM)*(B682/60)*SUMPRODUCT($J$2:$AD$2,1/SQRT(Omega_m*(1+$J$1:$AD$1*B682)^3+Omega_L)))*(1+B682)*100000)</f>
        <v>37.221434839737007</v>
      </c>
      <c r="G682" s="89">
        <f t="shared" si="10"/>
        <v>0.92133483973700692</v>
      </c>
    </row>
    <row r="683" spans="1:7" x14ac:dyDescent="0.6">
      <c r="A683" s="76" t="s">
        <v>1333</v>
      </c>
      <c r="B683" s="87">
        <v>6.0920000000000002E-2</v>
      </c>
      <c r="C683" s="88">
        <v>37.031999999999996</v>
      </c>
      <c r="D683" s="88">
        <v>0.17759</v>
      </c>
      <c r="E683" s="76">
        <v>0</v>
      </c>
      <c r="F683" s="89" cm="1">
        <f t="array" ref="F683">5*LOG10(((c_light/1000/H_0_SAM)*(B683/60)*SUMPRODUCT($J$2:$AD$2,1/SQRT(Omega_m*(1+$J$1:$AD$1*B683)^3+Omega_L)))*(1+B683)*100000)</f>
        <v>37.265691631601797</v>
      </c>
      <c r="G683" s="89">
        <f t="shared" si="10"/>
        <v>0.23369163160180051</v>
      </c>
    </row>
    <row r="684" spans="1:7" x14ac:dyDescent="0.6">
      <c r="A684" s="76" t="s">
        <v>1334</v>
      </c>
      <c r="B684" s="87">
        <v>6.0990000000000003E-2</v>
      </c>
      <c r="C684" s="88">
        <v>37.1631</v>
      </c>
      <c r="D684" s="88">
        <v>0.12392</v>
      </c>
      <c r="E684" s="76">
        <v>0</v>
      </c>
      <c r="F684" s="89" cm="1">
        <f t="array" ref="F684">5*LOG10(((c_light/1000/H_0_SAM)*(B684/60)*SUMPRODUCT($J$2:$AD$2,1/SQRT(Omega_m*(1+$J$1:$AD$1*B684)^3+Omega_L)))*(1+B684)*100000)</f>
        <v>37.268291023783192</v>
      </c>
      <c r="G684" s="89">
        <f t="shared" si="10"/>
        <v>0.10519102378319189</v>
      </c>
    </row>
    <row r="685" spans="1:7" x14ac:dyDescent="0.6">
      <c r="A685" s="76" t="s">
        <v>1334</v>
      </c>
      <c r="B685" s="87">
        <v>6.0990000000000003E-2</v>
      </c>
      <c r="C685" s="88">
        <v>37.192500000000003</v>
      </c>
      <c r="D685" s="88">
        <v>0.16056999999999999</v>
      </c>
      <c r="E685" s="76">
        <v>0</v>
      </c>
      <c r="F685" s="89" cm="1">
        <f t="array" ref="F685">5*LOG10(((c_light/1000/H_0_SAM)*(B685/60)*SUMPRODUCT($J$2:$AD$2,1/SQRT(Omega_m*(1+$J$1:$AD$1*B685)^3+Omega_L)))*(1+B685)*100000)</f>
        <v>37.268291023783192</v>
      </c>
      <c r="G685" s="89">
        <f t="shared" si="10"/>
        <v>7.579102378318936E-2</v>
      </c>
    </row>
    <row r="686" spans="1:7" x14ac:dyDescent="0.6">
      <c r="A686" s="76" t="s">
        <v>1335</v>
      </c>
      <c r="B686" s="87">
        <v>6.1210000000000001E-2</v>
      </c>
      <c r="C686" s="88">
        <v>37.138300000000001</v>
      </c>
      <c r="D686" s="88">
        <v>0.19800999999999999</v>
      </c>
      <c r="E686" s="76">
        <v>0</v>
      </c>
      <c r="F686" s="89" cm="1">
        <f t="array" ref="F686">5*LOG10(((c_light/1000/H_0_SAM)*(B686/60)*SUMPRODUCT($J$2:$AD$2,1/SQRT(Omega_m*(1+$J$1:$AD$1*B686)^3+Omega_L)))*(1+B686)*100000)</f>
        <v>37.276441879939505</v>
      </c>
      <c r="G686" s="89">
        <f t="shared" si="10"/>
        <v>0.13814187993950355</v>
      </c>
    </row>
    <row r="687" spans="1:7" x14ac:dyDescent="0.6">
      <c r="A687" s="76" t="s">
        <v>1336</v>
      </c>
      <c r="B687" s="87">
        <v>6.1370000000000001E-2</v>
      </c>
      <c r="C687" s="88">
        <v>36.960799999999999</v>
      </c>
      <c r="D687" s="88">
        <v>0.19614999999999999</v>
      </c>
      <c r="E687" s="76">
        <v>0</v>
      </c>
      <c r="F687" s="89" cm="1">
        <f t="array" ref="F687">5*LOG10(((c_light/1000/H_0_SAM)*(B687/60)*SUMPRODUCT($J$2:$AD$2,1/SQRT(Omega_m*(1+$J$1:$AD$1*B687)^3+Omega_L)))*(1+B687)*100000)</f>
        <v>37.282352077473021</v>
      </c>
      <c r="G687" s="89">
        <f t="shared" si="10"/>
        <v>0.32155207747302228</v>
      </c>
    </row>
    <row r="688" spans="1:7" x14ac:dyDescent="0.6">
      <c r="A688" s="76" t="s">
        <v>1336</v>
      </c>
      <c r="B688" s="87">
        <v>6.1370000000000001E-2</v>
      </c>
      <c r="C688" s="88">
        <v>36.969099999999997</v>
      </c>
      <c r="D688" s="88">
        <v>0.14199000000000001</v>
      </c>
      <c r="E688" s="76">
        <v>0</v>
      </c>
      <c r="F688" s="89" cm="1">
        <f t="array" ref="F688">5*LOG10(((c_light/1000/H_0_SAM)*(B688/60)*SUMPRODUCT($J$2:$AD$2,1/SQRT(Omega_m*(1+$J$1:$AD$1*B688)^3+Omega_L)))*(1+B688)*100000)</f>
        <v>37.282352077473021</v>
      </c>
      <c r="G688" s="89">
        <f t="shared" si="10"/>
        <v>0.31325207747302386</v>
      </c>
    </row>
    <row r="689" spans="1:7" x14ac:dyDescent="0.6">
      <c r="A689" s="76" t="s">
        <v>1337</v>
      </c>
      <c r="B689" s="87">
        <v>6.1530000000000001E-2</v>
      </c>
      <c r="C689" s="88">
        <v>37.0747</v>
      </c>
      <c r="D689" s="88">
        <v>0.18332000000000001</v>
      </c>
      <c r="E689" s="76">
        <v>0</v>
      </c>
      <c r="F689" s="89" cm="1">
        <f t="array" ref="F689">5*LOG10(((c_light/1000/H_0_SAM)*(B689/60)*SUMPRODUCT($J$2:$AD$2,1/SQRT(Omega_m*(1+$J$1:$AD$1*B689)^3+Omega_L)))*(1+B689)*100000)</f>
        <v>37.288247458557748</v>
      </c>
      <c r="G689" s="89">
        <f t="shared" si="10"/>
        <v>0.21354745855774837</v>
      </c>
    </row>
    <row r="690" spans="1:7" x14ac:dyDescent="0.6">
      <c r="A690" s="76" t="s">
        <v>1338</v>
      </c>
      <c r="B690" s="87">
        <v>6.3719999999999999E-2</v>
      </c>
      <c r="C690" s="88">
        <v>37.351700000000001</v>
      </c>
      <c r="D690" s="88">
        <v>0.20652000000000001</v>
      </c>
      <c r="E690" s="76">
        <v>0</v>
      </c>
      <c r="F690" s="89" cm="1">
        <f t="array" ref="F690">5*LOG10(((c_light/1000/H_0_SAM)*(B690/60)*SUMPRODUCT($J$2:$AD$2,1/SQRT(Omega_m*(1+$J$1:$AD$1*B690)^3+Omega_L)))*(1+B690)*100000)</f>
        <v>37.367490508621387</v>
      </c>
      <c r="G690" s="89">
        <f t="shared" si="10"/>
        <v>1.5790508621385868E-2</v>
      </c>
    </row>
    <row r="691" spans="1:7" x14ac:dyDescent="0.6">
      <c r="A691" s="76" t="s">
        <v>1339</v>
      </c>
      <c r="B691" s="87">
        <v>6.3839999999999994E-2</v>
      </c>
      <c r="C691" s="88">
        <v>37.0197</v>
      </c>
      <c r="D691" s="88">
        <v>0.15584999999999999</v>
      </c>
      <c r="E691" s="76">
        <v>0</v>
      </c>
      <c r="F691" s="89" cm="1">
        <f t="array" ref="F691">5*LOG10(((c_light/1000/H_0_SAM)*(B691/60)*SUMPRODUCT($J$2:$AD$2,1/SQRT(Omega_m*(1+$J$1:$AD$1*B691)^3+Omega_L)))*(1+B691)*100000)</f>
        <v>37.371756515136639</v>
      </c>
      <c r="G691" s="89">
        <f t="shared" si="10"/>
        <v>0.35205651513663838</v>
      </c>
    </row>
    <row r="692" spans="1:7" x14ac:dyDescent="0.6">
      <c r="A692" s="76" t="s">
        <v>1340</v>
      </c>
      <c r="B692" s="87">
        <v>6.4460000000000003E-2</v>
      </c>
      <c r="C692" s="88">
        <v>37.078600000000002</v>
      </c>
      <c r="D692" s="88">
        <v>0.15443000000000001</v>
      </c>
      <c r="E692" s="76">
        <v>0</v>
      </c>
      <c r="F692" s="89" cm="1">
        <f t="array" ref="F692">5*LOG10(((c_light/1000/H_0_SAM)*(B692/60)*SUMPRODUCT($J$2:$AD$2,1/SQRT(Omega_m*(1+$J$1:$AD$1*B692)^3+Omega_L)))*(1+B692)*100000)</f>
        <v>37.393675452488409</v>
      </c>
      <c r="G692" s="89">
        <f t="shared" si="10"/>
        <v>0.31507545248840785</v>
      </c>
    </row>
    <row r="693" spans="1:7" x14ac:dyDescent="0.6">
      <c r="A693" s="76" t="s">
        <v>1341</v>
      </c>
      <c r="B693" s="87">
        <v>6.5329999999999999E-2</v>
      </c>
      <c r="C693" s="88">
        <v>37.085099999999997</v>
      </c>
      <c r="D693" s="88">
        <v>0.15303</v>
      </c>
      <c r="E693" s="76">
        <v>0</v>
      </c>
      <c r="F693" s="89" cm="1">
        <f t="array" ref="F693">5*LOG10(((c_light/1000/H_0_SAM)*(B693/60)*SUMPRODUCT($J$2:$AD$2,1/SQRT(Omega_m*(1+$J$1:$AD$1*B693)^3+Omega_L)))*(1+B693)*100000)</f>
        <v>37.424093372998534</v>
      </c>
      <c r="G693" s="89">
        <f t="shared" si="10"/>
        <v>0.33899337299853727</v>
      </c>
    </row>
    <row r="694" spans="1:7" x14ac:dyDescent="0.6">
      <c r="A694" s="76" t="s">
        <v>1342</v>
      </c>
      <c r="B694" s="87">
        <v>6.6269999999999996E-2</v>
      </c>
      <c r="C694" s="88">
        <v>37.361699999999999</v>
      </c>
      <c r="D694" s="88">
        <v>0.20330999999999999</v>
      </c>
      <c r="E694" s="76">
        <v>0</v>
      </c>
      <c r="F694" s="89" cm="1">
        <f t="array" ref="F694">5*LOG10(((c_light/1000/H_0_SAM)*(B694/60)*SUMPRODUCT($J$2:$AD$2,1/SQRT(Omega_m*(1+$J$1:$AD$1*B694)^3+Omega_L)))*(1+B694)*100000)</f>
        <v>37.456524297163519</v>
      </c>
      <c r="G694" s="89">
        <f t="shared" si="10"/>
        <v>9.4824297163519589E-2</v>
      </c>
    </row>
    <row r="695" spans="1:7" x14ac:dyDescent="0.6">
      <c r="A695" s="76">
        <v>6057</v>
      </c>
      <c r="B695" s="87">
        <v>6.6540000000000002E-2</v>
      </c>
      <c r="C695" s="88">
        <v>37.162700000000001</v>
      </c>
      <c r="D695" s="88">
        <v>0.29619000000000001</v>
      </c>
      <c r="E695" s="76">
        <v>0</v>
      </c>
      <c r="F695" s="89" cm="1">
        <f t="array" ref="F695">5*LOG10(((c_light/1000/H_0_SAM)*(B695/60)*SUMPRODUCT($J$2:$AD$2,1/SQRT(Omega_m*(1+$J$1:$AD$1*B695)^3+Omega_L)))*(1+B695)*100000)</f>
        <v>37.465757886095368</v>
      </c>
      <c r="G695" s="89">
        <f t="shared" si="10"/>
        <v>0.30305788609536677</v>
      </c>
    </row>
    <row r="696" spans="1:7" x14ac:dyDescent="0.6">
      <c r="A696" s="76" t="s">
        <v>1343</v>
      </c>
      <c r="B696" s="87">
        <v>6.7110000000000003E-2</v>
      </c>
      <c r="C696" s="88">
        <v>37.423699999999997</v>
      </c>
      <c r="D696" s="88">
        <v>0.19441</v>
      </c>
      <c r="E696" s="76">
        <v>0</v>
      </c>
      <c r="F696" s="89" cm="1">
        <f t="array" ref="F696">5*LOG10(((c_light/1000/H_0_SAM)*(B696/60)*SUMPRODUCT($J$2:$AD$2,1/SQRT(Omega_m*(1+$J$1:$AD$1*B696)^3+Omega_L)))*(1+B696)*100000)</f>
        <v>37.485133432434864</v>
      </c>
      <c r="G696" s="89">
        <f t="shared" si="10"/>
        <v>6.1433432434867541E-2</v>
      </c>
    </row>
    <row r="697" spans="1:7" x14ac:dyDescent="0.6">
      <c r="A697" s="76" t="s">
        <v>1344</v>
      </c>
      <c r="B697" s="87">
        <v>6.7250000000000004E-2</v>
      </c>
      <c r="C697" s="88">
        <v>37.234400000000001</v>
      </c>
      <c r="D697" s="88">
        <v>0.20301</v>
      </c>
      <c r="E697" s="76">
        <v>0</v>
      </c>
      <c r="F697" s="89" cm="1">
        <f t="array" ref="F697">5*LOG10(((c_light/1000/H_0_SAM)*(B697/60)*SUMPRODUCT($J$2:$AD$2,1/SQRT(Omega_m*(1+$J$1:$AD$1*B697)^3+Omega_L)))*(1+B697)*100000)</f>
        <v>37.489868164160505</v>
      </c>
      <c r="G697" s="89">
        <f t="shared" si="10"/>
        <v>0.25546816416050433</v>
      </c>
    </row>
    <row r="698" spans="1:7" x14ac:dyDescent="0.6">
      <c r="A698" s="76" t="s">
        <v>1345</v>
      </c>
      <c r="B698" s="87">
        <v>6.7860000000000004E-2</v>
      </c>
      <c r="C698" s="88">
        <v>37.493499999999997</v>
      </c>
      <c r="D698" s="88">
        <v>0.1905</v>
      </c>
      <c r="E698" s="76">
        <v>0</v>
      </c>
      <c r="F698" s="89" cm="1">
        <f t="array" ref="F698">5*LOG10(((c_light/1000/H_0_SAM)*(B698/60)*SUMPRODUCT($J$2:$AD$2,1/SQRT(Omega_m*(1+$J$1:$AD$1*B698)^3+Omega_L)))*(1+B698)*100000)</f>
        <v>37.510388242814571</v>
      </c>
      <c r="G698" s="89">
        <f t="shared" si="10"/>
        <v>1.6888242814573573E-2</v>
      </c>
    </row>
    <row r="699" spans="1:7" x14ac:dyDescent="0.6">
      <c r="A699" s="76" t="s">
        <v>1346</v>
      </c>
      <c r="B699" s="87">
        <v>6.8440000000000001E-2</v>
      </c>
      <c r="C699" s="88">
        <v>37.238100000000003</v>
      </c>
      <c r="D699" s="88">
        <v>0.19122</v>
      </c>
      <c r="E699" s="76">
        <v>0</v>
      </c>
      <c r="F699" s="89" cm="1">
        <f t="array" ref="F699">5*LOG10(((c_light/1000/H_0_SAM)*(B699/60)*SUMPRODUCT($J$2:$AD$2,1/SQRT(Omega_m*(1+$J$1:$AD$1*B699)^3+Omega_L)))*(1+B699)*100000)</f>
        <v>37.529735598773691</v>
      </c>
      <c r="G699" s="89">
        <f t="shared" si="10"/>
        <v>0.29163559877368783</v>
      </c>
    </row>
    <row r="700" spans="1:7" x14ac:dyDescent="0.6">
      <c r="A700" s="76" t="s">
        <v>1347</v>
      </c>
      <c r="B700" s="87">
        <v>6.8860000000000005E-2</v>
      </c>
      <c r="C700" s="88">
        <v>37.421300000000002</v>
      </c>
      <c r="D700" s="88">
        <v>0.15931999999999999</v>
      </c>
      <c r="E700" s="76">
        <v>0</v>
      </c>
      <c r="F700" s="89" cm="1">
        <f t="array" ref="F700">5*LOG10(((c_light/1000/H_0_SAM)*(B700/60)*SUMPRODUCT($J$2:$AD$2,1/SQRT(Omega_m*(1+$J$1:$AD$1*B700)^3+Omega_L)))*(1+B700)*100000)</f>
        <v>37.543647786980252</v>
      </c>
      <c r="G700" s="89">
        <f t="shared" si="10"/>
        <v>0.1223477869802494</v>
      </c>
    </row>
    <row r="701" spans="1:7" x14ac:dyDescent="0.6">
      <c r="A701" s="76" t="s">
        <v>1348</v>
      </c>
      <c r="B701" s="87">
        <v>6.8970000000000004E-2</v>
      </c>
      <c r="C701" s="88">
        <v>37.281700000000001</v>
      </c>
      <c r="D701" s="88">
        <v>0.17413999999999999</v>
      </c>
      <c r="E701" s="76">
        <v>0</v>
      </c>
      <c r="F701" s="89" cm="1">
        <f t="array" ref="F701">5*LOG10(((c_light/1000/H_0_SAM)*(B701/60)*SUMPRODUCT($J$2:$AD$2,1/SQRT(Omega_m*(1+$J$1:$AD$1*B701)^3+Omega_L)))*(1+B701)*100000)</f>
        <v>37.547278002267575</v>
      </c>
      <c r="G701" s="89">
        <f t="shared" si="10"/>
        <v>0.26557800226757422</v>
      </c>
    </row>
    <row r="702" spans="1:7" x14ac:dyDescent="0.6">
      <c r="A702" s="76" t="s">
        <v>1349</v>
      </c>
      <c r="B702" s="87">
        <v>7.0230000000000001E-2</v>
      </c>
      <c r="C702" s="88">
        <v>37.294400000000003</v>
      </c>
      <c r="D702" s="88">
        <v>0.27767999999999998</v>
      </c>
      <c r="E702" s="76">
        <v>0</v>
      </c>
      <c r="F702" s="89" cm="1">
        <f t="array" ref="F702">5*LOG10(((c_light/1000/H_0_SAM)*(B702/60)*SUMPRODUCT($J$2:$AD$2,1/SQRT(Omega_m*(1+$J$1:$AD$1*B702)^3+Omega_L)))*(1+B702)*100000)</f>
        <v>37.588468912148237</v>
      </c>
      <c r="G702" s="89">
        <f t="shared" si="10"/>
        <v>0.29406891214823361</v>
      </c>
    </row>
    <row r="703" spans="1:7" x14ac:dyDescent="0.6">
      <c r="A703" s="76" t="s">
        <v>1350</v>
      </c>
      <c r="B703" s="87">
        <v>7.0559999999999998E-2</v>
      </c>
      <c r="C703" s="88">
        <v>37.296100000000003</v>
      </c>
      <c r="D703" s="88">
        <v>0.22691</v>
      </c>
      <c r="E703" s="76">
        <v>0</v>
      </c>
      <c r="F703" s="89" cm="1">
        <f t="array" ref="F703">5*LOG10(((c_light/1000/H_0_SAM)*(B703/60)*SUMPRODUCT($J$2:$AD$2,1/SQRT(Omega_m*(1+$J$1:$AD$1*B703)^3+Omega_L)))*(1+B703)*100000)</f>
        <v>37.599139900565987</v>
      </c>
      <c r="G703" s="89">
        <f t="shared" si="10"/>
        <v>0.30303990056598451</v>
      </c>
    </row>
    <row r="704" spans="1:7" x14ac:dyDescent="0.6">
      <c r="A704" s="76" t="s">
        <v>1350</v>
      </c>
      <c r="B704" s="87">
        <v>7.0559999999999998E-2</v>
      </c>
      <c r="C704" s="88">
        <v>37.277500000000003</v>
      </c>
      <c r="D704" s="88">
        <v>0.21232000000000001</v>
      </c>
      <c r="E704" s="76">
        <v>0</v>
      </c>
      <c r="F704" s="89" cm="1">
        <f t="array" ref="F704">5*LOG10(((c_light/1000/H_0_SAM)*(B704/60)*SUMPRODUCT($J$2:$AD$2,1/SQRT(Omega_m*(1+$J$1:$AD$1*B704)^3+Omega_L)))*(1+B704)*100000)</f>
        <v>37.599139900565987</v>
      </c>
      <c r="G704" s="89">
        <f t="shared" si="10"/>
        <v>0.32163990056598379</v>
      </c>
    </row>
    <row r="705" spans="1:7" x14ac:dyDescent="0.6">
      <c r="A705" s="76" t="s">
        <v>1351</v>
      </c>
      <c r="B705" s="87">
        <v>7.0730000000000001E-2</v>
      </c>
      <c r="C705" s="88">
        <v>37.478700000000003</v>
      </c>
      <c r="D705" s="88">
        <v>0.17618</v>
      </c>
      <c r="E705" s="76">
        <v>0</v>
      </c>
      <c r="F705" s="89" cm="1">
        <f t="array" ref="F705">5*LOG10(((c_light/1000/H_0_SAM)*(B705/60)*SUMPRODUCT($J$2:$AD$2,1/SQRT(Omega_m*(1+$J$1:$AD$1*B705)^3+Omega_L)))*(1+B705)*100000)</f>
        <v>37.604618419577868</v>
      </c>
      <c r="G705" s="89">
        <f t="shared" si="10"/>
        <v>0.12591841957786443</v>
      </c>
    </row>
    <row r="706" spans="1:7" x14ac:dyDescent="0.6">
      <c r="A706" s="76" t="s">
        <v>1352</v>
      </c>
      <c r="B706" s="87">
        <v>7.0830000000000004E-2</v>
      </c>
      <c r="C706" s="88">
        <v>37.481400000000001</v>
      </c>
      <c r="D706" s="88">
        <v>0.44707000000000002</v>
      </c>
      <c r="E706" s="76">
        <v>0</v>
      </c>
      <c r="F706" s="89" cm="1">
        <f t="array" ref="F706">5*LOG10(((c_light/1000/H_0_SAM)*(B706/60)*SUMPRODUCT($J$2:$AD$2,1/SQRT(Omega_m*(1+$J$1:$AD$1*B706)^3+Omega_L)))*(1+B706)*100000)</f>
        <v>37.607835184881523</v>
      </c>
      <c r="G706" s="89">
        <f t="shared" si="10"/>
        <v>0.12643518488152239</v>
      </c>
    </row>
    <row r="707" spans="1:7" x14ac:dyDescent="0.6">
      <c r="A707" s="76" t="s">
        <v>1353</v>
      </c>
      <c r="B707" s="87">
        <v>7.0889999999999995E-2</v>
      </c>
      <c r="C707" s="88">
        <v>37.454300000000003</v>
      </c>
      <c r="D707" s="88">
        <v>0.24781</v>
      </c>
      <c r="E707" s="76">
        <v>0</v>
      </c>
      <c r="F707" s="89" cm="1">
        <f t="array" ref="F707">5*LOG10(((c_light/1000/H_0_SAM)*(B707/60)*SUMPRODUCT($J$2:$AD$2,1/SQRT(Omega_m*(1+$J$1:$AD$1*B707)^3+Omega_L)))*(1+B707)*100000)</f>
        <v>37.609763155273171</v>
      </c>
      <c r="G707" s="89">
        <f t="shared" si="10"/>
        <v>0.15546315527316779</v>
      </c>
    </row>
    <row r="708" spans="1:7" x14ac:dyDescent="0.6">
      <c r="A708" s="76">
        <v>470043</v>
      </c>
      <c r="B708" s="87">
        <v>7.0900000000000005E-2</v>
      </c>
      <c r="C708" s="88">
        <v>37.729100000000003</v>
      </c>
      <c r="D708" s="88">
        <v>0.50183</v>
      </c>
      <c r="E708" s="76">
        <v>0</v>
      </c>
      <c r="F708" s="89" cm="1">
        <f t="array" ref="F708">5*LOG10(((c_light/1000/H_0_SAM)*(B708/60)*SUMPRODUCT($J$2:$AD$2,1/SQRT(Omega_m*(1+$J$1:$AD$1*B708)^3+Omega_L)))*(1+B708)*100000)</f>
        <v>37.610084331606537</v>
      </c>
      <c r="G708" s="89">
        <f t="shared" si="10"/>
        <v>-0.119015668393466</v>
      </c>
    </row>
    <row r="709" spans="1:7" x14ac:dyDescent="0.6">
      <c r="A709" s="76" t="s">
        <v>1354</v>
      </c>
      <c r="B709" s="87">
        <v>7.0910000000000001E-2</v>
      </c>
      <c r="C709" s="88">
        <v>37.371200000000002</v>
      </c>
      <c r="D709" s="88">
        <v>0.22825999999999999</v>
      </c>
      <c r="E709" s="76">
        <v>0</v>
      </c>
      <c r="F709" s="89" cm="1">
        <f t="array" ref="F709">5*LOG10(((c_light/1000/H_0_SAM)*(B709/60)*SUMPRODUCT($J$2:$AD$2,1/SQRT(Omega_m*(1+$J$1:$AD$1*B709)^3+Omega_L)))*(1+B709)*100000)</f>
        <v>37.610405464525229</v>
      </c>
      <c r="G709" s="89">
        <f t="shared" si="10"/>
        <v>0.23920546452522728</v>
      </c>
    </row>
    <row r="710" spans="1:7" x14ac:dyDescent="0.6">
      <c r="A710" s="76" t="s">
        <v>1355</v>
      </c>
      <c r="B710" s="87">
        <v>7.1160000000000001E-2</v>
      </c>
      <c r="C710" s="88">
        <v>37.355200000000004</v>
      </c>
      <c r="D710" s="88">
        <v>0.19600999999999999</v>
      </c>
      <c r="E710" s="76">
        <v>0</v>
      </c>
      <c r="F710" s="89" cm="1">
        <f t="array" ref="F710">5*LOG10(((c_light/1000/H_0_SAM)*(B710/60)*SUMPRODUCT($J$2:$AD$2,1/SQRT(Omega_m*(1+$J$1:$AD$1*B710)^3+Omega_L)))*(1+B710)*100000)</f>
        <v>37.618419713278179</v>
      </c>
      <c r="G710" s="89">
        <f t="shared" ref="G710:G773" si="11">F710-C710</f>
        <v>0.2632197132781755</v>
      </c>
    </row>
    <row r="711" spans="1:7" x14ac:dyDescent="0.6">
      <c r="A711" s="76" t="s">
        <v>1356</v>
      </c>
      <c r="B711" s="87">
        <v>7.1580000000000005E-2</v>
      </c>
      <c r="C711" s="88">
        <v>37.249400000000001</v>
      </c>
      <c r="D711" s="88">
        <v>0.16106999999999999</v>
      </c>
      <c r="E711" s="76">
        <v>0</v>
      </c>
      <c r="F711" s="89" cm="1">
        <f t="array" ref="F711">5*LOG10(((c_light/1000/H_0_SAM)*(B711/60)*SUMPRODUCT($J$2:$AD$2,1/SQRT(Omega_m*(1+$J$1:$AD$1*B711)^3+Omega_L)))*(1+B711)*100000)</f>
        <v>37.631823105544413</v>
      </c>
      <c r="G711" s="89">
        <f t="shared" si="11"/>
        <v>0.38242310554441161</v>
      </c>
    </row>
    <row r="712" spans="1:7" x14ac:dyDescent="0.6">
      <c r="A712" s="76">
        <v>370566</v>
      </c>
      <c r="B712" s="87">
        <v>7.1669999999999998E-2</v>
      </c>
      <c r="C712" s="88">
        <v>37.415500000000002</v>
      </c>
      <c r="D712" s="88">
        <v>0.20896000000000001</v>
      </c>
      <c r="E712" s="76">
        <v>0</v>
      </c>
      <c r="F712" s="89" cm="1">
        <f t="array" ref="F712">5*LOG10(((c_light/1000/H_0_SAM)*(B712/60)*SUMPRODUCT($J$2:$AD$2,1/SQRT(Omega_m*(1+$J$1:$AD$1*B712)^3+Omega_L)))*(1+B712)*100000)</f>
        <v>37.634685454847997</v>
      </c>
      <c r="G712" s="89">
        <f t="shared" si="11"/>
        <v>0.21918545484799523</v>
      </c>
    </row>
    <row r="713" spans="1:7" x14ac:dyDescent="0.6">
      <c r="A713" s="76" t="s">
        <v>1357</v>
      </c>
      <c r="B713" s="87">
        <v>7.1929999999999994E-2</v>
      </c>
      <c r="C713" s="88">
        <v>37.561799999999998</v>
      </c>
      <c r="D713" s="88">
        <v>0.18082000000000001</v>
      </c>
      <c r="E713" s="76">
        <v>0</v>
      </c>
      <c r="F713" s="89" cm="1">
        <f t="array" ref="F713">5*LOG10(((c_light/1000/H_0_SAM)*(B713/60)*SUMPRODUCT($J$2:$AD$2,1/SQRT(Omega_m*(1+$J$1:$AD$1*B713)^3+Omega_L)))*(1+B713)*100000)</f>
        <v>37.642935160808939</v>
      </c>
      <c r="G713" s="89">
        <f t="shared" si="11"/>
        <v>8.1135160808941009E-2</v>
      </c>
    </row>
    <row r="714" spans="1:7" x14ac:dyDescent="0.6">
      <c r="A714" s="76" t="s">
        <v>1358</v>
      </c>
      <c r="B714" s="87">
        <v>7.2220000000000006E-2</v>
      </c>
      <c r="C714" s="88">
        <v>37.631900000000002</v>
      </c>
      <c r="D714" s="88">
        <v>0.19969999999999999</v>
      </c>
      <c r="E714" s="76">
        <v>0</v>
      </c>
      <c r="F714" s="89" cm="1">
        <f t="array" ref="F714">5*LOG10(((c_light/1000/H_0_SAM)*(B714/60)*SUMPRODUCT($J$2:$AD$2,1/SQRT(Omega_m*(1+$J$1:$AD$1*B714)^3+Omega_L)))*(1+B714)*100000)</f>
        <v>37.652103121672184</v>
      </c>
      <c r="G714" s="89">
        <f t="shared" si="11"/>
        <v>2.0203121672182078E-2</v>
      </c>
    </row>
    <row r="715" spans="1:7" x14ac:dyDescent="0.6">
      <c r="A715" s="76" t="s">
        <v>1359</v>
      </c>
      <c r="B715" s="87">
        <v>7.2520000000000001E-2</v>
      </c>
      <c r="C715" s="88">
        <v>37.622500000000002</v>
      </c>
      <c r="D715" s="88">
        <v>0.30475999999999998</v>
      </c>
      <c r="E715" s="76">
        <v>0</v>
      </c>
      <c r="F715" s="89" cm="1">
        <f t="array" ref="F715">5*LOG10(((c_light/1000/H_0_SAM)*(B715/60)*SUMPRODUCT($J$2:$AD$2,1/SQRT(Omega_m*(1+$J$1:$AD$1*B715)^3+Omega_L)))*(1+B715)*100000)</f>
        <v>37.661550185433555</v>
      </c>
      <c r="G715" s="89">
        <f t="shared" si="11"/>
        <v>3.9050185433552542E-2</v>
      </c>
    </row>
    <row r="716" spans="1:7" x14ac:dyDescent="0.6">
      <c r="A716" s="76" t="s">
        <v>1360</v>
      </c>
      <c r="B716" s="87">
        <v>7.3929999999999996E-2</v>
      </c>
      <c r="C716" s="88">
        <v>37.5535</v>
      </c>
      <c r="D716" s="88">
        <v>0.17649999999999999</v>
      </c>
      <c r="E716" s="76">
        <v>0</v>
      </c>
      <c r="F716" s="89" cm="1">
        <f t="array" ref="F716">5*LOG10(((c_light/1000/H_0_SAM)*(B716/60)*SUMPRODUCT($J$2:$AD$2,1/SQRT(Omega_m*(1+$J$1:$AD$1*B716)^3+Omega_L)))*(1+B716)*100000)</f>
        <v>37.705456018300268</v>
      </c>
      <c r="G716" s="89">
        <f t="shared" si="11"/>
        <v>0.15195601830026817</v>
      </c>
    </row>
    <row r="717" spans="1:7" x14ac:dyDescent="0.6">
      <c r="A717" s="76" t="s">
        <v>1361</v>
      </c>
      <c r="B717" s="87">
        <v>7.4399999999999994E-2</v>
      </c>
      <c r="C717" s="88">
        <v>37.434600000000003</v>
      </c>
      <c r="D717" s="88">
        <v>0.22205</v>
      </c>
      <c r="E717" s="76">
        <v>0</v>
      </c>
      <c r="F717" s="89" cm="1">
        <f t="array" ref="F717">5*LOG10(((c_light/1000/H_0_SAM)*(B717/60)*SUMPRODUCT($J$2:$AD$2,1/SQRT(Omega_m*(1+$J$1:$AD$1*B717)^3+Omega_L)))*(1+B717)*100000)</f>
        <v>37.719913304946957</v>
      </c>
      <c r="G717" s="89">
        <f t="shared" si="11"/>
        <v>0.28531330494695339</v>
      </c>
    </row>
    <row r="718" spans="1:7" x14ac:dyDescent="0.6">
      <c r="A718" s="76" t="s">
        <v>1362</v>
      </c>
      <c r="B718" s="87">
        <v>7.4459999999999998E-2</v>
      </c>
      <c r="C718" s="88">
        <v>37.450099999999999</v>
      </c>
      <c r="D718" s="88">
        <v>0.19212000000000001</v>
      </c>
      <c r="E718" s="76">
        <v>0</v>
      </c>
      <c r="F718" s="89" cm="1">
        <f t="array" ref="F718">5*LOG10(((c_light/1000/H_0_SAM)*(B718/60)*SUMPRODUCT($J$2:$AD$2,1/SQRT(Omega_m*(1+$J$1:$AD$1*B718)^3+Omega_L)))*(1+B718)*100000)</f>
        <v>37.721752621295032</v>
      </c>
      <c r="G718" s="89">
        <f t="shared" si="11"/>
        <v>0.27165262129503276</v>
      </c>
    </row>
    <row r="719" spans="1:7" x14ac:dyDescent="0.6">
      <c r="A719" s="76">
        <v>7876</v>
      </c>
      <c r="B719" s="87">
        <v>7.5200000000000003E-2</v>
      </c>
      <c r="C719" s="88">
        <v>37.476300000000002</v>
      </c>
      <c r="D719" s="88">
        <v>0.17976</v>
      </c>
      <c r="E719" s="76">
        <v>0</v>
      </c>
      <c r="F719" s="89" cm="1">
        <f t="array" ref="F719">5*LOG10(((c_light/1000/H_0_SAM)*(B719/60)*SUMPRODUCT($J$2:$AD$2,1/SQRT(Omega_m*(1+$J$1:$AD$1*B719)^3+Omega_L)))*(1+B719)*100000)</f>
        <v>37.744321655135309</v>
      </c>
      <c r="G719" s="89">
        <f t="shared" si="11"/>
        <v>0.26802165513530696</v>
      </c>
    </row>
    <row r="720" spans="1:7" x14ac:dyDescent="0.6">
      <c r="A720" s="76" t="s">
        <v>1363</v>
      </c>
      <c r="B720" s="87">
        <v>7.5200000000000003E-2</v>
      </c>
      <c r="C720" s="88">
        <v>37.565600000000003</v>
      </c>
      <c r="D720" s="88">
        <v>0.15498999999999999</v>
      </c>
      <c r="E720" s="76">
        <v>0</v>
      </c>
      <c r="F720" s="89" cm="1">
        <f t="array" ref="F720">5*LOG10(((c_light/1000/H_0_SAM)*(B720/60)*SUMPRODUCT($J$2:$AD$2,1/SQRT(Omega_m*(1+$J$1:$AD$1*B720)^3+Omega_L)))*(1+B720)*100000)</f>
        <v>37.744321655135309</v>
      </c>
      <c r="G720" s="89">
        <f t="shared" si="11"/>
        <v>0.17872165513530547</v>
      </c>
    </row>
    <row r="721" spans="1:7" x14ac:dyDescent="0.6">
      <c r="A721" s="76" t="s">
        <v>1364</v>
      </c>
      <c r="B721" s="87">
        <v>7.5600000000000001E-2</v>
      </c>
      <c r="C721" s="88">
        <v>37.8142</v>
      </c>
      <c r="D721" s="88">
        <v>0.28915000000000002</v>
      </c>
      <c r="E721" s="76">
        <v>0</v>
      </c>
      <c r="F721" s="89" cm="1">
        <f t="array" ref="F721">5*LOG10(((c_light/1000/H_0_SAM)*(B721/60)*SUMPRODUCT($J$2:$AD$2,1/SQRT(Omega_m*(1+$J$1:$AD$1*B721)^3+Omega_L)))*(1+B721)*100000)</f>
        <v>37.756432825851832</v>
      </c>
      <c r="G721" s="89">
        <f t="shared" si="11"/>
        <v>-5.776717414816801E-2</v>
      </c>
    </row>
    <row r="722" spans="1:7" x14ac:dyDescent="0.6">
      <c r="A722" s="76" t="s">
        <v>1365</v>
      </c>
      <c r="B722" s="87">
        <v>7.5749999999999998E-2</v>
      </c>
      <c r="C722" s="88">
        <v>37.546100000000003</v>
      </c>
      <c r="D722" s="88">
        <v>0.21717</v>
      </c>
      <c r="E722" s="76">
        <v>0</v>
      </c>
      <c r="F722" s="89" cm="1">
        <f t="array" ref="F722">5*LOG10(((c_light/1000/H_0_SAM)*(B722/60)*SUMPRODUCT($J$2:$AD$2,1/SQRT(Omega_m*(1+$J$1:$AD$1*B722)^3+Omega_L)))*(1+B722)*100000)</f>
        <v>37.760958719116459</v>
      </c>
      <c r="G722" s="89">
        <f t="shared" si="11"/>
        <v>0.2148587191164566</v>
      </c>
    </row>
    <row r="723" spans="1:7" x14ac:dyDescent="0.6">
      <c r="A723" s="76">
        <v>370333</v>
      </c>
      <c r="B723" s="87">
        <v>7.5880000000000003E-2</v>
      </c>
      <c r="C723" s="88">
        <v>37.6342</v>
      </c>
      <c r="D723" s="88">
        <v>0.19833000000000001</v>
      </c>
      <c r="E723" s="76">
        <v>0</v>
      </c>
      <c r="F723" s="89" cm="1">
        <f t="array" ref="F723">5*LOG10(((c_light/1000/H_0_SAM)*(B723/60)*SUMPRODUCT($J$2:$AD$2,1/SQRT(Omega_m*(1+$J$1:$AD$1*B723)^3+Omega_L)))*(1+B723)*100000)</f>
        <v>37.764874232137558</v>
      </c>
      <c r="G723" s="89">
        <f t="shared" si="11"/>
        <v>0.13067423213755802</v>
      </c>
    </row>
    <row r="724" spans="1:7" x14ac:dyDescent="0.6">
      <c r="A724" s="76" t="s">
        <v>1366</v>
      </c>
      <c r="B724" s="87">
        <v>7.8450000000000006E-2</v>
      </c>
      <c r="C724" s="88">
        <v>37.5715</v>
      </c>
      <c r="D724" s="88">
        <v>0.15039</v>
      </c>
      <c r="E724" s="76">
        <v>0</v>
      </c>
      <c r="F724" s="89" cm="1">
        <f t="array" ref="F724">5*LOG10(((c_light/1000/H_0_SAM)*(B724/60)*SUMPRODUCT($J$2:$AD$2,1/SQRT(Omega_m*(1+$J$1:$AD$1*B724)^3+Omega_L)))*(1+B724)*100000)</f>
        <v>37.840992348250715</v>
      </c>
      <c r="G724" s="89">
        <f t="shared" si="11"/>
        <v>0.269492348250715</v>
      </c>
    </row>
    <row r="725" spans="1:7" x14ac:dyDescent="0.6">
      <c r="A725" s="76" t="s">
        <v>1367</v>
      </c>
      <c r="B725" s="87">
        <v>7.8589999999999993E-2</v>
      </c>
      <c r="C725" s="88">
        <v>37.831499999999998</v>
      </c>
      <c r="D725" s="88">
        <v>0.14607999999999999</v>
      </c>
      <c r="E725" s="76">
        <v>0</v>
      </c>
      <c r="F725" s="89" cm="1">
        <f t="array" ref="F725">5*LOG10(((c_light/1000/H_0_SAM)*(B725/60)*SUMPRODUCT($J$2:$AD$2,1/SQRT(Omega_m*(1+$J$1:$AD$1*B725)^3+Omega_L)))*(1+B725)*100000)</f>
        <v>37.845070104879696</v>
      </c>
      <c r="G725" s="89">
        <f t="shared" si="11"/>
        <v>1.3570104879697453E-2</v>
      </c>
    </row>
    <row r="726" spans="1:7" x14ac:dyDescent="0.6">
      <c r="A726" s="76">
        <v>17186</v>
      </c>
      <c r="B726" s="87">
        <v>7.8750000000000001E-2</v>
      </c>
      <c r="C726" s="88">
        <v>38.0154</v>
      </c>
      <c r="D726" s="88">
        <v>0.23924999999999999</v>
      </c>
      <c r="E726" s="76">
        <v>0</v>
      </c>
      <c r="F726" s="89" cm="1">
        <f t="array" ref="F726">5*LOG10(((c_light/1000/H_0_SAM)*(B726/60)*SUMPRODUCT($J$2:$AD$2,1/SQRT(Omega_m*(1+$J$1:$AD$1*B726)^3+Omega_L)))*(1+B726)*100000)</f>
        <v>37.84972191046932</v>
      </c>
      <c r="G726" s="89">
        <f t="shared" si="11"/>
        <v>-0.16567808953067953</v>
      </c>
    </row>
    <row r="727" spans="1:7" x14ac:dyDescent="0.6">
      <c r="A727" s="76" t="s">
        <v>1368</v>
      </c>
      <c r="B727" s="87">
        <v>7.8750000000000001E-2</v>
      </c>
      <c r="C727" s="88">
        <v>38.094200000000001</v>
      </c>
      <c r="D727" s="88">
        <v>0.18012</v>
      </c>
      <c r="E727" s="76">
        <v>0</v>
      </c>
      <c r="F727" s="89" cm="1">
        <f t="array" ref="F727">5*LOG10(((c_light/1000/H_0_SAM)*(B727/60)*SUMPRODUCT($J$2:$AD$2,1/SQRT(Omega_m*(1+$J$1:$AD$1*B727)^3+Omega_L)))*(1+B727)*100000)</f>
        <v>37.84972191046932</v>
      </c>
      <c r="G727" s="89">
        <f t="shared" si="11"/>
        <v>-0.24447808953068062</v>
      </c>
    </row>
    <row r="728" spans="1:7" x14ac:dyDescent="0.6">
      <c r="A728" s="76">
        <v>560033</v>
      </c>
      <c r="B728" s="87">
        <v>7.8950000000000006E-2</v>
      </c>
      <c r="C728" s="88">
        <v>37.598799999999997</v>
      </c>
      <c r="D728" s="88">
        <v>0.50334000000000001</v>
      </c>
      <c r="E728" s="76">
        <v>0</v>
      </c>
      <c r="F728" s="89" cm="1">
        <f t="array" ref="F728">5*LOG10(((c_light/1000/H_0_SAM)*(B728/60)*SUMPRODUCT($J$2:$AD$2,1/SQRT(Omega_m*(1+$J$1:$AD$1*B728)^3+Omega_L)))*(1+B728)*100000)</f>
        <v>37.855523989418749</v>
      </c>
      <c r="G728" s="89">
        <f t="shared" si="11"/>
        <v>0.2567239894187523</v>
      </c>
    </row>
    <row r="729" spans="1:7" x14ac:dyDescent="0.6">
      <c r="A729" s="76">
        <v>12779</v>
      </c>
      <c r="B729" s="87">
        <v>7.9060000000000005E-2</v>
      </c>
      <c r="C729" s="88">
        <v>37.784300000000002</v>
      </c>
      <c r="D729" s="88">
        <v>0.2382</v>
      </c>
      <c r="E729" s="76">
        <v>0</v>
      </c>
      <c r="F729" s="89" cm="1">
        <f t="array" ref="F729">5*LOG10(((c_light/1000/H_0_SAM)*(B729/60)*SUMPRODUCT($J$2:$AD$2,1/SQRT(Omega_m*(1+$J$1:$AD$1*B729)^3+Omega_L)))*(1+B729)*100000)</f>
        <v>37.858709152067377</v>
      </c>
      <c r="G729" s="89">
        <f t="shared" si="11"/>
        <v>7.4409152067374862E-2</v>
      </c>
    </row>
    <row r="730" spans="1:7" x14ac:dyDescent="0.6">
      <c r="A730" s="76" t="s">
        <v>1369</v>
      </c>
      <c r="B730" s="87">
        <v>7.9310000000000005E-2</v>
      </c>
      <c r="C730" s="88">
        <v>37.53</v>
      </c>
      <c r="D730" s="88">
        <v>0.14721999999999999</v>
      </c>
      <c r="E730" s="76">
        <v>0</v>
      </c>
      <c r="F730" s="89" cm="1">
        <f t="array" ref="F730">5*LOG10(((c_light/1000/H_0_SAM)*(B730/60)*SUMPRODUCT($J$2:$AD$2,1/SQRT(Omega_m*(1+$J$1:$AD$1*B730)^3+Omega_L)))*(1+B730)*100000)</f>
        <v>37.865932447031525</v>
      </c>
      <c r="G730" s="89">
        <f t="shared" si="11"/>
        <v>0.33593244703152436</v>
      </c>
    </row>
    <row r="731" spans="1:7" x14ac:dyDescent="0.6">
      <c r="A731" s="76">
        <v>350316</v>
      </c>
      <c r="B731" s="87">
        <v>7.9909999999999995E-2</v>
      </c>
      <c r="C731" s="88">
        <v>37.600299999999997</v>
      </c>
      <c r="D731" s="88">
        <v>0.15781000000000001</v>
      </c>
      <c r="E731" s="76">
        <v>0</v>
      </c>
      <c r="F731" s="89" cm="1">
        <f t="array" ref="F731">5*LOG10(((c_light/1000/H_0_SAM)*(B731/60)*SUMPRODUCT($J$2:$AD$2,1/SQRT(Omega_m*(1+$J$1:$AD$1*B731)^3+Omega_L)))*(1+B731)*100000)</f>
        <v>37.883180036430616</v>
      </c>
      <c r="G731" s="89">
        <f t="shared" si="11"/>
        <v>0.28288003643061899</v>
      </c>
    </row>
    <row r="732" spans="1:7" x14ac:dyDescent="0.6">
      <c r="A732" s="76" t="s">
        <v>1370</v>
      </c>
      <c r="B732" s="87">
        <v>8.0089999999999995E-2</v>
      </c>
      <c r="C732" s="88">
        <v>37.666800000000002</v>
      </c>
      <c r="D732" s="88">
        <v>0.11928999999999999</v>
      </c>
      <c r="E732" s="76">
        <v>0</v>
      </c>
      <c r="F732" s="89" cm="1">
        <f t="array" ref="F732">5*LOG10(((c_light/1000/H_0_SAM)*(B732/60)*SUMPRODUCT($J$2:$AD$2,1/SQRT(Omega_m*(1+$J$1:$AD$1*B732)^3+Omega_L)))*(1+B732)*100000)</f>
        <v>37.888330207385181</v>
      </c>
      <c r="G732" s="89">
        <f t="shared" si="11"/>
        <v>0.22153020738517881</v>
      </c>
    </row>
    <row r="733" spans="1:7" x14ac:dyDescent="0.6">
      <c r="A733" s="76">
        <v>12950</v>
      </c>
      <c r="B733" s="87">
        <v>8.1670000000000006E-2</v>
      </c>
      <c r="C733" s="88">
        <v>37.721499999999999</v>
      </c>
      <c r="D733" s="88">
        <v>0.21965000000000001</v>
      </c>
      <c r="E733" s="76">
        <v>0</v>
      </c>
      <c r="F733" s="89" cm="1">
        <f t="array" ref="F733">5*LOG10(((c_light/1000/H_0_SAM)*(B733/60)*SUMPRODUCT($J$2:$AD$2,1/SQRT(Omega_m*(1+$J$1:$AD$1*B733)^3+Omega_L)))*(1+B733)*100000)</f>
        <v>37.933069015158033</v>
      </c>
      <c r="G733" s="89">
        <f t="shared" si="11"/>
        <v>0.21156901515803384</v>
      </c>
    </row>
    <row r="734" spans="1:7" x14ac:dyDescent="0.6">
      <c r="A734" s="76">
        <v>130308</v>
      </c>
      <c r="B734" s="87">
        <v>8.2449999999999996E-2</v>
      </c>
      <c r="C734" s="88">
        <v>37.819200000000002</v>
      </c>
      <c r="D734" s="88">
        <v>0.21761</v>
      </c>
      <c r="E734" s="76">
        <v>0</v>
      </c>
      <c r="F734" s="89" cm="1">
        <f t="array" ref="F734">5*LOG10(((c_light/1000/H_0_SAM)*(B734/60)*SUMPRODUCT($J$2:$AD$2,1/SQRT(Omega_m*(1+$J$1:$AD$1*B734)^3+Omega_L)))*(1+B734)*100000)</f>
        <v>37.954851662343366</v>
      </c>
      <c r="G734" s="89">
        <f t="shared" si="11"/>
        <v>0.13565166234336345</v>
      </c>
    </row>
    <row r="735" spans="1:7" x14ac:dyDescent="0.6">
      <c r="A735" s="76">
        <v>12898</v>
      </c>
      <c r="B735" s="87">
        <v>8.2820000000000005E-2</v>
      </c>
      <c r="C735" s="88">
        <v>37.677399999999999</v>
      </c>
      <c r="D735" s="88">
        <v>0.26563999999999999</v>
      </c>
      <c r="E735" s="76">
        <v>0</v>
      </c>
      <c r="F735" s="89" cm="1">
        <f t="array" ref="F735">5*LOG10(((c_light/1000/H_0_SAM)*(B735/60)*SUMPRODUCT($J$2:$AD$2,1/SQRT(Omega_m*(1+$J$1:$AD$1*B735)^3+Omega_L)))*(1+B735)*100000)</f>
        <v>37.965115819249903</v>
      </c>
      <c r="G735" s="89">
        <f t="shared" si="11"/>
        <v>0.28771581924990386</v>
      </c>
    </row>
    <row r="736" spans="1:7" x14ac:dyDescent="0.6">
      <c r="A736" s="76">
        <v>12781</v>
      </c>
      <c r="B736" s="87">
        <v>8.3089999999999997E-2</v>
      </c>
      <c r="C736" s="88">
        <v>37.993899999999996</v>
      </c>
      <c r="D736" s="88">
        <v>0.19511999999999999</v>
      </c>
      <c r="E736" s="76">
        <v>0</v>
      </c>
      <c r="F736" s="89" cm="1">
        <f t="array" ref="F736">5*LOG10(((c_light/1000/H_0_SAM)*(B736/60)*SUMPRODUCT($J$2:$AD$2,1/SQRT(Omega_m*(1+$J$1:$AD$1*B736)^3+Omega_L)))*(1+B736)*100000)</f>
        <v>37.972578321780297</v>
      </c>
      <c r="G736" s="89">
        <f t="shared" si="11"/>
        <v>-2.1321678219699436E-2</v>
      </c>
    </row>
    <row r="737" spans="1:7" x14ac:dyDescent="0.6">
      <c r="A737" s="76" t="s">
        <v>1371</v>
      </c>
      <c r="B737" s="87">
        <v>8.4099999999999994E-2</v>
      </c>
      <c r="C737" s="88">
        <v>37.968600000000002</v>
      </c>
      <c r="D737" s="88">
        <v>0.22159000000000001</v>
      </c>
      <c r="E737" s="76">
        <v>0</v>
      </c>
      <c r="F737" s="89" cm="1">
        <f t="array" ref="F737">5*LOG10(((c_light/1000/H_0_SAM)*(B737/60)*SUMPRODUCT($J$2:$AD$2,1/SQRT(Omega_m*(1+$J$1:$AD$1*B737)^3+Omega_L)))*(1+B737)*100000)</f>
        <v>38.000290125728974</v>
      </c>
      <c r="G737" s="89">
        <f t="shared" si="11"/>
        <v>3.1690125728971452E-2</v>
      </c>
    </row>
    <row r="738" spans="1:7" x14ac:dyDescent="0.6">
      <c r="A738" s="76">
        <v>3592</v>
      </c>
      <c r="B738" s="87">
        <v>8.5720000000000005E-2</v>
      </c>
      <c r="C738" s="88">
        <v>37.840600000000002</v>
      </c>
      <c r="D738" s="88">
        <v>0.12856000000000001</v>
      </c>
      <c r="E738" s="76">
        <v>0</v>
      </c>
      <c r="F738" s="89" cm="1">
        <f t="array" ref="F738">5*LOG10(((c_light/1000/H_0_SAM)*(B738/60)*SUMPRODUCT($J$2:$AD$2,1/SQRT(Omega_m*(1+$J$1:$AD$1*B738)^3+Omega_L)))*(1+B738)*100000)</f>
        <v>38.044083291817479</v>
      </c>
      <c r="G738" s="89">
        <f t="shared" si="11"/>
        <v>0.20348329181747715</v>
      </c>
    </row>
    <row r="739" spans="1:7" x14ac:dyDescent="0.6">
      <c r="A739" s="76" t="s">
        <v>1372</v>
      </c>
      <c r="B739" s="87">
        <v>8.7040000000000006E-2</v>
      </c>
      <c r="C739" s="88">
        <v>37.848399999999998</v>
      </c>
      <c r="D739" s="88">
        <v>0.21681</v>
      </c>
      <c r="E739" s="76">
        <v>0</v>
      </c>
      <c r="F739" s="89" cm="1">
        <f t="array" ref="F739">5*LOG10(((c_light/1000/H_0_SAM)*(B739/60)*SUMPRODUCT($J$2:$AD$2,1/SQRT(Omega_m*(1+$J$1:$AD$1*B739)^3+Omega_L)))*(1+B739)*100000)</f>
        <v>38.079187665031199</v>
      </c>
      <c r="G739" s="89">
        <f t="shared" si="11"/>
        <v>0.23078766503120107</v>
      </c>
    </row>
    <row r="740" spans="1:7" x14ac:dyDescent="0.6">
      <c r="A740" s="76">
        <v>1241</v>
      </c>
      <c r="B740" s="87">
        <v>8.8700000000000001E-2</v>
      </c>
      <c r="C740" s="88">
        <v>37.777200000000001</v>
      </c>
      <c r="D740" s="88">
        <v>0.25318000000000002</v>
      </c>
      <c r="E740" s="76">
        <v>0</v>
      </c>
      <c r="F740" s="89" cm="1">
        <f t="array" ref="F740">5*LOG10(((c_light/1000/H_0_SAM)*(B740/60)*SUMPRODUCT($J$2:$AD$2,1/SQRT(Omega_m*(1+$J$1:$AD$1*B740)^3+Omega_L)))*(1+B740)*100000)</f>
        <v>38.122621671093945</v>
      </c>
      <c r="G740" s="89">
        <f t="shared" si="11"/>
        <v>0.34542167109394484</v>
      </c>
    </row>
    <row r="741" spans="1:7" x14ac:dyDescent="0.6">
      <c r="A741" s="76">
        <v>590194</v>
      </c>
      <c r="B741" s="87">
        <v>9.0389999999999998E-2</v>
      </c>
      <c r="C741" s="88">
        <v>37.920200000000001</v>
      </c>
      <c r="D741" s="88">
        <v>0.21704000000000001</v>
      </c>
      <c r="E741" s="76">
        <v>0</v>
      </c>
      <c r="F741" s="89" cm="1">
        <f t="array" ref="F741">5*LOG10(((c_light/1000/H_0_SAM)*(B741/60)*SUMPRODUCT($J$2:$AD$2,1/SQRT(Omega_m*(1+$J$1:$AD$1*B741)^3+Omega_L)))*(1+B741)*100000)</f>
        <v>38.166053449785593</v>
      </c>
      <c r="G741" s="89">
        <f t="shared" si="11"/>
        <v>0.2458534497855922</v>
      </c>
    </row>
    <row r="742" spans="1:7" x14ac:dyDescent="0.6">
      <c r="A742" s="76">
        <v>370066</v>
      </c>
      <c r="B742" s="87">
        <v>9.0889999999999999E-2</v>
      </c>
      <c r="C742" s="88">
        <v>38.026899999999998</v>
      </c>
      <c r="D742" s="88">
        <v>0.16755</v>
      </c>
      <c r="E742" s="76">
        <v>0</v>
      </c>
      <c r="F742" s="89" cm="1">
        <f t="array" ref="F742">5*LOG10(((c_light/1000/H_0_SAM)*(B742/60)*SUMPRODUCT($J$2:$AD$2,1/SQRT(Omega_m*(1+$J$1:$AD$1*B742)^3+Omega_L)))*(1+B742)*100000)</f>
        <v>38.178755134622193</v>
      </c>
      <c r="G742" s="89">
        <f t="shared" si="11"/>
        <v>0.15185513462219546</v>
      </c>
    </row>
    <row r="743" spans="1:7" x14ac:dyDescent="0.6">
      <c r="A743" s="76">
        <v>300105</v>
      </c>
      <c r="B743" s="87">
        <v>9.2050000000000007E-2</v>
      </c>
      <c r="C743" s="88">
        <v>38.160200000000003</v>
      </c>
      <c r="D743" s="88">
        <v>0.26634000000000002</v>
      </c>
      <c r="E743" s="76">
        <v>0</v>
      </c>
      <c r="F743" s="89" cm="1">
        <f t="array" ref="F743">5*LOG10(((c_light/1000/H_0_SAM)*(B743/60)*SUMPRODUCT($J$2:$AD$2,1/SQRT(Omega_m*(1+$J$1:$AD$1*B743)^3+Omega_L)))*(1+B743)*100000)</f>
        <v>38.207969164337541</v>
      </c>
      <c r="G743" s="89">
        <f t="shared" si="11"/>
        <v>4.7769164337537973E-2</v>
      </c>
    </row>
    <row r="744" spans="1:7" x14ac:dyDescent="0.6">
      <c r="A744" s="76" t="s">
        <v>1373</v>
      </c>
      <c r="B744" s="87">
        <v>9.2929999999999999E-2</v>
      </c>
      <c r="C744" s="88">
        <v>38.2226</v>
      </c>
      <c r="D744" s="88">
        <v>0.49329000000000001</v>
      </c>
      <c r="E744" s="76">
        <v>0</v>
      </c>
      <c r="F744" s="89" cm="1">
        <f t="array" ref="F744">5*LOG10(((c_light/1000/H_0_SAM)*(B744/60)*SUMPRODUCT($J$2:$AD$2,1/SQRT(Omega_m*(1+$J$1:$AD$1*B744)^3+Omega_L)))*(1+B744)*100000)</f>
        <v>38.229899147939619</v>
      </c>
      <c r="G744" s="89">
        <f t="shared" si="11"/>
        <v>7.2991479396193881E-3</v>
      </c>
    </row>
    <row r="745" spans="1:7" x14ac:dyDescent="0.6">
      <c r="A745" s="76">
        <v>10010</v>
      </c>
      <c r="B745" s="87">
        <v>9.9500000000000005E-2</v>
      </c>
      <c r="C745" s="88">
        <v>38.4377</v>
      </c>
      <c r="D745" s="88">
        <v>0.19470999999999999</v>
      </c>
      <c r="E745" s="76">
        <v>0</v>
      </c>
      <c r="F745" s="89" cm="1">
        <f t="array" ref="F745">5*LOG10(((c_light/1000/H_0_SAM)*(B745/60)*SUMPRODUCT($J$2:$AD$2,1/SQRT(Omega_m*(1+$J$1:$AD$1*B745)^3+Omega_L)))*(1+B745)*100000)</f>
        <v>38.387660363720315</v>
      </c>
      <c r="G745" s="89">
        <f t="shared" si="11"/>
        <v>-5.0039636279684885E-2</v>
      </c>
    </row>
    <row r="746" spans="1:7" x14ac:dyDescent="0.6">
      <c r="A746" s="76">
        <v>160099</v>
      </c>
      <c r="B746" s="87">
        <v>0.10165</v>
      </c>
      <c r="C746" s="88">
        <v>38.298200000000001</v>
      </c>
      <c r="D746" s="88">
        <v>0.16556000000000001</v>
      </c>
      <c r="E746" s="76">
        <v>0</v>
      </c>
      <c r="F746" s="89" cm="1">
        <f t="array" ref="F746">5*LOG10(((c_light/1000/H_0_SAM)*(B746/60)*SUMPRODUCT($J$2:$AD$2,1/SQRT(Omega_m*(1+$J$1:$AD$1*B746)^3+Omega_L)))*(1+B746)*100000)</f>
        <v>38.437147021640506</v>
      </c>
      <c r="G746" s="89">
        <f t="shared" si="11"/>
        <v>0.13894702164050443</v>
      </c>
    </row>
    <row r="747" spans="1:7" x14ac:dyDescent="0.6">
      <c r="A747" s="76">
        <v>190</v>
      </c>
      <c r="B747" s="87">
        <v>0.10221</v>
      </c>
      <c r="C747" s="88">
        <v>38.408499999999997</v>
      </c>
      <c r="D747" s="88">
        <v>0.18740999999999999</v>
      </c>
      <c r="E747" s="76">
        <v>0</v>
      </c>
      <c r="F747" s="89" cm="1">
        <f t="array" ref="F747">5*LOG10(((c_light/1000/H_0_SAM)*(B747/60)*SUMPRODUCT($J$2:$AD$2,1/SQRT(Omega_m*(1+$J$1:$AD$1*B747)^3+Omega_L)))*(1+B747)*100000)</f>
        <v>38.449873858844185</v>
      </c>
      <c r="G747" s="89">
        <f t="shared" si="11"/>
        <v>4.137385884418876E-2</v>
      </c>
    </row>
    <row r="748" spans="1:7" x14ac:dyDescent="0.6">
      <c r="A748" s="76">
        <v>140181</v>
      </c>
      <c r="B748" s="87">
        <v>0.10246</v>
      </c>
      <c r="C748" s="88">
        <v>38.251100000000001</v>
      </c>
      <c r="D748" s="88">
        <v>0.19955000000000001</v>
      </c>
      <c r="E748" s="76">
        <v>0</v>
      </c>
      <c r="F748" s="89" cm="1">
        <f t="array" ref="F748">5*LOG10(((c_light/1000/H_0_SAM)*(B748/60)*SUMPRODUCT($J$2:$AD$2,1/SQRT(Omega_m*(1+$J$1:$AD$1*B748)^3+Omega_L)))*(1+B748)*100000)</f>
        <v>38.455534187283163</v>
      </c>
      <c r="G748" s="89">
        <f t="shared" si="11"/>
        <v>0.20443418728316232</v>
      </c>
    </row>
    <row r="749" spans="1:7" x14ac:dyDescent="0.6">
      <c r="A749" s="76">
        <v>100405</v>
      </c>
      <c r="B749" s="87">
        <v>0.10294</v>
      </c>
      <c r="C749" s="88">
        <v>38.1815</v>
      </c>
      <c r="D749" s="88">
        <v>0.18625</v>
      </c>
      <c r="E749" s="76">
        <v>0</v>
      </c>
      <c r="F749" s="89" cm="1">
        <f t="array" ref="F749">5*LOG10(((c_light/1000/H_0_SAM)*(B749/60)*SUMPRODUCT($J$2:$AD$2,1/SQRT(Omega_m*(1+$J$1:$AD$1*B749)^3+Omega_L)))*(1+B749)*100000)</f>
        <v>38.466365474877833</v>
      </c>
      <c r="G749" s="89">
        <f t="shared" si="11"/>
        <v>0.28486547487783298</v>
      </c>
    </row>
    <row r="750" spans="1:7" x14ac:dyDescent="0.6">
      <c r="A750" s="76">
        <v>13135</v>
      </c>
      <c r="B750" s="87">
        <v>0.10360999999999999</v>
      </c>
      <c r="C750" s="88">
        <v>38.333799999999997</v>
      </c>
      <c r="D750" s="88">
        <v>0.12637999999999999</v>
      </c>
      <c r="E750" s="76">
        <v>0</v>
      </c>
      <c r="F750" s="89" cm="1">
        <f t="array" ref="F750">5*LOG10(((c_light/1000/H_0_SAM)*(B750/60)*SUMPRODUCT($J$2:$AD$2,1/SQRT(Omega_m*(1+$J$1:$AD$1*B750)^3+Omega_L)))*(1+B750)*100000)</f>
        <v>38.481404511483071</v>
      </c>
      <c r="G750" s="89">
        <f t="shared" si="11"/>
        <v>0.14760451148307396</v>
      </c>
    </row>
    <row r="751" spans="1:7" x14ac:dyDescent="0.6">
      <c r="A751" s="76">
        <v>20064</v>
      </c>
      <c r="B751" s="87">
        <v>0.10374</v>
      </c>
      <c r="C751" s="88">
        <v>38.207900000000002</v>
      </c>
      <c r="D751" s="88">
        <v>0.19646</v>
      </c>
      <c r="E751" s="76">
        <v>0</v>
      </c>
      <c r="F751" s="89" cm="1">
        <f t="array" ref="F751">5*LOG10(((c_light/1000/H_0_SAM)*(B751/60)*SUMPRODUCT($J$2:$AD$2,1/SQRT(Omega_m*(1+$J$1:$AD$1*B751)^3+Omega_L)))*(1+B751)*100000)</f>
        <v>38.484311872292857</v>
      </c>
      <c r="G751" s="89">
        <f t="shared" si="11"/>
        <v>0.27641187229285435</v>
      </c>
    </row>
    <row r="752" spans="1:7" x14ac:dyDescent="0.6">
      <c r="A752" s="76">
        <v>13038</v>
      </c>
      <c r="B752" s="87">
        <v>0.10507</v>
      </c>
      <c r="C752" s="88">
        <v>38.429499999999997</v>
      </c>
      <c r="D752" s="88">
        <v>0.23618</v>
      </c>
      <c r="E752" s="76">
        <v>0</v>
      </c>
      <c r="F752" s="89" cm="1">
        <f t="array" ref="F752">5*LOG10(((c_light/1000/H_0_SAM)*(B752/60)*SUMPRODUCT($J$2:$AD$2,1/SQRT(Omega_m*(1+$J$1:$AD$1*B752)^3+Omega_L)))*(1+B752)*100000)</f>
        <v>38.513860029169344</v>
      </c>
      <c r="G752" s="89">
        <f t="shared" si="11"/>
        <v>8.4360029169346262E-2</v>
      </c>
    </row>
    <row r="753" spans="1:7" x14ac:dyDescent="0.6">
      <c r="A753" s="76">
        <v>18697</v>
      </c>
      <c r="B753" s="87">
        <v>0.10661</v>
      </c>
      <c r="C753" s="88">
        <v>38.261099999999999</v>
      </c>
      <c r="D753" s="88">
        <v>0.19553999999999999</v>
      </c>
      <c r="E753" s="76">
        <v>0</v>
      </c>
      <c r="F753" s="89" cm="1">
        <f t="array" ref="F753">5*LOG10(((c_light/1000/H_0_SAM)*(B753/60)*SUMPRODUCT($J$2:$AD$2,1/SQRT(Omega_m*(1+$J$1:$AD$1*B753)^3+Omega_L)))*(1+B753)*100000)</f>
        <v>38.547635053771707</v>
      </c>
      <c r="G753" s="89">
        <f t="shared" si="11"/>
        <v>0.28653505377170774</v>
      </c>
    </row>
    <row r="754" spans="1:7" x14ac:dyDescent="0.6">
      <c r="A754" s="76">
        <v>20625</v>
      </c>
      <c r="B754" s="87">
        <v>0.10707</v>
      </c>
      <c r="C754" s="88">
        <v>38.462400000000002</v>
      </c>
      <c r="D754" s="88">
        <v>0.15112</v>
      </c>
      <c r="E754" s="76">
        <v>0</v>
      </c>
      <c r="F754" s="89" cm="1">
        <f t="array" ref="F754">5*LOG10(((c_light/1000/H_0_SAM)*(B754/60)*SUMPRODUCT($J$2:$AD$2,1/SQRT(Omega_m*(1+$J$1:$AD$1*B754)^3+Omega_L)))*(1+B754)*100000)</f>
        <v>38.557634278861272</v>
      </c>
      <c r="G754" s="89">
        <f t="shared" si="11"/>
        <v>9.5234278861269672E-2</v>
      </c>
    </row>
    <row r="755" spans="1:7" x14ac:dyDescent="0.6">
      <c r="A755" s="76">
        <v>3256</v>
      </c>
      <c r="B755" s="87">
        <v>0.10711</v>
      </c>
      <c r="C755" s="88">
        <v>38.429499999999997</v>
      </c>
      <c r="D755" s="88">
        <v>0.21046999999999999</v>
      </c>
      <c r="E755" s="76">
        <v>0</v>
      </c>
      <c r="F755" s="89" cm="1">
        <f t="array" ref="F755">5*LOG10(((c_light/1000/H_0_SAM)*(B755/60)*SUMPRODUCT($J$2:$AD$2,1/SQRT(Omega_m*(1+$J$1:$AD$1*B755)^3+Omega_L)))*(1+B755)*100000)</f>
        <v>38.558501857312123</v>
      </c>
      <c r="G755" s="89">
        <f t="shared" si="11"/>
        <v>0.12900185731212588</v>
      </c>
    </row>
    <row r="756" spans="1:7" x14ac:dyDescent="0.6">
      <c r="A756" s="76">
        <v>120225</v>
      </c>
      <c r="B756" s="87">
        <v>0.10713</v>
      </c>
      <c r="C756" s="88">
        <v>38.780099999999997</v>
      </c>
      <c r="D756" s="88">
        <v>0.46854000000000001</v>
      </c>
      <c r="E756" s="76">
        <v>0</v>
      </c>
      <c r="F756" s="89" cm="1">
        <f t="array" ref="F756">5*LOG10(((c_light/1000/H_0_SAM)*(B756/60)*SUMPRODUCT($J$2:$AD$2,1/SQRT(Omega_m*(1+$J$1:$AD$1*B756)^3+Omega_L)))*(1+B756)*100000)</f>
        <v>38.558935531743863</v>
      </c>
      <c r="G756" s="89">
        <f t="shared" si="11"/>
        <v>-0.22116446825613423</v>
      </c>
    </row>
    <row r="757" spans="1:7" x14ac:dyDescent="0.6">
      <c r="A757" s="76">
        <v>21034</v>
      </c>
      <c r="B757" s="87">
        <v>0.10774</v>
      </c>
      <c r="C757" s="88">
        <v>38.498399999999997</v>
      </c>
      <c r="D757" s="88">
        <v>0.18006</v>
      </c>
      <c r="E757" s="76">
        <v>0</v>
      </c>
      <c r="F757" s="89" cm="1">
        <f t="array" ref="F757">5*LOG10(((c_light/1000/H_0_SAM)*(B757/60)*SUMPRODUCT($J$2:$AD$2,1/SQRT(Omega_m*(1+$J$1:$AD$1*B757)^3+Omega_L)))*(1+B757)*100000)</f>
        <v>38.57212599042176</v>
      </c>
      <c r="G757" s="89">
        <f t="shared" si="11"/>
        <v>7.3725990421763754E-2</v>
      </c>
    </row>
    <row r="758" spans="1:7" x14ac:dyDescent="0.6">
      <c r="A758" s="76">
        <v>500038</v>
      </c>
      <c r="B758" s="87">
        <v>0.10793999999999999</v>
      </c>
      <c r="C758" s="88">
        <v>38.401699999999998</v>
      </c>
      <c r="D758" s="88">
        <v>0.18711</v>
      </c>
      <c r="E758" s="76">
        <v>0</v>
      </c>
      <c r="F758" s="89" cm="1">
        <f t="array" ref="F758">5*LOG10(((c_light/1000/H_0_SAM)*(B758/60)*SUMPRODUCT($J$2:$AD$2,1/SQRT(Omega_m*(1+$J$1:$AD$1*B758)^3+Omega_L)))*(1+B758)*100000)</f>
        <v>38.576435376030567</v>
      </c>
      <c r="G758" s="89">
        <f t="shared" si="11"/>
        <v>0.17473537603056855</v>
      </c>
    </row>
    <row r="759" spans="1:7" x14ac:dyDescent="0.6">
      <c r="A759" s="76">
        <v>7147</v>
      </c>
      <c r="B759" s="87">
        <v>0.10908</v>
      </c>
      <c r="C759" s="88">
        <v>38.401600000000002</v>
      </c>
      <c r="D759" s="88">
        <v>0.13317999999999999</v>
      </c>
      <c r="E759" s="76">
        <v>0</v>
      </c>
      <c r="F759" s="89" cm="1">
        <f t="array" ref="F759">5*LOG10(((c_light/1000/H_0_SAM)*(B759/60)*SUMPRODUCT($J$2:$AD$2,1/SQRT(Omega_m*(1+$J$1:$AD$1*B759)^3+Omega_L)))*(1+B759)*100000)</f>
        <v>38.600855797501495</v>
      </c>
      <c r="G759" s="89">
        <f t="shared" si="11"/>
        <v>0.19925579750149325</v>
      </c>
    </row>
    <row r="760" spans="1:7" x14ac:dyDescent="0.6">
      <c r="A760" s="76">
        <v>20027</v>
      </c>
      <c r="B760" s="87">
        <v>0.11001</v>
      </c>
      <c r="C760" s="88">
        <v>38.570099999999996</v>
      </c>
      <c r="D760" s="88">
        <v>0.17974000000000001</v>
      </c>
      <c r="E760" s="76">
        <v>0</v>
      </c>
      <c r="F760" s="89" cm="1">
        <f t="array" ref="F760">5*LOG10(((c_light/1000/H_0_SAM)*(B760/60)*SUMPRODUCT($J$2:$AD$2,1/SQRT(Omega_m*(1+$J$1:$AD$1*B760)^3+Omega_L)))*(1+B760)*100000)</f>
        <v>38.620599879815636</v>
      </c>
      <c r="G760" s="89">
        <f t="shared" si="11"/>
        <v>5.0499879815639304E-2</v>
      </c>
    </row>
    <row r="761" spans="1:7" x14ac:dyDescent="0.6">
      <c r="A761" s="76">
        <v>18650</v>
      </c>
      <c r="B761" s="87">
        <v>0.11259</v>
      </c>
      <c r="C761" s="88">
        <v>38.621400000000001</v>
      </c>
      <c r="D761" s="88">
        <v>0.16320000000000001</v>
      </c>
      <c r="E761" s="76">
        <v>0</v>
      </c>
      <c r="F761" s="89" cm="1">
        <f t="array" ref="F761">5*LOG10(((c_light/1000/H_0_SAM)*(B761/60)*SUMPRODUCT($J$2:$AD$2,1/SQRT(Omega_m*(1+$J$1:$AD$1*B761)^3+Omega_L)))*(1+B761)*100000)</f>
        <v>38.674560204882475</v>
      </c>
      <c r="G761" s="89">
        <f t="shared" si="11"/>
        <v>5.3160204882473749E-2</v>
      </c>
    </row>
    <row r="762" spans="1:7" x14ac:dyDescent="0.6">
      <c r="A762" s="76">
        <v>18612</v>
      </c>
      <c r="B762" s="87">
        <v>0.11388</v>
      </c>
      <c r="C762" s="88">
        <v>38.387599999999999</v>
      </c>
      <c r="D762" s="88">
        <v>0.19492000000000001</v>
      </c>
      <c r="E762" s="76">
        <v>0</v>
      </c>
      <c r="F762" s="89" cm="1">
        <f t="array" ref="F762">5*LOG10(((c_light/1000/H_0_SAM)*(B762/60)*SUMPRODUCT($J$2:$AD$2,1/SQRT(Omega_m*(1+$J$1:$AD$1*B762)^3+Omega_L)))*(1+B762)*100000)</f>
        <v>38.701104424438213</v>
      </c>
      <c r="G762" s="89">
        <f t="shared" si="11"/>
        <v>0.31350442443821436</v>
      </c>
    </row>
    <row r="763" spans="1:7" x14ac:dyDescent="0.6">
      <c r="A763" s="76">
        <v>8719</v>
      </c>
      <c r="B763" s="87">
        <v>0.11650000000000001</v>
      </c>
      <c r="C763" s="88">
        <v>38.540799999999997</v>
      </c>
      <c r="D763" s="88">
        <v>0.15989999999999999</v>
      </c>
      <c r="E763" s="76">
        <v>0</v>
      </c>
      <c r="F763" s="89" cm="1">
        <f t="array" ref="F763">5*LOG10(((c_light/1000/H_0_SAM)*(B763/60)*SUMPRODUCT($J$2:$AD$2,1/SQRT(Omega_m*(1+$J$1:$AD$1*B763)^3+Omega_L)))*(1+B763)*100000)</f>
        <v>38.754154579863275</v>
      </c>
      <c r="G763" s="89">
        <f t="shared" si="11"/>
        <v>0.2133545798632781</v>
      </c>
    </row>
    <row r="764" spans="1:7" x14ac:dyDescent="0.6">
      <c r="A764" s="76">
        <v>5395</v>
      </c>
      <c r="B764" s="87">
        <v>0.11652999999999999</v>
      </c>
      <c r="C764" s="88">
        <v>38.630200000000002</v>
      </c>
      <c r="D764" s="88">
        <v>0.18573999999999999</v>
      </c>
      <c r="E764" s="76">
        <v>0</v>
      </c>
      <c r="F764" s="89" cm="1">
        <f t="array" ref="F764">5*LOG10(((c_light/1000/H_0_SAM)*(B764/60)*SUMPRODUCT($J$2:$AD$2,1/SQRT(Omega_m*(1+$J$1:$AD$1*B764)^3+Omega_L)))*(1+B764)*100000)</f>
        <v>38.754755489611952</v>
      </c>
      <c r="G764" s="89">
        <f t="shared" si="11"/>
        <v>0.12455548961195007</v>
      </c>
    </row>
    <row r="765" spans="1:7" x14ac:dyDescent="0.6">
      <c r="A765" s="76">
        <v>2561</v>
      </c>
      <c r="B765" s="87">
        <v>0.1176</v>
      </c>
      <c r="C765" s="88">
        <v>38.572699999999998</v>
      </c>
      <c r="D765" s="88">
        <v>0.23963000000000001</v>
      </c>
      <c r="E765" s="76">
        <v>0</v>
      </c>
      <c r="F765" s="89" cm="1">
        <f t="array" ref="F765">5*LOG10(((c_light/1000/H_0_SAM)*(B765/60)*SUMPRODUCT($J$2:$AD$2,1/SQRT(Omega_m*(1+$J$1:$AD$1*B765)^3+Omega_L)))*(1+B765)*100000)</f>
        <v>38.776093216490899</v>
      </c>
      <c r="G765" s="89">
        <f t="shared" si="11"/>
        <v>0.20339321649090181</v>
      </c>
    </row>
    <row r="766" spans="1:7" x14ac:dyDescent="0.6">
      <c r="A766" s="76">
        <v>16259</v>
      </c>
      <c r="B766" s="87">
        <v>0.11792</v>
      </c>
      <c r="C766" s="88">
        <v>38.608800000000002</v>
      </c>
      <c r="D766" s="88">
        <v>0.21442</v>
      </c>
      <c r="E766" s="76">
        <v>0</v>
      </c>
      <c r="F766" s="89" cm="1">
        <f t="array" ref="F766">5*LOG10(((c_light/1000/H_0_SAM)*(B766/60)*SUMPRODUCT($J$2:$AD$2,1/SQRT(Omega_m*(1+$J$1:$AD$1*B766)^3+Omega_L)))*(1+B766)*100000)</f>
        <v>38.782439081662304</v>
      </c>
      <c r="G766" s="89">
        <f t="shared" si="11"/>
        <v>0.17363908166230146</v>
      </c>
    </row>
    <row r="767" spans="1:7" x14ac:dyDescent="0.6">
      <c r="A767" s="76">
        <v>1371</v>
      </c>
      <c r="B767" s="87">
        <v>0.11817999999999999</v>
      </c>
      <c r="C767" s="88">
        <v>38.415700000000001</v>
      </c>
      <c r="D767" s="88">
        <v>0.12706000000000001</v>
      </c>
      <c r="E767" s="76">
        <v>0</v>
      </c>
      <c r="F767" s="89" cm="1">
        <f t="array" ref="F767">5*LOG10(((c_light/1000/H_0_SAM)*(B767/60)*SUMPRODUCT($J$2:$AD$2,1/SQRT(Omega_m*(1+$J$1:$AD$1*B767)^3+Omega_L)))*(1+B767)*100000)</f>
        <v>38.787583168849281</v>
      </c>
      <c r="G767" s="89">
        <f t="shared" si="11"/>
        <v>0.37188316884927985</v>
      </c>
    </row>
    <row r="768" spans="1:7" x14ac:dyDescent="0.6">
      <c r="A768" s="76">
        <v>137</v>
      </c>
      <c r="B768" s="87">
        <v>0.11901</v>
      </c>
      <c r="C768" s="88">
        <v>38.562899999999999</v>
      </c>
      <c r="D768" s="88">
        <v>0.21238000000000001</v>
      </c>
      <c r="E768" s="76">
        <v>0</v>
      </c>
      <c r="F768" s="89" cm="1">
        <f t="array" ref="F768">5*LOG10(((c_light/1000/H_0_SAM)*(B768/60)*SUMPRODUCT($J$2:$AD$2,1/SQRT(Omega_m*(1+$J$1:$AD$1*B768)^3+Omega_L)))*(1+B768)*100000)</f>
        <v>38.803933676513815</v>
      </c>
      <c r="G768" s="89">
        <f t="shared" si="11"/>
        <v>0.24103367651381546</v>
      </c>
    </row>
    <row r="769" spans="1:7" x14ac:dyDescent="0.6">
      <c r="A769" s="76">
        <v>5549</v>
      </c>
      <c r="B769" s="87">
        <v>0.12014</v>
      </c>
      <c r="C769" s="88">
        <v>38.595799999999997</v>
      </c>
      <c r="D769" s="88">
        <v>0.20019999999999999</v>
      </c>
      <c r="E769" s="76">
        <v>0</v>
      </c>
      <c r="F769" s="89" cm="1">
        <f t="array" ref="F769">5*LOG10(((c_light/1000/H_0_SAM)*(B769/60)*SUMPRODUCT($J$2:$AD$2,1/SQRT(Omega_m*(1+$J$1:$AD$1*B769)^3+Omega_L)))*(1+B769)*100000)</f>
        <v>38.82602231244973</v>
      </c>
      <c r="G769" s="89">
        <f t="shared" si="11"/>
        <v>0.23022231244973312</v>
      </c>
    </row>
    <row r="770" spans="1:7" x14ac:dyDescent="0.6">
      <c r="A770" s="76">
        <v>12860</v>
      </c>
      <c r="B770" s="87">
        <v>0.12058000000000001</v>
      </c>
      <c r="C770" s="88">
        <v>38.7926</v>
      </c>
      <c r="D770" s="88">
        <v>0.25225999999999998</v>
      </c>
      <c r="E770" s="76">
        <v>0</v>
      </c>
      <c r="F770" s="89" cm="1">
        <f t="array" ref="F770">5*LOG10(((c_light/1000/H_0_SAM)*(B770/60)*SUMPRODUCT($J$2:$AD$2,1/SQRT(Omega_m*(1+$J$1:$AD$1*B770)^3+Omega_L)))*(1+B770)*100000)</f>
        <v>38.834570350352053</v>
      </c>
      <c r="G770" s="89">
        <f t="shared" si="11"/>
        <v>4.1970350352052321E-2</v>
      </c>
    </row>
    <row r="771" spans="1:7" x14ac:dyDescent="0.6">
      <c r="A771" s="76">
        <v>490008</v>
      </c>
      <c r="B771" s="87">
        <v>0.12086</v>
      </c>
      <c r="C771" s="88">
        <v>38.634799999999998</v>
      </c>
      <c r="D771" s="88">
        <v>0.30263000000000001</v>
      </c>
      <c r="E771" s="76">
        <v>0</v>
      </c>
      <c r="F771" s="89" cm="1">
        <f t="array" ref="F771">5*LOG10(((c_light/1000/H_0_SAM)*(B771/60)*SUMPRODUCT($J$2:$AD$2,1/SQRT(Omega_m*(1+$J$1:$AD$1*B771)^3+Omega_L)))*(1+B771)*100000)</f>
        <v>38.839994744123366</v>
      </c>
      <c r="G771" s="89">
        <f t="shared" si="11"/>
        <v>0.20519474412336791</v>
      </c>
    </row>
    <row r="772" spans="1:7" x14ac:dyDescent="0.6">
      <c r="A772" s="76">
        <v>19953</v>
      </c>
      <c r="B772" s="87">
        <v>0.12207</v>
      </c>
      <c r="C772" s="88">
        <v>38.594499999999996</v>
      </c>
      <c r="D772" s="88">
        <v>0.15790999999999999</v>
      </c>
      <c r="E772" s="76">
        <v>0</v>
      </c>
      <c r="F772" s="89" cm="1">
        <f t="array" ref="F772">5*LOG10(((c_light/1000/H_0_SAM)*(B772/60)*SUMPRODUCT($J$2:$AD$2,1/SQRT(Omega_m*(1+$J$1:$AD$1*B772)^3+Omega_L)))*(1+B772)*100000)</f>
        <v>38.863300771806806</v>
      </c>
      <c r="G772" s="89">
        <f t="shared" si="11"/>
        <v>0.26880077180680928</v>
      </c>
    </row>
    <row r="773" spans="1:7" x14ac:dyDescent="0.6">
      <c r="A773" s="76">
        <v>390259</v>
      </c>
      <c r="B773" s="87">
        <v>0.12231</v>
      </c>
      <c r="C773" s="88">
        <v>38.611899999999999</v>
      </c>
      <c r="D773" s="88">
        <v>0.23114000000000001</v>
      </c>
      <c r="E773" s="76">
        <v>0</v>
      </c>
      <c r="F773" s="89" cm="1">
        <f t="array" ref="F773">5*LOG10(((c_light/1000/H_0_SAM)*(B773/60)*SUMPRODUCT($J$2:$AD$2,1/SQRT(Omega_m*(1+$J$1:$AD$1*B773)^3+Omega_L)))*(1+B773)*100000)</f>
        <v>38.867897620783602</v>
      </c>
      <c r="G773" s="89">
        <f t="shared" si="11"/>
        <v>0.255997620783603</v>
      </c>
    </row>
    <row r="774" spans="1:7" x14ac:dyDescent="0.6">
      <c r="A774" s="76">
        <v>18835</v>
      </c>
      <c r="B774" s="87">
        <v>0.12278</v>
      </c>
      <c r="C774" s="88">
        <v>38.685299999999998</v>
      </c>
      <c r="D774" s="88">
        <v>0.14457999999999999</v>
      </c>
      <c r="E774" s="76">
        <v>0</v>
      </c>
      <c r="F774" s="89" cm="1">
        <f t="array" ref="F774">5*LOG10(((c_light/1000/H_0_SAM)*(B774/60)*SUMPRODUCT($J$2:$AD$2,1/SQRT(Omega_m*(1+$J$1:$AD$1*B774)^3+Omega_L)))*(1+B774)*100000)</f>
        <v>38.876875266509693</v>
      </c>
      <c r="G774" s="89">
        <f t="shared" ref="G774:G837" si="12">F774-C774</f>
        <v>0.19157526650969459</v>
      </c>
    </row>
    <row r="775" spans="1:7" x14ac:dyDescent="0.6">
      <c r="A775" s="76">
        <v>2916</v>
      </c>
      <c r="B775" s="87">
        <v>0.12316000000000001</v>
      </c>
      <c r="C775" s="88">
        <v>38.596699999999998</v>
      </c>
      <c r="D775" s="88">
        <v>0.27464</v>
      </c>
      <c r="E775" s="76">
        <v>0</v>
      </c>
      <c r="F775" s="89" cm="1">
        <f t="array" ref="F775">5*LOG10(((c_light/1000/H_0_SAM)*(B775/60)*SUMPRODUCT($J$2:$AD$2,1/SQRT(Omega_m*(1+$J$1:$AD$1*B775)^3+Omega_L)))*(1+B775)*100000)</f>
        <v>38.884110196435692</v>
      </c>
      <c r="G775" s="89">
        <f t="shared" si="12"/>
        <v>0.28741019643569388</v>
      </c>
    </row>
    <row r="776" spans="1:7" x14ac:dyDescent="0.6">
      <c r="A776" s="76">
        <v>16021</v>
      </c>
      <c r="B776" s="87">
        <v>0.12357</v>
      </c>
      <c r="C776" s="88">
        <v>38.616399999999999</v>
      </c>
      <c r="D776" s="88">
        <v>0.16216</v>
      </c>
      <c r="E776" s="76">
        <v>0</v>
      </c>
      <c r="F776" s="89" cm="1">
        <f t="array" ref="F776">5*LOG10(((c_light/1000/H_0_SAM)*(B776/60)*SUMPRODUCT($J$2:$AD$2,1/SQRT(Omega_m*(1+$J$1:$AD$1*B776)^3+Omega_L)))*(1+B776)*100000)</f>
        <v>38.891892806326318</v>
      </c>
      <c r="G776" s="89">
        <f t="shared" si="12"/>
        <v>0.27549280632631934</v>
      </c>
    </row>
    <row r="777" spans="1:7" x14ac:dyDescent="0.6">
      <c r="A777" s="76">
        <v>13894</v>
      </c>
      <c r="B777" s="87">
        <v>0.12377000000000001</v>
      </c>
      <c r="C777" s="88">
        <v>38.800899999999999</v>
      </c>
      <c r="D777" s="88">
        <v>0.33337</v>
      </c>
      <c r="E777" s="76">
        <v>0</v>
      </c>
      <c r="F777" s="89" cm="1">
        <f t="array" ref="F777">5*LOG10(((c_light/1000/H_0_SAM)*(B777/60)*SUMPRODUCT($J$2:$AD$2,1/SQRT(Omega_m*(1+$J$1:$AD$1*B777)^3+Omega_L)))*(1+B777)*100000)</f>
        <v>38.895680397072127</v>
      </c>
      <c r="G777" s="89">
        <f t="shared" si="12"/>
        <v>9.4780397072128153E-2</v>
      </c>
    </row>
    <row r="778" spans="1:7" x14ac:dyDescent="0.6">
      <c r="A778" s="76">
        <v>570062</v>
      </c>
      <c r="B778" s="87">
        <v>0.12383</v>
      </c>
      <c r="C778" s="88">
        <v>38.824199999999998</v>
      </c>
      <c r="D778" s="88">
        <v>0.15032000000000001</v>
      </c>
      <c r="E778" s="76">
        <v>0</v>
      </c>
      <c r="F778" s="89" cm="1">
        <f t="array" ref="F778">5*LOG10(((c_light/1000/H_0_SAM)*(B778/60)*SUMPRODUCT($J$2:$AD$2,1/SQRT(Omega_m*(1+$J$1:$AD$1*B778)^3+Omega_L)))*(1+B778)*100000)</f>
        <v>38.896815552511981</v>
      </c>
      <c r="G778" s="89">
        <f t="shared" si="12"/>
        <v>7.2615552511983594E-2</v>
      </c>
    </row>
    <row r="779" spans="1:7" x14ac:dyDescent="0.6">
      <c r="A779" s="76">
        <v>6406</v>
      </c>
      <c r="B779" s="87">
        <v>0.12393</v>
      </c>
      <c r="C779" s="88">
        <v>38.650399999999998</v>
      </c>
      <c r="D779" s="88">
        <v>0.14580000000000001</v>
      </c>
      <c r="E779" s="76">
        <v>0</v>
      </c>
      <c r="F779" s="89" cm="1">
        <f t="array" ref="F779">5*LOG10(((c_light/1000/H_0_SAM)*(B779/60)*SUMPRODUCT($J$2:$AD$2,1/SQRT(Omega_m*(1+$J$1:$AD$1*B779)^3+Omega_L)))*(1+B779)*100000)</f>
        <v>38.898706329899696</v>
      </c>
      <c r="G779" s="89">
        <f t="shared" si="12"/>
        <v>0.24830632989969814</v>
      </c>
    </row>
    <row r="780" spans="1:7" x14ac:dyDescent="0.6">
      <c r="A780" s="76">
        <v>19543</v>
      </c>
      <c r="B780" s="87">
        <v>0.12404999999999999</v>
      </c>
      <c r="C780" s="88">
        <v>38.835000000000001</v>
      </c>
      <c r="D780" s="88">
        <v>0.22153</v>
      </c>
      <c r="E780" s="76">
        <v>0</v>
      </c>
      <c r="F780" s="89" cm="1">
        <f t="array" ref="F780">5*LOG10(((c_light/1000/H_0_SAM)*(B780/60)*SUMPRODUCT($J$2:$AD$2,1/SQRT(Omega_m*(1+$J$1:$AD$1*B780)^3+Omega_L)))*(1+B780)*100000)</f>
        <v>38.900973370813055</v>
      </c>
      <c r="G780" s="89">
        <f t="shared" si="12"/>
        <v>6.5973370813054544E-2</v>
      </c>
    </row>
    <row r="781" spans="1:7" x14ac:dyDescent="0.6">
      <c r="A781" s="76">
        <v>13044</v>
      </c>
      <c r="B781" s="87">
        <v>0.12472</v>
      </c>
      <c r="C781" s="88">
        <v>38.761600000000001</v>
      </c>
      <c r="D781" s="88">
        <v>0.12587000000000001</v>
      </c>
      <c r="E781" s="76">
        <v>0</v>
      </c>
      <c r="F781" s="89" cm="1">
        <f t="array" ref="F781">5*LOG10(((c_light/1000/H_0_SAM)*(B781/60)*SUMPRODUCT($J$2:$AD$2,1/SQRT(Omega_m*(1+$J$1:$AD$1*B781)^3+Omega_L)))*(1+B781)*100000)</f>
        <v>38.913593262267391</v>
      </c>
      <c r="G781" s="89">
        <f t="shared" si="12"/>
        <v>0.15199326226738918</v>
      </c>
    </row>
    <row r="782" spans="1:7" x14ac:dyDescent="0.6">
      <c r="A782" s="76">
        <v>15459</v>
      </c>
      <c r="B782" s="87">
        <v>0.12559999999999999</v>
      </c>
      <c r="C782" s="88">
        <v>39.1417</v>
      </c>
      <c r="D782" s="88">
        <v>0.29893999999999998</v>
      </c>
      <c r="E782" s="76">
        <v>0</v>
      </c>
      <c r="F782" s="89" cm="1">
        <f t="array" ref="F782">5*LOG10(((c_light/1000/H_0_SAM)*(B782/60)*SUMPRODUCT($J$2:$AD$2,1/SQRT(Omega_m*(1+$J$1:$AD$1*B782)^3+Omega_L)))*(1+B782)*100000)</f>
        <v>38.930072205654227</v>
      </c>
      <c r="G782" s="89">
        <f t="shared" si="12"/>
        <v>-0.21162779434577317</v>
      </c>
    </row>
    <row r="783" spans="1:7" x14ac:dyDescent="0.6">
      <c r="A783" s="76">
        <v>2992</v>
      </c>
      <c r="B783" s="87">
        <v>0.12623000000000001</v>
      </c>
      <c r="C783" s="88">
        <v>38.495600000000003</v>
      </c>
      <c r="D783" s="88">
        <v>0.29335</v>
      </c>
      <c r="E783" s="76">
        <v>0</v>
      </c>
      <c r="F783" s="89" cm="1">
        <f t="array" ref="F783">5*LOG10(((c_light/1000/H_0_SAM)*(B783/60)*SUMPRODUCT($J$2:$AD$2,1/SQRT(Omega_m*(1+$J$1:$AD$1*B783)^3+Omega_L)))*(1+B783)*100000)</f>
        <v>38.941803140094734</v>
      </c>
      <c r="G783" s="89">
        <f t="shared" si="12"/>
        <v>0.44620314009473105</v>
      </c>
    </row>
    <row r="784" spans="1:7" x14ac:dyDescent="0.6">
      <c r="A784" s="76">
        <v>16069</v>
      </c>
      <c r="B784" s="87">
        <v>0.12706000000000001</v>
      </c>
      <c r="C784" s="88">
        <v>38.8125</v>
      </c>
      <c r="D784" s="88">
        <v>0.25968000000000002</v>
      </c>
      <c r="E784" s="76">
        <v>0</v>
      </c>
      <c r="F784" s="89" cm="1">
        <f t="array" ref="F784">5*LOG10(((c_light/1000/H_0_SAM)*(B784/60)*SUMPRODUCT($J$2:$AD$2,1/SQRT(Omega_m*(1+$J$1:$AD$1*B784)^3+Omega_L)))*(1+B784)*100000)</f>
        <v>38.957174512396485</v>
      </c>
      <c r="G784" s="89">
        <f t="shared" si="12"/>
        <v>0.14467451239648454</v>
      </c>
    </row>
    <row r="785" spans="1:7" x14ac:dyDescent="0.6">
      <c r="A785" s="76">
        <v>744</v>
      </c>
      <c r="B785" s="87">
        <v>0.12709999999999999</v>
      </c>
      <c r="C785" s="88">
        <v>38.684899999999999</v>
      </c>
      <c r="D785" s="88">
        <v>0.28088000000000002</v>
      </c>
      <c r="E785" s="76">
        <v>0</v>
      </c>
      <c r="F785" s="89" cm="1">
        <f t="array" ref="F785">5*LOG10(((c_light/1000/H_0_SAM)*(B785/60)*SUMPRODUCT($J$2:$AD$2,1/SQRT(Omega_m*(1+$J$1:$AD$1*B785)^3+Omega_L)))*(1+B785)*100000)</f>
        <v>38.957912917367892</v>
      </c>
      <c r="G785" s="89">
        <f t="shared" si="12"/>
        <v>0.27301291736789324</v>
      </c>
    </row>
    <row r="786" spans="1:7" x14ac:dyDescent="0.6">
      <c r="A786" s="76">
        <v>14871</v>
      </c>
      <c r="B786" s="87">
        <v>0.12720000000000001</v>
      </c>
      <c r="C786" s="88">
        <v>38.742899999999999</v>
      </c>
      <c r="D786" s="88">
        <v>0.15951000000000001</v>
      </c>
      <c r="E786" s="76">
        <v>0</v>
      </c>
      <c r="F786" s="89" cm="1">
        <f t="array" ref="F786">5*LOG10(((c_light/1000/H_0_SAM)*(B786/60)*SUMPRODUCT($J$2:$AD$2,1/SQRT(Omega_m*(1+$J$1:$AD$1*B786)^3+Omega_L)))*(1+B786)*100000)</f>
        <v>38.959757975512417</v>
      </c>
      <c r="G786" s="89">
        <f t="shared" si="12"/>
        <v>0.21685797551241848</v>
      </c>
    </row>
    <row r="787" spans="1:7" x14ac:dyDescent="0.6">
      <c r="A787" s="76">
        <v>18855</v>
      </c>
      <c r="B787" s="87">
        <v>0.12731999999999999</v>
      </c>
      <c r="C787" s="88">
        <v>38.784100000000002</v>
      </c>
      <c r="D787" s="88">
        <v>0.17691000000000001</v>
      </c>
      <c r="E787" s="76">
        <v>0</v>
      </c>
      <c r="F787" s="89" cm="1">
        <f t="array" ref="F787">5*LOG10(((c_light/1000/H_0_SAM)*(B787/60)*SUMPRODUCT($J$2:$AD$2,1/SQRT(Omega_m*(1+$J$1:$AD$1*B787)^3+Omega_L)))*(1+B787)*100000)</f>
        <v>38.961970248198845</v>
      </c>
      <c r="G787" s="89">
        <f t="shared" si="12"/>
        <v>0.17787024819884323</v>
      </c>
    </row>
    <row r="788" spans="1:7" x14ac:dyDescent="0.6">
      <c r="A788" s="76">
        <v>22075</v>
      </c>
      <c r="B788" s="87">
        <v>0.12920000000000001</v>
      </c>
      <c r="C788" s="88">
        <v>38.7547</v>
      </c>
      <c r="D788" s="88">
        <v>0.15098</v>
      </c>
      <c r="E788" s="76">
        <v>0</v>
      </c>
      <c r="F788" s="89" cm="1">
        <f t="array" ref="F788">5*LOG10(((c_light/1000/H_0_SAM)*(B788/60)*SUMPRODUCT($J$2:$AD$2,1/SQRT(Omega_m*(1+$J$1:$AD$1*B788)^3+Omega_L)))*(1+B788)*100000)</f>
        <v>38.996375987368921</v>
      </c>
      <c r="G788" s="89">
        <f t="shared" si="12"/>
        <v>0.2416759873689216</v>
      </c>
    </row>
    <row r="789" spans="1:7" x14ac:dyDescent="0.6">
      <c r="A789" s="76">
        <v>1032</v>
      </c>
      <c r="B789" s="87">
        <v>0.12920999999999999</v>
      </c>
      <c r="C789" s="88">
        <v>38.840299999999999</v>
      </c>
      <c r="D789" s="88">
        <v>0.21279999999999999</v>
      </c>
      <c r="E789" s="76">
        <v>0</v>
      </c>
      <c r="F789" s="89" cm="1">
        <f t="array" ref="F789">5*LOG10(((c_light/1000/H_0_SAM)*(B789/60)*SUMPRODUCT($J$2:$AD$2,1/SQRT(Omega_m*(1+$J$1:$AD$1*B789)^3+Omega_L)))*(1+B789)*100000)</f>
        <v>38.996557736952475</v>
      </c>
      <c r="G789" s="89">
        <f t="shared" si="12"/>
        <v>0.15625773695247602</v>
      </c>
    </row>
    <row r="790" spans="1:7" x14ac:dyDescent="0.6">
      <c r="A790" s="76">
        <v>5751</v>
      </c>
      <c r="B790" s="87">
        <v>0.1295</v>
      </c>
      <c r="C790" s="88">
        <v>38.832999999999998</v>
      </c>
      <c r="D790" s="88">
        <v>0.25044</v>
      </c>
      <c r="E790" s="76">
        <v>0</v>
      </c>
      <c r="F790" s="89" cm="1">
        <f t="array" ref="F790">5*LOG10(((c_light/1000/H_0_SAM)*(B790/60)*SUMPRODUCT($J$2:$AD$2,1/SQRT(Omega_m*(1+$J$1:$AD$1*B790)^3+Omega_L)))*(1+B790)*100000)</f>
        <v>39.001822740762833</v>
      </c>
      <c r="G790" s="89">
        <f t="shared" si="12"/>
        <v>0.16882274076283466</v>
      </c>
    </row>
    <row r="791" spans="1:7" x14ac:dyDescent="0.6">
      <c r="A791" s="76">
        <v>18415</v>
      </c>
      <c r="B791" s="87">
        <v>0.12958</v>
      </c>
      <c r="C791" s="88">
        <v>38.8429</v>
      </c>
      <c r="D791" s="88">
        <v>0.14274999999999999</v>
      </c>
      <c r="E791" s="76">
        <v>0</v>
      </c>
      <c r="F791" s="89" cm="1">
        <f t="array" ref="F791">5*LOG10(((c_light/1000/H_0_SAM)*(B791/60)*SUMPRODUCT($J$2:$AD$2,1/SQRT(Omega_m*(1+$J$1:$AD$1*B791)^3+Omega_L)))*(1+B791)*100000)</f>
        <v>39.003273208457308</v>
      </c>
      <c r="G791" s="89">
        <f t="shared" si="12"/>
        <v>0.16037320845730818</v>
      </c>
    </row>
    <row r="792" spans="1:7" x14ac:dyDescent="0.6">
      <c r="A792" s="76">
        <v>18809</v>
      </c>
      <c r="B792" s="87">
        <v>0.13169</v>
      </c>
      <c r="C792" s="88">
        <v>38.802</v>
      </c>
      <c r="D792" s="88">
        <v>0.13458000000000001</v>
      </c>
      <c r="E792" s="76">
        <v>0</v>
      </c>
      <c r="F792" s="89" cm="1">
        <f t="array" ref="F792">5*LOG10(((c_light/1000/H_0_SAM)*(B792/60)*SUMPRODUCT($J$2:$AD$2,1/SQRT(Omega_m*(1+$J$1:$AD$1*B792)^3+Omega_L)))*(1+B792)*100000)</f>
        <v>39.041229104660687</v>
      </c>
      <c r="G792" s="89">
        <f t="shared" si="12"/>
        <v>0.23922910466068714</v>
      </c>
    </row>
    <row r="793" spans="1:7" x14ac:dyDescent="0.6">
      <c r="A793" s="76">
        <v>151034</v>
      </c>
      <c r="B793" s="87">
        <v>0.13281000000000001</v>
      </c>
      <c r="C793" s="88">
        <v>38.784100000000002</v>
      </c>
      <c r="D793" s="88">
        <v>0.12218</v>
      </c>
      <c r="E793" s="76">
        <v>0</v>
      </c>
      <c r="F793" s="89" cm="1">
        <f t="array" ref="F793">5*LOG10(((c_light/1000/H_0_SAM)*(B793/60)*SUMPRODUCT($J$2:$AD$2,1/SQRT(Omega_m*(1+$J$1:$AD$1*B793)^3+Omega_L)))*(1+B793)*100000)</f>
        <v>39.061145171196848</v>
      </c>
      <c r="G793" s="89">
        <f t="shared" si="12"/>
        <v>0.27704517119684624</v>
      </c>
    </row>
    <row r="794" spans="1:7" x14ac:dyDescent="0.6">
      <c r="A794" s="76">
        <v>1334084</v>
      </c>
      <c r="B794" s="87">
        <v>0.13366</v>
      </c>
      <c r="C794" s="88">
        <v>38.826599999999999</v>
      </c>
      <c r="D794" s="88">
        <v>0.28372000000000003</v>
      </c>
      <c r="E794" s="76">
        <v>0</v>
      </c>
      <c r="F794" s="89" cm="1">
        <f t="array" ref="F794">5*LOG10(((c_light/1000/H_0_SAM)*(B794/60)*SUMPRODUCT($J$2:$AD$2,1/SQRT(Omega_m*(1+$J$1:$AD$1*B794)^3+Omega_L)))*(1+B794)*100000)</f>
        <v>39.07615521216816</v>
      </c>
      <c r="G794" s="89">
        <f t="shared" si="12"/>
        <v>0.24955521216816123</v>
      </c>
    </row>
    <row r="795" spans="1:7" x14ac:dyDescent="0.6">
      <c r="A795" s="76">
        <v>15508</v>
      </c>
      <c r="B795" s="87">
        <v>0.13372000000000001</v>
      </c>
      <c r="C795" s="88">
        <v>38.843400000000003</v>
      </c>
      <c r="D795" s="88">
        <v>0.15770000000000001</v>
      </c>
      <c r="E795" s="76">
        <v>0</v>
      </c>
      <c r="F795" s="89" cm="1">
        <f t="array" ref="F795">5*LOG10(((c_light/1000/H_0_SAM)*(B795/60)*SUMPRODUCT($J$2:$AD$2,1/SQRT(Omega_m*(1+$J$1:$AD$1*B795)^3+Omega_L)))*(1+B795)*100000)</f>
        <v>39.077211360467913</v>
      </c>
      <c r="G795" s="89">
        <f t="shared" si="12"/>
        <v>0.23381136046791084</v>
      </c>
    </row>
    <row r="796" spans="1:7" x14ac:dyDescent="0.6">
      <c r="A796" s="76">
        <v>14108</v>
      </c>
      <c r="B796" s="87">
        <v>0.13477</v>
      </c>
      <c r="C796" s="88">
        <v>39.236600000000003</v>
      </c>
      <c r="D796" s="88">
        <v>0.19936000000000001</v>
      </c>
      <c r="E796" s="76">
        <v>0</v>
      </c>
      <c r="F796" s="89" cm="1">
        <f t="array" ref="F796">5*LOG10(((c_light/1000/H_0_SAM)*(B796/60)*SUMPRODUCT($J$2:$AD$2,1/SQRT(Omega_m*(1+$J$1:$AD$1*B796)^3+Omega_L)))*(1+B796)*100000)</f>
        <v>39.095622412859605</v>
      </c>
      <c r="G796" s="89">
        <f t="shared" si="12"/>
        <v>-0.14097758714039799</v>
      </c>
    </row>
    <row r="797" spans="1:7" x14ac:dyDescent="0.6">
      <c r="A797" s="76">
        <v>15234</v>
      </c>
      <c r="B797" s="87">
        <v>0.13535</v>
      </c>
      <c r="C797" s="88">
        <v>39.077500000000001</v>
      </c>
      <c r="D797" s="88">
        <v>0.31333</v>
      </c>
      <c r="E797" s="76">
        <v>0</v>
      </c>
      <c r="F797" s="89" cm="1">
        <f t="array" ref="F797">5*LOG10(((c_light/1000/H_0_SAM)*(B797/60)*SUMPRODUCT($J$2:$AD$2,1/SQRT(Omega_m*(1+$J$1:$AD$1*B797)^3+Omega_L)))*(1+B797)*100000)</f>
        <v>39.105734772845231</v>
      </c>
      <c r="G797" s="89">
        <f t="shared" si="12"/>
        <v>2.8234772845230793E-2</v>
      </c>
    </row>
    <row r="798" spans="1:7" x14ac:dyDescent="0.6">
      <c r="A798" s="76">
        <v>14</v>
      </c>
      <c r="B798" s="87">
        <v>0.13614000000000001</v>
      </c>
      <c r="C798" s="88">
        <v>38.9771</v>
      </c>
      <c r="D798" s="88">
        <v>0.20663000000000001</v>
      </c>
      <c r="E798" s="76">
        <v>0</v>
      </c>
      <c r="F798" s="89" cm="1">
        <f t="array" ref="F798">5*LOG10(((c_light/1000/H_0_SAM)*(B798/60)*SUMPRODUCT($J$2:$AD$2,1/SQRT(Omega_m*(1+$J$1:$AD$1*B798)^3+Omega_L)))*(1+B798)*100000)</f>
        <v>39.119443387830025</v>
      </c>
      <c r="G798" s="89">
        <f t="shared" si="12"/>
        <v>0.14234338783002443</v>
      </c>
    </row>
    <row r="799" spans="1:7" x14ac:dyDescent="0.6">
      <c r="A799" s="76">
        <v>17629</v>
      </c>
      <c r="B799" s="87">
        <v>0.13658000000000001</v>
      </c>
      <c r="C799" s="88">
        <v>38.847499999999997</v>
      </c>
      <c r="D799" s="88">
        <v>0.19556999999999999</v>
      </c>
      <c r="E799" s="76">
        <v>0</v>
      </c>
      <c r="F799" s="89" cm="1">
        <f t="array" ref="F799">5*LOG10(((c_light/1000/H_0_SAM)*(B799/60)*SUMPRODUCT($J$2:$AD$2,1/SQRT(Omega_m*(1+$J$1:$AD$1*B799)^3+Omega_L)))*(1+B799)*100000)</f>
        <v>39.127046288707056</v>
      </c>
      <c r="G799" s="89">
        <f t="shared" si="12"/>
        <v>0.27954628870705989</v>
      </c>
    </row>
    <row r="800" spans="1:7" x14ac:dyDescent="0.6">
      <c r="A800" s="76">
        <v>19775</v>
      </c>
      <c r="B800" s="87">
        <v>0.13700000000000001</v>
      </c>
      <c r="C800" s="88">
        <v>39.009500000000003</v>
      </c>
      <c r="D800" s="88">
        <v>0.2243</v>
      </c>
      <c r="E800" s="76">
        <v>0</v>
      </c>
      <c r="F800" s="89" cm="1">
        <f t="array" ref="F800">5*LOG10(((c_light/1000/H_0_SAM)*(B800/60)*SUMPRODUCT($J$2:$AD$2,1/SQRT(Omega_m*(1+$J$1:$AD$1*B800)^3+Omega_L)))*(1+B800)*100000)</f>
        <v>39.134282232111381</v>
      </c>
      <c r="G800" s="89">
        <f t="shared" si="12"/>
        <v>0.12478223211137873</v>
      </c>
    </row>
    <row r="801" spans="1:7" x14ac:dyDescent="0.6">
      <c r="A801" s="76">
        <v>18602</v>
      </c>
      <c r="B801" s="87">
        <v>0.13713</v>
      </c>
      <c r="C801" s="88">
        <v>38.961599999999997</v>
      </c>
      <c r="D801" s="88">
        <v>0.25913999999999998</v>
      </c>
      <c r="E801" s="76">
        <v>0</v>
      </c>
      <c r="F801" s="89" cm="1">
        <f t="array" ref="F801">5*LOG10(((c_light/1000/H_0_SAM)*(B801/60)*SUMPRODUCT($J$2:$AD$2,1/SQRT(Omega_m*(1+$J$1:$AD$1*B801)^3+Omega_L)))*(1+B801)*100000)</f>
        <v>39.136517718543132</v>
      </c>
      <c r="G801" s="89">
        <f t="shared" si="12"/>
        <v>0.17491771854313498</v>
      </c>
    </row>
    <row r="802" spans="1:7" x14ac:dyDescent="0.6">
      <c r="A802" s="76">
        <v>21062</v>
      </c>
      <c r="B802" s="87">
        <v>0.13744999999999999</v>
      </c>
      <c r="C802" s="88">
        <v>39.351100000000002</v>
      </c>
      <c r="D802" s="88">
        <v>0.23039000000000001</v>
      </c>
      <c r="E802" s="76">
        <v>0</v>
      </c>
      <c r="F802" s="89" cm="1">
        <f t="array" ref="F802">5*LOG10(((c_light/1000/H_0_SAM)*(B802/60)*SUMPRODUCT($J$2:$AD$2,1/SQRT(Omega_m*(1+$J$1:$AD$1*B802)^3+Omega_L)))*(1+B802)*100000)</f>
        <v>39.142012010126685</v>
      </c>
      <c r="G802" s="89">
        <f t="shared" si="12"/>
        <v>-0.20908798987331778</v>
      </c>
    </row>
    <row r="803" spans="1:7" x14ac:dyDescent="0.6">
      <c r="A803" s="76">
        <v>17366</v>
      </c>
      <c r="B803" s="87">
        <v>0.13822000000000001</v>
      </c>
      <c r="C803" s="88">
        <v>38.8857</v>
      </c>
      <c r="D803" s="88">
        <v>0.12848000000000001</v>
      </c>
      <c r="E803" s="76">
        <v>0</v>
      </c>
      <c r="F803" s="89" cm="1">
        <f t="array" ref="F803">5*LOG10(((c_light/1000/H_0_SAM)*(B803/60)*SUMPRODUCT($J$2:$AD$2,1/SQRT(Omega_m*(1+$J$1:$AD$1*B803)^3+Omega_L)))*(1+B803)*100000)</f>
        <v>39.155183718211305</v>
      </c>
      <c r="G803" s="89">
        <f t="shared" si="12"/>
        <v>0.26948371821130479</v>
      </c>
    </row>
    <row r="804" spans="1:7" x14ac:dyDescent="0.6">
      <c r="A804" s="76">
        <v>15171</v>
      </c>
      <c r="B804" s="87">
        <v>0.13825999999999999</v>
      </c>
      <c r="C804" s="88">
        <v>38.950299999999999</v>
      </c>
      <c r="D804" s="88">
        <v>0.15973999999999999</v>
      </c>
      <c r="E804" s="76">
        <v>0</v>
      </c>
      <c r="F804" s="89" cm="1">
        <f t="array" ref="F804">5*LOG10(((c_light/1000/H_0_SAM)*(B804/60)*SUMPRODUCT($J$2:$AD$2,1/SQRT(Omega_m*(1+$J$1:$AD$1*B804)^3+Omega_L)))*(1+B804)*100000)</f>
        <v>39.155866084030336</v>
      </c>
      <c r="G804" s="89">
        <f t="shared" si="12"/>
        <v>0.20556608403033749</v>
      </c>
    </row>
    <row r="805" spans="1:7" x14ac:dyDescent="0.6">
      <c r="A805" s="76">
        <v>190340</v>
      </c>
      <c r="B805" s="87">
        <v>0.1384</v>
      </c>
      <c r="C805" s="88">
        <v>39.0229</v>
      </c>
      <c r="D805" s="88">
        <v>0.12425</v>
      </c>
      <c r="E805" s="76">
        <v>0</v>
      </c>
      <c r="F805" s="89" cm="1">
        <f t="array" ref="F805">5*LOG10(((c_light/1000/H_0_SAM)*(B805/60)*SUMPRODUCT($J$2:$AD$2,1/SQRT(Omega_m*(1+$J$1:$AD$1*B805)^3+Omega_L)))*(1+B805)*100000)</f>
        <v>39.158252909737719</v>
      </c>
      <c r="G805" s="89">
        <f t="shared" si="12"/>
        <v>0.13535290973771907</v>
      </c>
    </row>
    <row r="806" spans="1:7" x14ac:dyDescent="0.6">
      <c r="A806" s="76">
        <v>20084</v>
      </c>
      <c r="B806" s="87">
        <v>0.13850999999999999</v>
      </c>
      <c r="C806" s="88">
        <v>39.040100000000002</v>
      </c>
      <c r="D806" s="88">
        <v>0.31907999999999997</v>
      </c>
      <c r="E806" s="76">
        <v>0</v>
      </c>
      <c r="F806" s="89" cm="1">
        <f t="array" ref="F806">5*LOG10(((c_light/1000/H_0_SAM)*(B806/60)*SUMPRODUCT($J$2:$AD$2,1/SQRT(Omega_m*(1+$J$1:$AD$1*B806)^3+Omega_L)))*(1+B806)*100000)</f>
        <v>39.160126687552498</v>
      </c>
      <c r="G806" s="89">
        <f t="shared" si="12"/>
        <v>0.12002668755249601</v>
      </c>
    </row>
    <row r="807" spans="1:7" x14ac:dyDescent="0.6">
      <c r="A807" s="76">
        <v>12928</v>
      </c>
      <c r="B807" s="87">
        <v>0.13875000000000001</v>
      </c>
      <c r="C807" s="88">
        <v>38.999899999999997</v>
      </c>
      <c r="D807" s="88">
        <v>0.17602000000000001</v>
      </c>
      <c r="E807" s="76">
        <v>0</v>
      </c>
      <c r="F807" s="89" cm="1">
        <f t="array" ref="F807">5*LOG10(((c_light/1000/H_0_SAM)*(B807/60)*SUMPRODUCT($J$2:$AD$2,1/SQRT(Omega_m*(1+$J$1:$AD$1*B807)^3+Omega_L)))*(1+B807)*100000)</f>
        <v>39.164210099110058</v>
      </c>
      <c r="G807" s="89">
        <f t="shared" si="12"/>
        <v>0.164310099110061</v>
      </c>
    </row>
    <row r="808" spans="1:7" x14ac:dyDescent="0.6">
      <c r="A808" s="76">
        <v>190230</v>
      </c>
      <c r="B808" s="87">
        <v>0.13880000000000001</v>
      </c>
      <c r="C808" s="88">
        <v>39.046700000000001</v>
      </c>
      <c r="D808" s="88">
        <v>0.13074</v>
      </c>
      <c r="E808" s="76">
        <v>0</v>
      </c>
      <c r="F808" s="89" cm="1">
        <f t="array" ref="F808">5*LOG10(((c_light/1000/H_0_SAM)*(B808/60)*SUMPRODUCT($J$2:$AD$2,1/SQRT(Omega_m*(1+$J$1:$AD$1*B808)^3+Omega_L)))*(1+B808)*100000)</f>
        <v>39.165059977517394</v>
      </c>
      <c r="G808" s="89">
        <f t="shared" si="12"/>
        <v>0.11835997751739313</v>
      </c>
    </row>
    <row r="809" spans="1:7" x14ac:dyDescent="0.6">
      <c r="A809" s="76">
        <v>90275</v>
      </c>
      <c r="B809" s="87">
        <v>0.13955000000000001</v>
      </c>
      <c r="C809" s="88">
        <v>39.021299999999997</v>
      </c>
      <c r="D809" s="88">
        <v>0.14577000000000001</v>
      </c>
      <c r="E809" s="76">
        <v>0</v>
      </c>
      <c r="F809" s="89" cm="1">
        <f t="array" ref="F809">5*LOG10(((c_light/1000/H_0_SAM)*(B809/60)*SUMPRODUCT($J$2:$AD$2,1/SQRT(Omega_m*(1+$J$1:$AD$1*B809)^3+Omega_L)))*(1+B809)*100000)</f>
        <v>39.177773881134513</v>
      </c>
      <c r="G809" s="89">
        <f t="shared" si="12"/>
        <v>0.15647388113451655</v>
      </c>
    </row>
    <row r="810" spans="1:7" x14ac:dyDescent="0.6">
      <c r="A810" s="76">
        <v>1794</v>
      </c>
      <c r="B810" s="87">
        <v>0.14082</v>
      </c>
      <c r="C810" s="88">
        <v>39.177500000000002</v>
      </c>
      <c r="D810" s="88">
        <v>0.18401999999999999</v>
      </c>
      <c r="E810" s="76">
        <v>0</v>
      </c>
      <c r="F810" s="89" cm="1">
        <f t="array" ref="F810">5*LOG10(((c_light/1000/H_0_SAM)*(B810/60)*SUMPRODUCT($J$2:$AD$2,1/SQRT(Omega_m*(1+$J$1:$AD$1*B810)^3+Omega_L)))*(1+B810)*100000)</f>
        <v>39.199157639904307</v>
      </c>
      <c r="G810" s="89">
        <f t="shared" si="12"/>
        <v>2.1657639904304915E-2</v>
      </c>
    </row>
    <row r="811" spans="1:7" x14ac:dyDescent="0.6">
      <c r="A811" s="76">
        <v>17208</v>
      </c>
      <c r="B811" s="87">
        <v>0.14104</v>
      </c>
      <c r="C811" s="88">
        <v>39.283499999999997</v>
      </c>
      <c r="D811" s="88">
        <v>0.20351</v>
      </c>
      <c r="E811" s="76">
        <v>0</v>
      </c>
      <c r="F811" s="89" cm="1">
        <f t="array" ref="F811">5*LOG10(((c_light/1000/H_0_SAM)*(B811/60)*SUMPRODUCT($J$2:$AD$2,1/SQRT(Omega_m*(1+$J$1:$AD$1*B811)^3+Omega_L)))*(1+B811)*100000)</f>
        <v>39.202843564198645</v>
      </c>
      <c r="G811" s="89">
        <f t="shared" si="12"/>
        <v>-8.0656435801351734E-2</v>
      </c>
    </row>
    <row r="812" spans="1:7" x14ac:dyDescent="0.6">
      <c r="A812" s="76">
        <v>340229</v>
      </c>
      <c r="B812" s="87">
        <v>0.14122999999999999</v>
      </c>
      <c r="C812" s="88">
        <v>39.040700000000001</v>
      </c>
      <c r="D812" s="88">
        <v>0.21243000000000001</v>
      </c>
      <c r="E812" s="76">
        <v>0</v>
      </c>
      <c r="F812" s="89" cm="1">
        <f t="array" ref="F812">5*LOG10(((c_light/1000/H_0_SAM)*(B812/60)*SUMPRODUCT($J$2:$AD$2,1/SQRT(Omega_m*(1+$J$1:$AD$1*B812)^3+Omega_L)))*(1+B812)*100000)</f>
        <v>39.206022536052089</v>
      </c>
      <c r="G812" s="89">
        <f t="shared" si="12"/>
        <v>0.1653225360520878</v>
      </c>
    </row>
    <row r="813" spans="1:7" x14ac:dyDescent="0.6">
      <c r="A813" s="76">
        <v>1317666</v>
      </c>
      <c r="B813" s="87">
        <v>0.14133999999999999</v>
      </c>
      <c r="C813" s="88">
        <v>39.123699999999999</v>
      </c>
      <c r="D813" s="88">
        <v>0.26085999999999998</v>
      </c>
      <c r="E813" s="76">
        <v>0</v>
      </c>
      <c r="F813" s="89" cm="1">
        <f t="array" ref="F813">5*LOG10(((c_light/1000/H_0_SAM)*(B813/60)*SUMPRODUCT($J$2:$AD$2,1/SQRT(Omega_m*(1+$J$1:$AD$1*B813)^3+Omega_L)))*(1+B813)*100000)</f>
        <v>39.207861165121862</v>
      </c>
      <c r="G813" s="89">
        <f t="shared" si="12"/>
        <v>8.416116512186278E-2</v>
      </c>
    </row>
    <row r="814" spans="1:7" x14ac:dyDescent="0.6">
      <c r="A814" s="76">
        <v>2635</v>
      </c>
      <c r="B814" s="87">
        <v>0.14324999999999999</v>
      </c>
      <c r="C814" s="88">
        <v>39.046999999999997</v>
      </c>
      <c r="D814" s="88">
        <v>0.16059999999999999</v>
      </c>
      <c r="E814" s="76">
        <v>0</v>
      </c>
      <c r="F814" s="89" cm="1">
        <f t="array" ref="F814">5*LOG10(((c_light/1000/H_0_SAM)*(B814/60)*SUMPRODUCT($J$2:$AD$2,1/SQRT(Omega_m*(1+$J$1:$AD$1*B814)^3+Omega_L)))*(1+B814)*100000)</f>
        <v>39.23957486715419</v>
      </c>
      <c r="G814" s="89">
        <f t="shared" si="12"/>
        <v>0.19257486715419248</v>
      </c>
    </row>
    <row r="815" spans="1:7" x14ac:dyDescent="0.6">
      <c r="A815" s="76">
        <v>17568</v>
      </c>
      <c r="B815" s="87">
        <v>0.14344999999999999</v>
      </c>
      <c r="C815" s="88">
        <v>39.5154</v>
      </c>
      <c r="D815" s="88">
        <v>0.37064999999999998</v>
      </c>
      <c r="E815" s="76">
        <v>0</v>
      </c>
      <c r="F815" s="89" cm="1">
        <f t="array" ref="F815">5*LOG10(((c_light/1000/H_0_SAM)*(B815/60)*SUMPRODUCT($J$2:$AD$2,1/SQRT(Omega_m*(1+$J$1:$AD$1*B815)^3+Omega_L)))*(1+B815)*100000)</f>
        <v>39.242872766890578</v>
      </c>
      <c r="G815" s="89">
        <f t="shared" si="12"/>
        <v>-0.27252723310942173</v>
      </c>
    </row>
    <row r="816" spans="1:7" x14ac:dyDescent="0.6">
      <c r="A816" s="76">
        <v>190260</v>
      </c>
      <c r="B816" s="87">
        <v>0.14359</v>
      </c>
      <c r="C816" s="88">
        <v>39.113500000000002</v>
      </c>
      <c r="D816" s="88">
        <v>0.12948999999999999</v>
      </c>
      <c r="E816" s="76">
        <v>0</v>
      </c>
      <c r="F816" s="89" cm="1">
        <f t="array" ref="F816">5*LOG10(((c_light/1000/H_0_SAM)*(B816/60)*SUMPRODUCT($J$2:$AD$2,1/SQRT(Omega_m*(1+$J$1:$AD$1*B816)^3+Omega_L)))*(1+B816)*100000)</f>
        <v>39.245178739536669</v>
      </c>
      <c r="G816" s="89">
        <f t="shared" si="12"/>
        <v>0.13167873953666742</v>
      </c>
    </row>
    <row r="817" spans="1:7" x14ac:dyDescent="0.6">
      <c r="A817" s="76">
        <v>17497</v>
      </c>
      <c r="B817" s="87">
        <v>0.14404</v>
      </c>
      <c r="C817" s="88">
        <v>39.075600000000001</v>
      </c>
      <c r="D817" s="88">
        <v>0.17058999999999999</v>
      </c>
      <c r="E817" s="76">
        <v>0</v>
      </c>
      <c r="F817" s="89" cm="1">
        <f t="array" ref="F817">5*LOG10(((c_light/1000/H_0_SAM)*(B817/60)*SUMPRODUCT($J$2:$AD$2,1/SQRT(Omega_m*(1+$J$1:$AD$1*B817)^3+Omega_L)))*(1+B817)*100000)</f>
        <v>39.25257658267958</v>
      </c>
      <c r="G817" s="89">
        <f t="shared" si="12"/>
        <v>0.17697658267957905</v>
      </c>
    </row>
    <row r="818" spans="1:7" x14ac:dyDescent="0.6">
      <c r="A818" s="76">
        <v>8921</v>
      </c>
      <c r="B818" s="87">
        <v>0.14423</v>
      </c>
      <c r="C818" s="88">
        <v>39.015999999999998</v>
      </c>
      <c r="D818" s="88">
        <v>0.24096000000000001</v>
      </c>
      <c r="E818" s="76">
        <v>0</v>
      </c>
      <c r="F818" s="89" cm="1">
        <f t="array" ref="F818">5*LOG10(((c_light/1000/H_0_SAM)*(B818/60)*SUMPRODUCT($J$2:$AD$2,1/SQRT(Omega_m*(1+$J$1:$AD$1*B818)^3+Omega_L)))*(1+B818)*100000)</f>
        <v>39.255693630527809</v>
      </c>
      <c r="G818" s="89">
        <f t="shared" si="12"/>
        <v>0.23969363052781034</v>
      </c>
    </row>
    <row r="819" spans="1:7" x14ac:dyDescent="0.6">
      <c r="A819" s="76">
        <v>17605</v>
      </c>
      <c r="B819" s="87">
        <v>0.14541999999999999</v>
      </c>
      <c r="C819" s="88">
        <v>39.151800000000001</v>
      </c>
      <c r="D819" s="88">
        <v>0.21016000000000001</v>
      </c>
      <c r="E819" s="76">
        <v>0</v>
      </c>
      <c r="F819" s="89" cm="1">
        <f t="array" ref="F819">5*LOG10(((c_light/1000/H_0_SAM)*(B819/60)*SUMPRODUCT($J$2:$AD$2,1/SQRT(Omega_m*(1+$J$1:$AD$1*B819)^3+Omega_L)))*(1+B819)*100000)</f>
        <v>39.275129326837821</v>
      </c>
      <c r="G819" s="89">
        <f t="shared" si="12"/>
        <v>0.12332932683781905</v>
      </c>
    </row>
    <row r="820" spans="1:7" x14ac:dyDescent="0.6">
      <c r="A820" s="76">
        <v>1296657</v>
      </c>
      <c r="B820" s="87">
        <v>0.14638000000000001</v>
      </c>
      <c r="C820" s="88">
        <v>39.185699999999997</v>
      </c>
      <c r="D820" s="88">
        <v>0.20741000000000001</v>
      </c>
      <c r="E820" s="76">
        <v>0</v>
      </c>
      <c r="F820" s="89" cm="1">
        <f t="array" ref="F820">5*LOG10(((c_light/1000/H_0_SAM)*(B820/60)*SUMPRODUCT($J$2:$AD$2,1/SQRT(Omega_m*(1+$J$1:$AD$1*B820)^3+Omega_L)))*(1+B820)*100000)</f>
        <v>39.290700514971569</v>
      </c>
      <c r="G820" s="89">
        <f t="shared" si="12"/>
        <v>0.10500051497157159</v>
      </c>
    </row>
    <row r="821" spans="1:7" x14ac:dyDescent="0.6">
      <c r="A821" s="76">
        <v>440008</v>
      </c>
      <c r="B821" s="87">
        <v>0.14652000000000001</v>
      </c>
      <c r="C821" s="88">
        <v>39.158000000000001</v>
      </c>
      <c r="D821" s="88">
        <v>0.18758</v>
      </c>
      <c r="E821" s="76">
        <v>0</v>
      </c>
      <c r="F821" s="89" cm="1">
        <f t="array" ref="F821">5*LOG10(((c_light/1000/H_0_SAM)*(B821/60)*SUMPRODUCT($J$2:$AD$2,1/SQRT(Omega_m*(1+$J$1:$AD$1*B821)^3+Omega_L)))*(1+B821)*100000)</f>
        <v>39.292963335780001</v>
      </c>
      <c r="G821" s="89">
        <f t="shared" si="12"/>
        <v>0.13496333578000019</v>
      </c>
    </row>
    <row r="822" spans="1:7" x14ac:dyDescent="0.6">
      <c r="A822" s="76">
        <v>1316385</v>
      </c>
      <c r="B822" s="87">
        <v>0.14737</v>
      </c>
      <c r="C822" s="88">
        <v>39.0154</v>
      </c>
      <c r="D822" s="88">
        <v>0.19750000000000001</v>
      </c>
      <c r="E822" s="76">
        <v>0</v>
      </c>
      <c r="F822" s="89" cm="1">
        <f t="array" ref="F822">5*LOG10(((c_light/1000/H_0_SAM)*(B822/60)*SUMPRODUCT($J$2:$AD$2,1/SQRT(Omega_m*(1+$J$1:$AD$1*B822)^3+Omega_L)))*(1+B822)*100000)</f>
        <v>39.30665867888515</v>
      </c>
      <c r="G822" s="89">
        <f t="shared" si="12"/>
        <v>0.29125867888514989</v>
      </c>
    </row>
    <row r="823" spans="1:7" x14ac:dyDescent="0.6">
      <c r="A823" s="76">
        <v>13796</v>
      </c>
      <c r="B823" s="87">
        <v>0.14746999999999999</v>
      </c>
      <c r="C823" s="88">
        <v>38.967199999999998</v>
      </c>
      <c r="D823" s="88">
        <v>0.17180000000000001</v>
      </c>
      <c r="E823" s="76">
        <v>0</v>
      </c>
      <c r="F823" s="89" cm="1">
        <f t="array" ref="F823">5*LOG10(((c_light/1000/H_0_SAM)*(B823/60)*SUMPRODUCT($J$2:$AD$2,1/SQRT(Omega_m*(1+$J$1:$AD$1*B823)^3+Omega_L)))*(1+B823)*100000)</f>
        <v>39.308265041070911</v>
      </c>
      <c r="G823" s="89">
        <f t="shared" si="12"/>
        <v>0.3410650410709124</v>
      </c>
    </row>
    <row r="824" spans="1:7" x14ac:dyDescent="0.6">
      <c r="A824" s="76">
        <v>14024</v>
      </c>
      <c r="B824" s="87">
        <v>0.14771000000000001</v>
      </c>
      <c r="C824" s="88">
        <v>39.134</v>
      </c>
      <c r="D824" s="88">
        <v>0.18879000000000001</v>
      </c>
      <c r="E824" s="76">
        <v>0</v>
      </c>
      <c r="F824" s="89" cm="1">
        <f t="array" ref="F824">5*LOG10(((c_light/1000/H_0_SAM)*(B824/60)*SUMPRODUCT($J$2:$AD$2,1/SQRT(Omega_m*(1+$J$1:$AD$1*B824)^3+Omega_L)))*(1+B824)*100000)</f>
        <v>39.312116162491094</v>
      </c>
      <c r="G824" s="89">
        <f t="shared" si="12"/>
        <v>0.17811616249109363</v>
      </c>
    </row>
    <row r="825" spans="1:7" x14ac:dyDescent="0.6">
      <c r="A825" s="76">
        <v>180166</v>
      </c>
      <c r="B825" s="87">
        <v>0.14777999999999999</v>
      </c>
      <c r="C825" s="88">
        <v>39.161000000000001</v>
      </c>
      <c r="D825" s="88">
        <v>0.17018</v>
      </c>
      <c r="E825" s="76">
        <v>0</v>
      </c>
      <c r="F825" s="89" cm="1">
        <f t="array" ref="F825">5*LOG10(((c_light/1000/H_0_SAM)*(B825/60)*SUMPRODUCT($J$2:$AD$2,1/SQRT(Omega_m*(1+$J$1:$AD$1*B825)^3+Omega_L)))*(1+B825)*100000)</f>
        <v>39.313238305210298</v>
      </c>
      <c r="G825" s="89">
        <f t="shared" si="12"/>
        <v>0.15223830521029669</v>
      </c>
    </row>
    <row r="826" spans="1:7" x14ac:dyDescent="0.6">
      <c r="A826" s="76">
        <v>1293758</v>
      </c>
      <c r="B826" s="87">
        <v>0.14802999999999999</v>
      </c>
      <c r="C826" s="88">
        <v>39.228499999999997</v>
      </c>
      <c r="D826" s="88">
        <v>0.18498999999999999</v>
      </c>
      <c r="E826" s="76">
        <v>0</v>
      </c>
      <c r="F826" s="89" cm="1">
        <f t="array" ref="F826">5*LOG10(((c_light/1000/H_0_SAM)*(B826/60)*SUMPRODUCT($J$2:$AD$2,1/SQRT(Omega_m*(1+$J$1:$AD$1*B826)^3+Omega_L)))*(1+B826)*100000)</f>
        <v>39.317241908768565</v>
      </c>
      <c r="G826" s="89">
        <f t="shared" si="12"/>
        <v>8.8741908768568578E-2</v>
      </c>
    </row>
    <row r="827" spans="1:7" x14ac:dyDescent="0.6">
      <c r="A827" s="76">
        <v>14437</v>
      </c>
      <c r="B827" s="87">
        <v>0.14806</v>
      </c>
      <c r="C827" s="88">
        <v>39.038200000000003</v>
      </c>
      <c r="D827" s="88">
        <v>0.15792999999999999</v>
      </c>
      <c r="E827" s="76">
        <v>0</v>
      </c>
      <c r="F827" s="89" cm="1">
        <f t="array" ref="F827">5*LOG10(((c_light/1000/H_0_SAM)*(B827/60)*SUMPRODUCT($J$2:$AD$2,1/SQRT(Omega_m*(1+$J$1:$AD$1*B827)^3+Omega_L)))*(1+B827)*100000)</f>
        <v>39.317721916709033</v>
      </c>
      <c r="G827" s="89">
        <f t="shared" si="12"/>
        <v>0.27952191670902948</v>
      </c>
    </row>
    <row r="828" spans="1:7" x14ac:dyDescent="0.6">
      <c r="A828" s="76">
        <v>1255502</v>
      </c>
      <c r="B828" s="87">
        <v>0.14834</v>
      </c>
      <c r="C828" s="88">
        <v>39.023899999999998</v>
      </c>
      <c r="D828" s="88">
        <v>0.14268</v>
      </c>
      <c r="E828" s="76">
        <v>0</v>
      </c>
      <c r="F828" s="89" cm="1">
        <f t="array" ref="F828">5*LOG10(((c_light/1000/H_0_SAM)*(B828/60)*SUMPRODUCT($J$2:$AD$2,1/SQRT(Omega_m*(1+$J$1:$AD$1*B828)^3+Omega_L)))*(1+B828)*100000)</f>
        <v>39.322197615329188</v>
      </c>
      <c r="G828" s="89">
        <f t="shared" si="12"/>
        <v>0.29829761532919008</v>
      </c>
    </row>
    <row r="829" spans="1:7" x14ac:dyDescent="0.6">
      <c r="A829" s="76">
        <v>13736</v>
      </c>
      <c r="B829" s="87">
        <v>0.14898</v>
      </c>
      <c r="C829" s="88">
        <v>39.160600000000002</v>
      </c>
      <c r="D829" s="88">
        <v>0.17494000000000001</v>
      </c>
      <c r="E829" s="76">
        <v>0</v>
      </c>
      <c r="F829" s="89" cm="1">
        <f t="array" ref="F829">5*LOG10(((c_light/1000/H_0_SAM)*(B829/60)*SUMPRODUCT($J$2:$AD$2,1/SQRT(Omega_m*(1+$J$1:$AD$1*B829)^3+Omega_L)))*(1+B829)*100000)</f>
        <v>39.332398227186573</v>
      </c>
      <c r="G829" s="89">
        <f t="shared" si="12"/>
        <v>0.17179822718657078</v>
      </c>
    </row>
    <row r="830" spans="1:7" x14ac:dyDescent="0.6">
      <c r="A830" s="76">
        <v>2308</v>
      </c>
      <c r="B830" s="87">
        <v>0.14940000000000001</v>
      </c>
      <c r="C830" s="88">
        <v>39.110399999999998</v>
      </c>
      <c r="D830" s="88">
        <v>0.17521999999999999</v>
      </c>
      <c r="E830" s="76">
        <v>0</v>
      </c>
      <c r="F830" s="89" cm="1">
        <f t="array" ref="F830">5*LOG10(((c_light/1000/H_0_SAM)*(B830/60)*SUMPRODUCT($J$2:$AD$2,1/SQRT(Omega_m*(1+$J$1:$AD$1*B830)^3+Omega_L)))*(1+B830)*100000)</f>
        <v>39.339070162384303</v>
      </c>
      <c r="G830" s="89">
        <f t="shared" si="12"/>
        <v>0.22867016238430438</v>
      </c>
    </row>
    <row r="831" spans="1:7" x14ac:dyDescent="0.6">
      <c r="A831" s="76">
        <v>38</v>
      </c>
      <c r="B831" s="87">
        <v>0.15049999999999999</v>
      </c>
      <c r="C831" s="88">
        <v>39.105800000000002</v>
      </c>
      <c r="D831" s="88">
        <v>0.17004</v>
      </c>
      <c r="E831" s="76">
        <v>0</v>
      </c>
      <c r="F831" s="89" cm="1">
        <f t="array" ref="F831">5*LOG10(((c_light/1000/H_0_SAM)*(B831/60)*SUMPRODUCT($J$2:$AD$2,1/SQRT(Omega_m*(1+$J$1:$AD$1*B831)^3+Omega_L)))*(1+B831)*100000)</f>
        <v>39.356461629912552</v>
      </c>
      <c r="G831" s="89">
        <f t="shared" si="12"/>
        <v>0.2506616299125497</v>
      </c>
    </row>
    <row r="832" spans="1:7" x14ac:dyDescent="0.6">
      <c r="A832" s="76">
        <v>460003</v>
      </c>
      <c r="B832" s="87">
        <v>0.15084</v>
      </c>
      <c r="C832" s="88">
        <v>39.168700000000001</v>
      </c>
      <c r="D832" s="88">
        <v>0.13411999999999999</v>
      </c>
      <c r="E832" s="76">
        <v>0</v>
      </c>
      <c r="F832" s="89" cm="1">
        <f t="array" ref="F832">5*LOG10(((c_light/1000/H_0_SAM)*(B832/60)*SUMPRODUCT($J$2:$AD$2,1/SQRT(Omega_m*(1+$J$1:$AD$1*B832)^3+Omega_L)))*(1+B832)*100000)</f>
        <v>39.361813169165444</v>
      </c>
      <c r="G832" s="89">
        <f t="shared" si="12"/>
        <v>0.19311316916544286</v>
      </c>
    </row>
    <row r="833" spans="1:7" x14ac:dyDescent="0.6">
      <c r="A833" s="76">
        <v>2031</v>
      </c>
      <c r="B833" s="87">
        <v>0.15195</v>
      </c>
      <c r="C833" s="88">
        <v>39.047699999999999</v>
      </c>
      <c r="D833" s="88">
        <v>0.15876999999999999</v>
      </c>
      <c r="E833" s="76">
        <v>0</v>
      </c>
      <c r="F833" s="89" cm="1">
        <f t="array" ref="F833">5*LOG10(((c_light/1000/H_0_SAM)*(B833/60)*SUMPRODUCT($J$2:$AD$2,1/SQRT(Omega_m*(1+$J$1:$AD$1*B833)^3+Omega_L)))*(1+B833)*100000)</f>
        <v>39.379206327406699</v>
      </c>
      <c r="G833" s="89">
        <f t="shared" si="12"/>
        <v>0.33150632740670005</v>
      </c>
    </row>
    <row r="834" spans="1:7" x14ac:dyDescent="0.6">
      <c r="A834" s="76">
        <v>18323</v>
      </c>
      <c r="B834" s="87">
        <v>0.15290999999999999</v>
      </c>
      <c r="C834" s="88">
        <v>39.323900000000002</v>
      </c>
      <c r="D834" s="88">
        <v>0.17319999999999999</v>
      </c>
      <c r="E834" s="76">
        <v>0</v>
      </c>
      <c r="F834" s="89" cm="1">
        <f t="array" ref="F834">5*LOG10(((c_light/1000/H_0_SAM)*(B834/60)*SUMPRODUCT($J$2:$AD$2,1/SQRT(Omega_m*(1+$J$1:$AD$1*B834)^3+Omega_L)))*(1+B834)*100000)</f>
        <v>39.394153699767458</v>
      </c>
      <c r="G834" s="89">
        <f t="shared" si="12"/>
        <v>7.0253699767455657E-2</v>
      </c>
    </row>
    <row r="835" spans="1:7" x14ac:dyDescent="0.6">
      <c r="A835" s="76">
        <v>15132</v>
      </c>
      <c r="B835" s="87">
        <v>0.15318000000000001</v>
      </c>
      <c r="C835" s="88">
        <v>39.217500000000001</v>
      </c>
      <c r="D835" s="88">
        <v>0.12775</v>
      </c>
      <c r="E835" s="76">
        <v>0</v>
      </c>
      <c r="F835" s="89" cm="1">
        <f t="array" ref="F835">5*LOG10(((c_light/1000/H_0_SAM)*(B835/60)*SUMPRODUCT($J$2:$AD$2,1/SQRT(Omega_m*(1+$J$1:$AD$1*B835)^3+Omega_L)))*(1+B835)*100000)</f>
        <v>39.398341871808178</v>
      </c>
      <c r="G835" s="89">
        <f t="shared" si="12"/>
        <v>0.18084187180817679</v>
      </c>
    </row>
    <row r="836" spans="1:7" x14ac:dyDescent="0.6">
      <c r="A836" s="76">
        <v>18740</v>
      </c>
      <c r="B836" s="87">
        <v>0.15336</v>
      </c>
      <c r="C836" s="88">
        <v>39.0991</v>
      </c>
      <c r="D836" s="88">
        <v>0.15992999999999999</v>
      </c>
      <c r="E836" s="76">
        <v>0</v>
      </c>
      <c r="F836" s="89" cm="1">
        <f t="array" ref="F836">5*LOG10(((c_light/1000/H_0_SAM)*(B836/60)*SUMPRODUCT($J$2:$AD$2,1/SQRT(Omega_m*(1+$J$1:$AD$1*B836)^3+Omega_L)))*(1+B836)*100000)</f>
        <v>39.401130161806464</v>
      </c>
      <c r="G836" s="89">
        <f t="shared" si="12"/>
        <v>0.30203016180646358</v>
      </c>
    </row>
    <row r="837" spans="1:7" x14ac:dyDescent="0.6">
      <c r="A837" s="76">
        <v>19353</v>
      </c>
      <c r="B837" s="87">
        <v>0.15340999999999999</v>
      </c>
      <c r="C837" s="88">
        <v>39.256399999999999</v>
      </c>
      <c r="D837" s="88">
        <v>0.17937</v>
      </c>
      <c r="E837" s="76">
        <v>0</v>
      </c>
      <c r="F837" s="89" cm="1">
        <f t="array" ref="F837">5*LOG10(((c_light/1000/H_0_SAM)*(B837/60)*SUMPRODUCT($J$2:$AD$2,1/SQRT(Omega_m*(1+$J$1:$AD$1*B837)^3+Omega_L)))*(1+B837)*100000)</f>
        <v>39.401904144954145</v>
      </c>
      <c r="G837" s="89">
        <f t="shared" si="12"/>
        <v>0.14550414495414543</v>
      </c>
    </row>
    <row r="838" spans="1:7" x14ac:dyDescent="0.6">
      <c r="A838" s="76">
        <v>16073</v>
      </c>
      <c r="B838" s="87">
        <v>0.15357000000000001</v>
      </c>
      <c r="C838" s="88">
        <v>39.363900000000001</v>
      </c>
      <c r="D838" s="88">
        <v>0.17546999999999999</v>
      </c>
      <c r="E838" s="76">
        <v>0</v>
      </c>
      <c r="F838" s="89" cm="1">
        <f t="array" ref="F838">5*LOG10(((c_light/1000/H_0_SAM)*(B838/60)*SUMPRODUCT($J$2:$AD$2,1/SQRT(Omega_m*(1+$J$1:$AD$1*B838)^3+Omega_L)))*(1+B838)*100000)</f>
        <v>39.404379310513157</v>
      </c>
      <c r="G838" s="89">
        <f t="shared" ref="G838:G901" si="13">F838-C838</f>
        <v>4.0479310513156008E-2</v>
      </c>
    </row>
    <row r="839" spans="1:7" x14ac:dyDescent="0.6">
      <c r="A839" s="76">
        <v>5550</v>
      </c>
      <c r="B839" s="87">
        <v>0.15511</v>
      </c>
      <c r="C839" s="88">
        <v>39.207599999999999</v>
      </c>
      <c r="D839" s="88">
        <v>0.16788</v>
      </c>
      <c r="E839" s="76">
        <v>0</v>
      </c>
      <c r="F839" s="89" cm="1">
        <f t="array" ref="F839">5*LOG10(((c_light/1000/H_0_SAM)*(B839/60)*SUMPRODUCT($J$2:$AD$2,1/SQRT(Omega_m*(1+$J$1:$AD$1*B839)^3+Omega_L)))*(1+B839)*100000)</f>
        <v>39.428080543750326</v>
      </c>
      <c r="G839" s="89">
        <f t="shared" si="13"/>
        <v>0.22048054375032677</v>
      </c>
    </row>
    <row r="840" spans="1:7" x14ac:dyDescent="0.6">
      <c r="A840" s="76">
        <v>16116</v>
      </c>
      <c r="B840" s="87">
        <v>0.15526000000000001</v>
      </c>
      <c r="C840" s="88">
        <v>39.277999999999999</v>
      </c>
      <c r="D840" s="88">
        <v>0.15784000000000001</v>
      </c>
      <c r="E840" s="76">
        <v>0</v>
      </c>
      <c r="F840" s="89" cm="1">
        <f t="array" ref="F840">5*LOG10(((c_light/1000/H_0_SAM)*(B840/60)*SUMPRODUCT($J$2:$AD$2,1/SQRT(Omega_m*(1+$J$1:$AD$1*B840)^3+Omega_L)))*(1+B840)*100000)</f>
        <v>39.430377362040282</v>
      </c>
      <c r="G840" s="89">
        <f t="shared" si="13"/>
        <v>0.15237736204028351</v>
      </c>
    </row>
    <row r="841" spans="1:7" x14ac:dyDescent="0.6">
      <c r="A841" s="76">
        <v>18030</v>
      </c>
      <c r="B841" s="87">
        <v>0.15536</v>
      </c>
      <c r="C841" s="88">
        <v>39.3994</v>
      </c>
      <c r="D841" s="88">
        <v>0.17585999999999999</v>
      </c>
      <c r="E841" s="76">
        <v>0</v>
      </c>
      <c r="F841" s="89" cm="1">
        <f t="array" ref="F841">5*LOG10(((c_light/1000/H_0_SAM)*(B841/60)*SUMPRODUCT($J$2:$AD$2,1/SQRT(Omega_m*(1+$J$1:$AD$1*B841)^3+Omega_L)))*(1+B841)*100000)</f>
        <v>39.431907424862111</v>
      </c>
      <c r="G841" s="89">
        <f t="shared" si="13"/>
        <v>3.2507424862110668E-2</v>
      </c>
    </row>
    <row r="842" spans="1:7" x14ac:dyDescent="0.6">
      <c r="A842" s="76">
        <v>19940</v>
      </c>
      <c r="B842" s="87">
        <v>0.15601000000000001</v>
      </c>
      <c r="C842" s="88">
        <v>38.970399999999998</v>
      </c>
      <c r="D842" s="88">
        <v>0.1792</v>
      </c>
      <c r="E842" s="76">
        <v>0</v>
      </c>
      <c r="F842" s="89" cm="1">
        <f t="array" ref="F842">5*LOG10(((c_light/1000/H_0_SAM)*(B842/60)*SUMPRODUCT($J$2:$AD$2,1/SQRT(Omega_m*(1+$J$1:$AD$1*B842)^3+Omega_L)))*(1+B842)*100000)</f>
        <v>39.441830505279611</v>
      </c>
      <c r="G842" s="89">
        <f t="shared" si="13"/>
        <v>0.4714305052796135</v>
      </c>
    </row>
    <row r="843" spans="1:7" x14ac:dyDescent="0.6">
      <c r="A843" s="76">
        <v>13354</v>
      </c>
      <c r="B843" s="87">
        <v>0.15670999999999999</v>
      </c>
      <c r="C843" s="88">
        <v>39.2087</v>
      </c>
      <c r="D843" s="88">
        <v>0.21029</v>
      </c>
      <c r="E843" s="76">
        <v>0</v>
      </c>
      <c r="F843" s="89" cm="1">
        <f t="array" ref="F843">5*LOG10(((c_light/1000/H_0_SAM)*(B843/60)*SUMPRODUCT($J$2:$AD$2,1/SQRT(Omega_m*(1+$J$1:$AD$1*B843)^3+Omega_L)))*(1+B843)*100000)</f>
        <v>39.452473880623906</v>
      </c>
      <c r="G843" s="89">
        <f t="shared" si="13"/>
        <v>0.24377388062390537</v>
      </c>
    </row>
    <row r="844" spans="1:7" x14ac:dyDescent="0.6">
      <c r="A844" s="76">
        <v>16206</v>
      </c>
      <c r="B844" s="87">
        <v>0.15856000000000001</v>
      </c>
      <c r="C844" s="88">
        <v>39.0794</v>
      </c>
      <c r="D844" s="88">
        <v>0.16370999999999999</v>
      </c>
      <c r="E844" s="76">
        <v>0</v>
      </c>
      <c r="F844" s="89" cm="1">
        <f t="array" ref="F844">5*LOG10(((c_light/1000/H_0_SAM)*(B844/60)*SUMPRODUCT($J$2:$AD$2,1/SQRT(Omega_m*(1+$J$1:$AD$1*B844)^3+Omega_L)))*(1+B844)*100000)</f>
        <v>39.480390898641069</v>
      </c>
      <c r="G844" s="89">
        <f t="shared" si="13"/>
        <v>0.40099089864106929</v>
      </c>
    </row>
    <row r="845" spans="1:7" x14ac:dyDescent="0.6">
      <c r="A845" s="76">
        <v>440042</v>
      </c>
      <c r="B845" s="87">
        <v>0.15920999999999999</v>
      </c>
      <c r="C845" s="88">
        <v>39.426699999999997</v>
      </c>
      <c r="D845" s="88">
        <v>0.28369</v>
      </c>
      <c r="E845" s="76">
        <v>0</v>
      </c>
      <c r="F845" s="89" cm="1">
        <f t="array" ref="F845">5*LOG10(((c_light/1000/H_0_SAM)*(B845/60)*SUMPRODUCT($J$2:$AD$2,1/SQRT(Omega_m*(1+$J$1:$AD$1*B845)^3+Omega_L)))*(1+B845)*100000)</f>
        <v>39.490127552426216</v>
      </c>
      <c r="G845" s="89">
        <f t="shared" si="13"/>
        <v>6.3427552426219336E-2</v>
      </c>
    </row>
    <row r="846" spans="1:7" x14ac:dyDescent="0.6">
      <c r="A846" s="76">
        <v>14782</v>
      </c>
      <c r="B846" s="87">
        <v>0.15931000000000001</v>
      </c>
      <c r="C846" s="88">
        <v>38.950299999999999</v>
      </c>
      <c r="D846" s="88">
        <v>0.14391000000000001</v>
      </c>
      <c r="E846" s="76">
        <v>0</v>
      </c>
      <c r="F846" s="89" cm="1">
        <f t="array" ref="F846">5*LOG10(((c_light/1000/H_0_SAM)*(B846/60)*SUMPRODUCT($J$2:$AD$2,1/SQRT(Omega_m*(1+$J$1:$AD$1*B846)^3+Omega_L)))*(1+B846)*100000)</f>
        <v>39.491622210378083</v>
      </c>
      <c r="G846" s="89">
        <f t="shared" si="13"/>
        <v>0.54132221037808392</v>
      </c>
    </row>
    <row r="847" spans="1:7" x14ac:dyDescent="0.6">
      <c r="A847" s="76">
        <v>15425</v>
      </c>
      <c r="B847" s="87">
        <v>0.15948000000000001</v>
      </c>
      <c r="C847" s="88">
        <v>39.090800000000002</v>
      </c>
      <c r="D847" s="88">
        <v>0.14305000000000001</v>
      </c>
      <c r="E847" s="76">
        <v>0</v>
      </c>
      <c r="F847" s="89" cm="1">
        <f t="array" ref="F847">5*LOG10(((c_light/1000/H_0_SAM)*(B847/60)*SUMPRODUCT($J$2:$AD$2,1/SQRT(Omega_m*(1+$J$1:$AD$1*B847)^3+Omega_L)))*(1+B847)*100000)</f>
        <v>39.494161123768251</v>
      </c>
      <c r="G847" s="89">
        <f t="shared" si="13"/>
        <v>0.40336112376824929</v>
      </c>
    </row>
    <row r="848" spans="1:7" x14ac:dyDescent="0.6">
      <c r="A848" s="76">
        <v>1299775</v>
      </c>
      <c r="B848" s="87">
        <v>0.16003999999999999</v>
      </c>
      <c r="C848" s="88">
        <v>39.0428</v>
      </c>
      <c r="D848" s="88">
        <v>0.27065</v>
      </c>
      <c r="E848" s="76">
        <v>0</v>
      </c>
      <c r="F848" s="89" cm="1">
        <f t="array" ref="F848">5*LOG10(((c_light/1000/H_0_SAM)*(B848/60)*SUMPRODUCT($J$2:$AD$2,1/SQRT(Omega_m*(1+$J$1:$AD$1*B848)^3+Omega_L)))*(1+B848)*100000)</f>
        <v>39.502506805570633</v>
      </c>
      <c r="G848" s="89">
        <f t="shared" si="13"/>
        <v>0.45970680557063304</v>
      </c>
    </row>
    <row r="849" spans="1:7" x14ac:dyDescent="0.6">
      <c r="A849" s="76">
        <v>3317</v>
      </c>
      <c r="B849" s="87">
        <v>0.16008</v>
      </c>
      <c r="C849" s="88">
        <v>39.2286</v>
      </c>
      <c r="D849" s="88">
        <v>0.16772000000000001</v>
      </c>
      <c r="E849" s="76">
        <v>0</v>
      </c>
      <c r="F849" s="89" cm="1">
        <f t="array" ref="F849">5*LOG10(((c_light/1000/H_0_SAM)*(B849/60)*SUMPRODUCT($J$2:$AD$2,1/SQRT(Omega_m*(1+$J$1:$AD$1*B849)^3+Omega_L)))*(1+B849)*100000)</f>
        <v>39.503101884123396</v>
      </c>
      <c r="G849" s="89">
        <f t="shared" si="13"/>
        <v>0.27450188412339571</v>
      </c>
    </row>
    <row r="850" spans="1:7" x14ac:dyDescent="0.6">
      <c r="A850" s="76">
        <v>2689</v>
      </c>
      <c r="B850" s="87">
        <v>0.16053000000000001</v>
      </c>
      <c r="C850" s="88">
        <v>39.2057</v>
      </c>
      <c r="D850" s="88">
        <v>0.21704999999999999</v>
      </c>
      <c r="E850" s="76">
        <v>0</v>
      </c>
      <c r="F850" s="89" cm="1">
        <f t="array" ref="F850">5*LOG10(((c_light/1000/H_0_SAM)*(B850/60)*SUMPRODUCT($J$2:$AD$2,1/SQRT(Omega_m*(1+$J$1:$AD$1*B850)^3+Omega_L)))*(1+B850)*100000)</f>
        <v>39.509786989383301</v>
      </c>
      <c r="G850" s="89">
        <f t="shared" si="13"/>
        <v>0.30408698938330048</v>
      </c>
    </row>
    <row r="851" spans="1:7" x14ac:dyDescent="0.6">
      <c r="A851" s="76">
        <v>390627</v>
      </c>
      <c r="B851" s="87">
        <v>0.16061</v>
      </c>
      <c r="C851" s="88">
        <v>39.424199999999999</v>
      </c>
      <c r="D851" s="88">
        <v>0.26035999999999998</v>
      </c>
      <c r="E851" s="76">
        <v>0</v>
      </c>
      <c r="F851" s="89" cm="1">
        <f t="array" ref="F851">5*LOG10(((c_light/1000/H_0_SAM)*(B851/60)*SUMPRODUCT($J$2:$AD$2,1/SQRT(Omega_m*(1+$J$1:$AD$1*B851)^3+Omega_L)))*(1+B851)*100000)</f>
        <v>39.510973624570347</v>
      </c>
      <c r="G851" s="89">
        <f t="shared" si="13"/>
        <v>8.6773624570348318E-2</v>
      </c>
    </row>
    <row r="852" spans="1:7" x14ac:dyDescent="0.6">
      <c r="A852" s="76">
        <v>5103</v>
      </c>
      <c r="B852" s="87">
        <v>0.16077</v>
      </c>
      <c r="C852" s="88">
        <v>39.216200000000001</v>
      </c>
      <c r="D852" s="88">
        <v>0.20927000000000001</v>
      </c>
      <c r="E852" s="76">
        <v>0</v>
      </c>
      <c r="F852" s="89" cm="1">
        <f t="array" ref="F852">5*LOG10(((c_light/1000/H_0_SAM)*(B852/60)*SUMPRODUCT($J$2:$AD$2,1/SQRT(Omega_m*(1+$J$1:$AD$1*B852)^3+Omega_L)))*(1+B852)*100000)</f>
        <v>39.513345244078046</v>
      </c>
      <c r="G852" s="89">
        <f t="shared" si="13"/>
        <v>0.29714524407804532</v>
      </c>
    </row>
    <row r="853" spans="1:7" x14ac:dyDescent="0.6">
      <c r="A853" s="76">
        <v>120336</v>
      </c>
      <c r="B853" s="87">
        <v>0.16122</v>
      </c>
      <c r="C853" s="88">
        <v>39.310600000000001</v>
      </c>
      <c r="D853" s="88">
        <v>0.24632000000000001</v>
      </c>
      <c r="E853" s="76">
        <v>0</v>
      </c>
      <c r="F853" s="89" cm="1">
        <f t="array" ref="F853">5*LOG10(((c_light/1000/H_0_SAM)*(B853/60)*SUMPRODUCT($J$2:$AD$2,1/SQRT(Omega_m*(1+$J$1:$AD$1*B853)^3+Omega_L)))*(1+B853)*100000)</f>
        <v>39.520003655919965</v>
      </c>
      <c r="G853" s="89">
        <f t="shared" si="13"/>
        <v>0.20940365591996368</v>
      </c>
    </row>
    <row r="854" spans="1:7" x14ac:dyDescent="0.6">
      <c r="A854" s="76">
        <v>17825</v>
      </c>
      <c r="B854" s="87">
        <v>0.16236</v>
      </c>
      <c r="C854" s="88">
        <v>39.325200000000002</v>
      </c>
      <c r="D854" s="88">
        <v>0.22406000000000001</v>
      </c>
      <c r="E854" s="76">
        <v>0</v>
      </c>
      <c r="F854" s="89" cm="1">
        <f t="array" ref="F854">5*LOG10(((c_light/1000/H_0_SAM)*(B854/60)*SUMPRODUCT($J$2:$AD$2,1/SQRT(Omega_m*(1+$J$1:$AD$1*B854)^3+Omega_L)))*(1+B854)*100000)</f>
        <v>39.536794474568666</v>
      </c>
      <c r="G854" s="89">
        <f t="shared" si="13"/>
        <v>0.21159447456866332</v>
      </c>
    </row>
    <row r="855" spans="1:7" x14ac:dyDescent="0.6">
      <c r="A855" s="76">
        <v>19174</v>
      </c>
      <c r="B855" s="87">
        <v>0.16375000000000001</v>
      </c>
      <c r="C855" s="88">
        <v>39.280700000000003</v>
      </c>
      <c r="D855" s="88">
        <v>0.20100000000000001</v>
      </c>
      <c r="E855" s="76">
        <v>0</v>
      </c>
      <c r="F855" s="89" cm="1">
        <f t="array" ref="F855">5*LOG10(((c_light/1000/H_0_SAM)*(B855/60)*SUMPRODUCT($J$2:$AD$2,1/SQRT(Omega_m*(1+$J$1:$AD$1*B855)^3+Omega_L)))*(1+B855)*100000)</f>
        <v>39.55711958222183</v>
      </c>
      <c r="G855" s="89">
        <f t="shared" si="13"/>
        <v>0.27641958222182694</v>
      </c>
    </row>
    <row r="856" spans="1:7" x14ac:dyDescent="0.6">
      <c r="A856" s="76">
        <v>3087</v>
      </c>
      <c r="B856" s="87">
        <v>0.16447999999999999</v>
      </c>
      <c r="C856" s="88">
        <v>39.263399999999997</v>
      </c>
      <c r="D856" s="88">
        <v>0.19932</v>
      </c>
      <c r="E856" s="76">
        <v>0</v>
      </c>
      <c r="F856" s="89" cm="1">
        <f t="array" ref="F856">5*LOG10(((c_light/1000/H_0_SAM)*(B856/60)*SUMPRODUCT($J$2:$AD$2,1/SQRT(Omega_m*(1+$J$1:$AD$1*B856)^3+Omega_L)))*(1+B856)*100000)</f>
        <v>39.567729676058015</v>
      </c>
      <c r="G856" s="89">
        <f t="shared" si="13"/>
        <v>0.30432967605801764</v>
      </c>
    </row>
    <row r="857" spans="1:7" x14ac:dyDescent="0.6">
      <c r="A857" s="76">
        <v>19616</v>
      </c>
      <c r="B857" s="87">
        <v>0.16471</v>
      </c>
      <c r="C857" s="88">
        <v>39.329300000000003</v>
      </c>
      <c r="D857" s="88">
        <v>0.13944999999999999</v>
      </c>
      <c r="E857" s="76">
        <v>0</v>
      </c>
      <c r="F857" s="89" cm="1">
        <f t="array" ref="F857">5*LOG10(((c_light/1000/H_0_SAM)*(B857/60)*SUMPRODUCT($J$2:$AD$2,1/SQRT(Omega_m*(1+$J$1:$AD$1*B857)^3+Omega_L)))*(1+B857)*100000)</f>
        <v>39.571063502299687</v>
      </c>
      <c r="G857" s="89">
        <f t="shared" si="13"/>
        <v>0.24176350229968335</v>
      </c>
    </row>
    <row r="858" spans="1:7" x14ac:dyDescent="0.6">
      <c r="A858" s="76">
        <v>20764</v>
      </c>
      <c r="B858" s="87">
        <v>0.16495000000000001</v>
      </c>
      <c r="C858" s="88">
        <v>39.318199999999997</v>
      </c>
      <c r="D858" s="88">
        <v>0.15092</v>
      </c>
      <c r="E858" s="76">
        <v>0</v>
      </c>
      <c r="F858" s="89" cm="1">
        <f t="array" ref="F858">5*LOG10(((c_light/1000/H_0_SAM)*(B858/60)*SUMPRODUCT($J$2:$AD$2,1/SQRT(Omega_m*(1+$J$1:$AD$1*B858)^3+Omega_L)))*(1+B858)*100000)</f>
        <v>39.574537660892162</v>
      </c>
      <c r="G858" s="89">
        <f t="shared" si="13"/>
        <v>0.25633766089216437</v>
      </c>
    </row>
    <row r="859" spans="1:7" x14ac:dyDescent="0.6">
      <c r="A859" s="76">
        <v>20430</v>
      </c>
      <c r="B859" s="87">
        <v>0.16603000000000001</v>
      </c>
      <c r="C859" s="88">
        <v>39.4938</v>
      </c>
      <c r="D859" s="88">
        <v>0.24188999999999999</v>
      </c>
      <c r="E859" s="76">
        <v>0</v>
      </c>
      <c r="F859" s="89" cm="1">
        <f t="array" ref="F859">5*LOG10(((c_light/1000/H_0_SAM)*(B859/60)*SUMPRODUCT($J$2:$AD$2,1/SQRT(Omega_m*(1+$J$1:$AD$1*B859)^3+Omega_L)))*(1+B859)*100000)</f>
        <v>39.590113385406866</v>
      </c>
      <c r="G859" s="89">
        <f t="shared" si="13"/>
        <v>9.6313385406865848E-2</v>
      </c>
    </row>
    <row r="860" spans="1:7" x14ac:dyDescent="0.6">
      <c r="A860" s="76">
        <v>12843</v>
      </c>
      <c r="B860" s="87">
        <v>0.16606000000000001</v>
      </c>
      <c r="C860" s="88">
        <v>39.181699999999999</v>
      </c>
      <c r="D860" s="88">
        <v>0.19350000000000001</v>
      </c>
      <c r="E860" s="76">
        <v>0</v>
      </c>
      <c r="F860" s="89" cm="1">
        <f t="array" ref="F860">5*LOG10(((c_light/1000/H_0_SAM)*(B860/60)*SUMPRODUCT($J$2:$AD$2,1/SQRT(Omega_m*(1+$J$1:$AD$1*B860)^3+Omega_L)))*(1+B860)*100000)</f>
        <v>39.590544697088269</v>
      </c>
      <c r="G860" s="89">
        <f t="shared" si="13"/>
        <v>0.40884469708826998</v>
      </c>
    </row>
    <row r="861" spans="1:7" x14ac:dyDescent="0.6">
      <c r="A861" s="76">
        <v>12853</v>
      </c>
      <c r="B861" s="87">
        <v>0.16828000000000001</v>
      </c>
      <c r="C861" s="88">
        <v>39.275700000000001</v>
      </c>
      <c r="D861" s="88">
        <v>0.16583000000000001</v>
      </c>
      <c r="E861" s="76">
        <v>0</v>
      </c>
      <c r="F861" s="89" cm="1">
        <f t="array" ref="F861">5*LOG10(((c_light/1000/H_0_SAM)*(B861/60)*SUMPRODUCT($J$2:$AD$2,1/SQRT(Omega_m*(1+$J$1:$AD$1*B861)^3+Omega_L)))*(1+B861)*100000)</f>
        <v>39.622262287428178</v>
      </c>
      <c r="G861" s="89">
        <f t="shared" si="13"/>
        <v>0.34656228742817774</v>
      </c>
    </row>
    <row r="862" spans="1:7" x14ac:dyDescent="0.6">
      <c r="A862" s="76">
        <v>350233</v>
      </c>
      <c r="B862" s="87">
        <v>0.16924</v>
      </c>
      <c r="C862" s="88">
        <v>39.515500000000003</v>
      </c>
      <c r="D862" s="88">
        <v>0.18287</v>
      </c>
      <c r="E862" s="76">
        <v>0</v>
      </c>
      <c r="F862" s="89" cm="1">
        <f t="array" ref="F862">5*LOG10(((c_light/1000/H_0_SAM)*(B862/60)*SUMPRODUCT($J$2:$AD$2,1/SQRT(Omega_m*(1+$J$1:$AD$1*B862)^3+Omega_L)))*(1+B862)*100000)</f>
        <v>39.63585760695112</v>
      </c>
      <c r="G862" s="89">
        <f t="shared" si="13"/>
        <v>0.12035760695111719</v>
      </c>
    </row>
    <row r="863" spans="1:7" x14ac:dyDescent="0.6">
      <c r="A863" s="76">
        <v>17389</v>
      </c>
      <c r="B863" s="87">
        <v>0.16971</v>
      </c>
      <c r="C863" s="88">
        <v>39.6721</v>
      </c>
      <c r="D863" s="88">
        <v>0.27489999999999998</v>
      </c>
      <c r="E863" s="76">
        <v>0</v>
      </c>
      <c r="F863" s="89" cm="1">
        <f t="array" ref="F863">5*LOG10(((c_light/1000/H_0_SAM)*(B863/60)*SUMPRODUCT($J$2:$AD$2,1/SQRT(Omega_m*(1+$J$1:$AD$1*B863)^3+Omega_L)))*(1+B863)*100000)</f>
        <v>39.6424875164968</v>
      </c>
      <c r="G863" s="89">
        <f t="shared" si="13"/>
        <v>-2.9612483503200338E-2</v>
      </c>
    </row>
    <row r="864" spans="1:7" x14ac:dyDescent="0.6">
      <c r="A864" s="76">
        <v>12856</v>
      </c>
      <c r="B864" s="87">
        <v>0.17041999999999999</v>
      </c>
      <c r="C864" s="88">
        <v>39.474200000000003</v>
      </c>
      <c r="D864" s="88">
        <v>0.13267999999999999</v>
      </c>
      <c r="E864" s="76">
        <v>0</v>
      </c>
      <c r="F864" s="89" cm="1">
        <f t="array" ref="F864">5*LOG10(((c_light/1000/H_0_SAM)*(B864/60)*SUMPRODUCT($J$2:$AD$2,1/SQRT(Omega_m*(1+$J$1:$AD$1*B864)^3+Omega_L)))*(1+B864)*100000)</f>
        <v>39.652470604691629</v>
      </c>
      <c r="G864" s="89">
        <f t="shared" si="13"/>
        <v>0.17827060469162603</v>
      </c>
    </row>
    <row r="865" spans="1:7" x14ac:dyDescent="0.6">
      <c r="A865" s="76">
        <v>590005</v>
      </c>
      <c r="B865" s="87">
        <v>0.17124</v>
      </c>
      <c r="C865" s="88">
        <v>39.542400000000001</v>
      </c>
      <c r="D865" s="88">
        <v>0.27550000000000002</v>
      </c>
      <c r="E865" s="76">
        <v>0</v>
      </c>
      <c r="F865" s="89" cm="1">
        <f t="array" ref="F865">5*LOG10(((c_light/1000/H_0_SAM)*(B865/60)*SUMPRODUCT($J$2:$AD$2,1/SQRT(Omega_m*(1+$J$1:$AD$1*B865)^3+Omega_L)))*(1+B865)*100000)</f>
        <v>39.66395235897118</v>
      </c>
      <c r="G865" s="89">
        <f t="shared" si="13"/>
        <v>0.12155235897117933</v>
      </c>
    </row>
    <row r="866" spans="1:7" x14ac:dyDescent="0.6">
      <c r="A866" s="76">
        <v>310039</v>
      </c>
      <c r="B866" s="87">
        <v>0.17169000000000001</v>
      </c>
      <c r="C866" s="88">
        <v>39.460299999999997</v>
      </c>
      <c r="D866" s="88">
        <v>0.21471000000000001</v>
      </c>
      <c r="E866" s="76">
        <v>0</v>
      </c>
      <c r="F866" s="89" cm="1">
        <f t="array" ref="F866">5*LOG10(((c_light/1000/H_0_SAM)*(B866/60)*SUMPRODUCT($J$2:$AD$2,1/SQRT(Omega_m*(1+$J$1:$AD$1*B866)^3+Omega_L)))*(1+B866)*100000)</f>
        <v>39.670231617311011</v>
      </c>
      <c r="G866" s="89">
        <f t="shared" si="13"/>
        <v>0.20993161731101395</v>
      </c>
    </row>
    <row r="867" spans="1:7" x14ac:dyDescent="0.6">
      <c r="A867" s="76">
        <v>19282</v>
      </c>
      <c r="B867" s="87">
        <v>0.17255999999999999</v>
      </c>
      <c r="C867" s="88">
        <v>39.502099999999999</v>
      </c>
      <c r="D867" s="88">
        <v>0.17741000000000001</v>
      </c>
      <c r="E867" s="76">
        <v>0</v>
      </c>
      <c r="F867" s="89" cm="1">
        <f t="array" ref="F867">5*LOG10(((c_light/1000/H_0_SAM)*(B867/60)*SUMPRODUCT($J$2:$AD$2,1/SQRT(Omega_m*(1+$J$1:$AD$1*B867)^3+Omega_L)))*(1+B867)*100000)</f>
        <v>39.682328257097808</v>
      </c>
      <c r="G867" s="89">
        <f t="shared" si="13"/>
        <v>0.18022825709780932</v>
      </c>
    </row>
    <row r="868" spans="1:7" x14ac:dyDescent="0.6">
      <c r="A868" s="76">
        <v>1303279</v>
      </c>
      <c r="B868" s="87">
        <v>0.17269999999999999</v>
      </c>
      <c r="C868" s="88">
        <v>39.267600000000002</v>
      </c>
      <c r="D868" s="88">
        <v>0.15234</v>
      </c>
      <c r="E868" s="76">
        <v>0</v>
      </c>
      <c r="F868" s="89" cm="1">
        <f t="array" ref="F868">5*LOG10(((c_light/1000/H_0_SAM)*(B868/60)*SUMPRODUCT($J$2:$AD$2,1/SQRT(Omega_m*(1+$J$1:$AD$1*B868)^3+Omega_L)))*(1+B868)*100000)</f>
        <v>39.68426954579779</v>
      </c>
      <c r="G868" s="89">
        <f t="shared" si="13"/>
        <v>0.41666954579778803</v>
      </c>
    </row>
    <row r="869" spans="1:7" x14ac:dyDescent="0.6">
      <c r="A869" s="76">
        <v>100090</v>
      </c>
      <c r="B869" s="87">
        <v>0.17297000000000001</v>
      </c>
      <c r="C869" s="88">
        <v>39.726300000000002</v>
      </c>
      <c r="D869" s="88">
        <v>0.25257000000000002</v>
      </c>
      <c r="E869" s="76">
        <v>0</v>
      </c>
      <c r="F869" s="89" cm="1">
        <f t="array" ref="F869">5*LOG10(((c_light/1000/H_0_SAM)*(B869/60)*SUMPRODUCT($J$2:$AD$2,1/SQRT(Omega_m*(1+$J$1:$AD$1*B869)^3+Omega_L)))*(1+B869)*100000)</f>
        <v>39.688009332831641</v>
      </c>
      <c r="G869" s="89">
        <f t="shared" si="13"/>
        <v>-3.8290667168361381E-2</v>
      </c>
    </row>
    <row r="870" spans="1:7" x14ac:dyDescent="0.6">
      <c r="A870" s="76">
        <v>3080</v>
      </c>
      <c r="B870" s="87">
        <v>0.17330999999999999</v>
      </c>
      <c r="C870" s="88">
        <v>39.387099999999997</v>
      </c>
      <c r="D870" s="88">
        <v>0.13184999999999999</v>
      </c>
      <c r="E870" s="76">
        <v>0</v>
      </c>
      <c r="F870" s="89" cm="1">
        <f t="array" ref="F870">5*LOG10(((c_light/1000/H_0_SAM)*(B870/60)*SUMPRODUCT($J$2:$AD$2,1/SQRT(Omega_m*(1+$J$1:$AD$1*B870)^3+Omega_L)))*(1+B870)*100000)</f>
        <v>39.6927109843</v>
      </c>
      <c r="G870" s="89">
        <f t="shared" si="13"/>
        <v>0.305610984300003</v>
      </c>
    </row>
    <row r="871" spans="1:7" x14ac:dyDescent="0.6">
      <c r="A871" s="76">
        <v>15897</v>
      </c>
      <c r="B871" s="87">
        <v>0.17374000000000001</v>
      </c>
      <c r="C871" s="88">
        <v>39.540300000000002</v>
      </c>
      <c r="D871" s="88">
        <v>0.18318000000000001</v>
      </c>
      <c r="E871" s="76">
        <v>0</v>
      </c>
      <c r="F871" s="89" cm="1">
        <f t="array" ref="F871">5*LOG10(((c_light/1000/H_0_SAM)*(B871/60)*SUMPRODUCT($J$2:$AD$2,1/SQRT(Omega_m*(1+$J$1:$AD$1*B871)^3+Omega_L)))*(1+B871)*100000)</f>
        <v>39.698644930285205</v>
      </c>
      <c r="G871" s="89">
        <f t="shared" si="13"/>
        <v>0.15834493028520313</v>
      </c>
    </row>
    <row r="872" spans="1:7" x14ac:dyDescent="0.6">
      <c r="A872" s="76">
        <v>120143</v>
      </c>
      <c r="B872" s="87">
        <v>0.17377999999999999</v>
      </c>
      <c r="C872" s="88">
        <v>39.349299999999999</v>
      </c>
      <c r="D872" s="88">
        <v>0.1515</v>
      </c>
      <c r="E872" s="76">
        <v>0</v>
      </c>
      <c r="F872" s="89" cm="1">
        <f t="array" ref="F872">5*LOG10(((c_light/1000/H_0_SAM)*(B872/60)*SUMPRODUCT($J$2:$AD$2,1/SQRT(Omega_m*(1+$J$1:$AD$1*B872)^3+Omega_L)))*(1+B872)*100000)</f>
        <v>39.699196231237089</v>
      </c>
      <c r="G872" s="89">
        <f t="shared" si="13"/>
        <v>0.34989623123708924</v>
      </c>
    </row>
    <row r="873" spans="1:7" x14ac:dyDescent="0.6">
      <c r="A873" s="76">
        <v>15648</v>
      </c>
      <c r="B873" s="87">
        <v>0.17391999999999999</v>
      </c>
      <c r="C873" s="88">
        <v>39.598599999999998</v>
      </c>
      <c r="D873" s="88">
        <v>0.31852999999999998</v>
      </c>
      <c r="E873" s="76">
        <v>0</v>
      </c>
      <c r="F873" s="89" cm="1">
        <f t="array" ref="F873">5*LOG10(((c_light/1000/H_0_SAM)*(B873/60)*SUMPRODUCT($J$2:$AD$2,1/SQRT(Omega_m*(1+$J$1:$AD$1*B873)^3+Omega_L)))*(1+B873)*100000)</f>
        <v>39.701124856413898</v>
      </c>
      <c r="G873" s="89">
        <f t="shared" si="13"/>
        <v>0.10252485641390052</v>
      </c>
    </row>
    <row r="874" spans="1:7" x14ac:dyDescent="0.6">
      <c r="A874" s="76">
        <v>14421</v>
      </c>
      <c r="B874" s="87">
        <v>0.17416999999999999</v>
      </c>
      <c r="C874" s="88">
        <v>39.573399999999999</v>
      </c>
      <c r="D874" s="88">
        <v>0.13713</v>
      </c>
      <c r="E874" s="76">
        <v>0</v>
      </c>
      <c r="F874" s="89" cm="1">
        <f t="array" ref="F874">5*LOG10(((c_light/1000/H_0_SAM)*(B874/60)*SUMPRODUCT($J$2:$AD$2,1/SQRT(Omega_m*(1+$J$1:$AD$1*B874)^3+Omega_L)))*(1+B874)*100000)</f>
        <v>39.704565244662028</v>
      </c>
      <c r="G874" s="89">
        <f t="shared" si="13"/>
        <v>0.13116524466202861</v>
      </c>
    </row>
    <row r="875" spans="1:7" x14ac:dyDescent="0.6">
      <c r="A875" s="76">
        <v>16165</v>
      </c>
      <c r="B875" s="87">
        <v>0.17419999999999999</v>
      </c>
      <c r="C875" s="88">
        <v>39.331699999999998</v>
      </c>
      <c r="D875" s="88">
        <v>0.15431</v>
      </c>
      <c r="E875" s="76">
        <v>0</v>
      </c>
      <c r="F875" s="89" cm="1">
        <f t="array" ref="F875">5*LOG10(((c_light/1000/H_0_SAM)*(B875/60)*SUMPRODUCT($J$2:$AD$2,1/SQRT(Omega_m*(1+$J$1:$AD$1*B875)^3+Omega_L)))*(1+B875)*100000)</f>
        <v>39.704977782852524</v>
      </c>
      <c r="G875" s="89">
        <f t="shared" si="13"/>
        <v>0.37327778285252577</v>
      </c>
    </row>
    <row r="876" spans="1:7" x14ac:dyDescent="0.6">
      <c r="A876" s="76">
        <v>5350</v>
      </c>
      <c r="B876" s="87">
        <v>0.17438000000000001</v>
      </c>
      <c r="C876" s="88">
        <v>39.505299999999998</v>
      </c>
      <c r="D876" s="88">
        <v>0.18396999999999999</v>
      </c>
      <c r="E876" s="76">
        <v>0</v>
      </c>
      <c r="F876" s="89" cm="1">
        <f t="array" ref="F876">5*LOG10(((c_light/1000/H_0_SAM)*(B876/60)*SUMPRODUCT($J$2:$AD$2,1/SQRT(Omega_m*(1+$J$1:$AD$1*B876)^3+Omega_L)))*(1+B876)*100000)</f>
        <v>39.707451626590483</v>
      </c>
      <c r="G876" s="89">
        <f t="shared" si="13"/>
        <v>0.20215162659048502</v>
      </c>
    </row>
    <row r="877" spans="1:7" x14ac:dyDescent="0.6">
      <c r="A877" s="76">
        <v>15583</v>
      </c>
      <c r="B877" s="87">
        <v>0.17443</v>
      </c>
      <c r="C877" s="88">
        <v>39.554600000000001</v>
      </c>
      <c r="D877" s="88">
        <v>0.23097000000000001</v>
      </c>
      <c r="E877" s="76">
        <v>0</v>
      </c>
      <c r="F877" s="89" cm="1">
        <f t="array" ref="F877">5*LOG10(((c_light/1000/H_0_SAM)*(B877/60)*SUMPRODUCT($J$2:$AD$2,1/SQRT(Omega_m*(1+$J$1:$AD$1*B877)^3+Omega_L)))*(1+B877)*100000)</f>
        <v>39.70813838433132</v>
      </c>
      <c r="G877" s="89">
        <f t="shared" si="13"/>
        <v>0.15353838433131983</v>
      </c>
    </row>
    <row r="878" spans="1:7" x14ac:dyDescent="0.6">
      <c r="A878" s="76">
        <v>19969</v>
      </c>
      <c r="B878" s="87">
        <v>0.17444000000000001</v>
      </c>
      <c r="C878" s="88">
        <v>39.484900000000003</v>
      </c>
      <c r="D878" s="88">
        <v>0.16264999999999999</v>
      </c>
      <c r="E878" s="76">
        <v>0</v>
      </c>
      <c r="F878" s="89" cm="1">
        <f t="array" ref="F878">5*LOG10(((c_light/1000/H_0_SAM)*(B878/60)*SUMPRODUCT($J$2:$AD$2,1/SQRT(Omega_m*(1+$J$1:$AD$1*B878)^3+Omega_L)))*(1+B878)*100000)</f>
        <v>39.708275713930085</v>
      </c>
      <c r="G878" s="89">
        <f t="shared" si="13"/>
        <v>0.22337571393008204</v>
      </c>
    </row>
    <row r="879" spans="1:7" x14ac:dyDescent="0.6">
      <c r="A879" s="76">
        <v>18604</v>
      </c>
      <c r="B879" s="87">
        <v>0.17498</v>
      </c>
      <c r="C879" s="88">
        <v>39.743400000000001</v>
      </c>
      <c r="D879" s="88">
        <v>0.18201000000000001</v>
      </c>
      <c r="E879" s="76">
        <v>0</v>
      </c>
      <c r="F879" s="89" cm="1">
        <f t="array" ref="F879">5*LOG10(((c_light/1000/H_0_SAM)*(B879/60)*SUMPRODUCT($J$2:$AD$2,1/SQRT(Omega_m*(1+$J$1:$AD$1*B879)^3+Omega_L)))*(1+B879)*100000)</f>
        <v>39.715680671657836</v>
      </c>
      <c r="G879" s="89">
        <f t="shared" si="13"/>
        <v>-2.7719328342165284E-2</v>
      </c>
    </row>
    <row r="880" spans="1:7" x14ac:dyDescent="0.6">
      <c r="A880" s="76">
        <v>14979</v>
      </c>
      <c r="B880" s="87">
        <v>0.17666000000000001</v>
      </c>
      <c r="C880" s="88">
        <v>39.516399999999997</v>
      </c>
      <c r="D880" s="88">
        <v>0.13547000000000001</v>
      </c>
      <c r="E880" s="76">
        <v>0</v>
      </c>
      <c r="F880" s="89" cm="1">
        <f t="array" ref="F880">5*LOG10(((c_light/1000/H_0_SAM)*(B880/60)*SUMPRODUCT($J$2:$AD$2,1/SQRT(Omega_m*(1+$J$1:$AD$1*B880)^3+Omega_L)))*(1+B880)*100000)</f>
        <v>39.738583311618747</v>
      </c>
      <c r="G880" s="89">
        <f t="shared" si="13"/>
        <v>0.22218331161874971</v>
      </c>
    </row>
    <row r="881" spans="1:7" x14ac:dyDescent="0.6">
      <c r="A881" s="76">
        <v>17218</v>
      </c>
      <c r="B881" s="87">
        <v>0.17713000000000001</v>
      </c>
      <c r="C881" s="88">
        <v>39.509500000000003</v>
      </c>
      <c r="D881" s="88">
        <v>0.17562</v>
      </c>
      <c r="E881" s="76">
        <v>0</v>
      </c>
      <c r="F881" s="89" cm="1">
        <f t="array" ref="F881">5*LOG10(((c_light/1000/H_0_SAM)*(B881/60)*SUMPRODUCT($J$2:$AD$2,1/SQRT(Omega_m*(1+$J$1:$AD$1*B881)^3+Omega_L)))*(1+B881)*100000)</f>
        <v>39.744954382733468</v>
      </c>
      <c r="G881" s="89">
        <f t="shared" si="13"/>
        <v>0.2354543827334652</v>
      </c>
    </row>
    <row r="882" spans="1:7" x14ac:dyDescent="0.6">
      <c r="A882" s="76">
        <v>14451</v>
      </c>
      <c r="B882" s="87">
        <v>0.17737</v>
      </c>
      <c r="C882" s="88">
        <v>39.4771</v>
      </c>
      <c r="D882" s="88">
        <v>0.13825999999999999</v>
      </c>
      <c r="E882" s="76">
        <v>0</v>
      </c>
      <c r="F882" s="89" cm="1">
        <f t="array" ref="F882">5*LOG10(((c_light/1000/H_0_SAM)*(B882/60)*SUMPRODUCT($J$2:$AD$2,1/SQRT(Omega_m*(1+$J$1:$AD$1*B882)^3+Omega_L)))*(1+B882)*100000)</f>
        <v>39.748201642523981</v>
      </c>
      <c r="G882" s="89">
        <f t="shared" si="13"/>
        <v>0.2711016425239805</v>
      </c>
    </row>
    <row r="883" spans="1:7" x14ac:dyDescent="0.6">
      <c r="A883" s="76">
        <v>17220</v>
      </c>
      <c r="B883" s="87">
        <v>0.17785999999999999</v>
      </c>
      <c r="C883" s="88">
        <v>39.339399999999998</v>
      </c>
      <c r="D883" s="88">
        <v>0.25735999999999998</v>
      </c>
      <c r="E883" s="76">
        <v>0</v>
      </c>
      <c r="F883" s="89" cm="1">
        <f t="array" ref="F883">5*LOG10(((c_light/1000/H_0_SAM)*(B883/60)*SUMPRODUCT($J$2:$AD$2,1/SQRT(Omega_m*(1+$J$1:$AD$1*B883)^3+Omega_L)))*(1+B883)*100000)</f>
        <v>39.754818814041698</v>
      </c>
      <c r="G883" s="89">
        <f t="shared" si="13"/>
        <v>0.41541881404170056</v>
      </c>
    </row>
    <row r="884" spans="1:7" x14ac:dyDescent="0.6">
      <c r="A884" s="76">
        <v>370428</v>
      </c>
      <c r="B884" s="87">
        <v>0.17791000000000001</v>
      </c>
      <c r="C884" s="88">
        <v>39.6477</v>
      </c>
      <c r="D884" s="88">
        <v>0.13155</v>
      </c>
      <c r="E884" s="76">
        <v>0</v>
      </c>
      <c r="F884" s="89" cm="1">
        <f t="array" ref="F884">5*LOG10(((c_light/1000/H_0_SAM)*(B884/60)*SUMPRODUCT($J$2:$AD$2,1/SQRT(Omega_m*(1+$J$1:$AD$1*B884)^3+Omega_L)))*(1+B884)*100000)</f>
        <v>39.755493083467059</v>
      </c>
      <c r="G884" s="89">
        <f t="shared" si="13"/>
        <v>0.10779308346705818</v>
      </c>
    </row>
    <row r="885" spans="1:7" x14ac:dyDescent="0.6">
      <c r="A885" s="76">
        <v>5635</v>
      </c>
      <c r="B885" s="87">
        <v>0.17852000000000001</v>
      </c>
      <c r="C885" s="88">
        <v>39.966900000000003</v>
      </c>
      <c r="D885" s="88">
        <v>0.20785999999999999</v>
      </c>
      <c r="E885" s="76">
        <v>0</v>
      </c>
      <c r="F885" s="89" cm="1">
        <f t="array" ref="F885">5*LOG10(((c_light/1000/H_0_SAM)*(B885/60)*SUMPRODUCT($J$2:$AD$2,1/SQRT(Omega_m*(1+$J$1:$AD$1*B885)^3+Omega_L)))*(1+B885)*100000)</f>
        <v>39.763705032481134</v>
      </c>
      <c r="G885" s="89">
        <f t="shared" si="13"/>
        <v>-0.20319496751886845</v>
      </c>
    </row>
    <row r="886" spans="1:7" x14ac:dyDescent="0.6">
      <c r="A886" s="76">
        <v>6936</v>
      </c>
      <c r="B886" s="87">
        <v>0.17901</v>
      </c>
      <c r="C886" s="88">
        <v>39.640999999999998</v>
      </c>
      <c r="D886" s="88">
        <v>0.15734000000000001</v>
      </c>
      <c r="E886" s="76">
        <v>0</v>
      </c>
      <c r="F886" s="89" cm="1">
        <f t="array" ref="F886">5*LOG10(((c_light/1000/H_0_SAM)*(B886/60)*SUMPRODUCT($J$2:$AD$2,1/SQRT(Omega_m*(1+$J$1:$AD$1*B886)^3+Omega_L)))*(1+B886)*100000)</f>
        <v>39.770282667682743</v>
      </c>
      <c r="G886" s="89">
        <f t="shared" si="13"/>
        <v>0.12928266768274455</v>
      </c>
    </row>
    <row r="887" spans="1:7" x14ac:dyDescent="0.6">
      <c r="A887" s="76">
        <v>300179</v>
      </c>
      <c r="B887" s="87">
        <v>0.17910999999999999</v>
      </c>
      <c r="C887" s="88">
        <v>39.767200000000003</v>
      </c>
      <c r="D887" s="88">
        <v>0.20147000000000001</v>
      </c>
      <c r="E887" s="76">
        <v>0</v>
      </c>
      <c r="F887" s="89" cm="1">
        <f t="array" ref="F887">5*LOG10(((c_light/1000/H_0_SAM)*(B887/60)*SUMPRODUCT($J$2:$AD$2,1/SQRT(Omega_m*(1+$J$1:$AD$1*B887)^3+Omega_L)))*(1+B887)*100000)</f>
        <v>39.771622988055562</v>
      </c>
      <c r="G887" s="89">
        <f t="shared" si="13"/>
        <v>4.4229880555590739E-3</v>
      </c>
    </row>
    <row r="888" spans="1:7" x14ac:dyDescent="0.6">
      <c r="A888" s="76">
        <v>13045</v>
      </c>
      <c r="B888" s="87">
        <v>0.17931</v>
      </c>
      <c r="C888" s="88">
        <v>39.535499999999999</v>
      </c>
      <c r="D888" s="88">
        <v>0.22983000000000001</v>
      </c>
      <c r="E888" s="76">
        <v>0</v>
      </c>
      <c r="F888" s="89" cm="1">
        <f t="array" ref="F888">5*LOG10(((c_light/1000/H_0_SAM)*(B888/60)*SUMPRODUCT($J$2:$AD$2,1/SQRT(Omega_m*(1+$J$1:$AD$1*B888)^3+Omega_L)))*(1+B888)*100000)</f>
        <v>39.774301545835982</v>
      </c>
      <c r="G888" s="89">
        <f t="shared" si="13"/>
        <v>0.23880154583598312</v>
      </c>
    </row>
    <row r="889" spans="1:7" x14ac:dyDescent="0.6">
      <c r="A889" s="76">
        <v>1347120</v>
      </c>
      <c r="B889" s="87">
        <v>0.17952000000000001</v>
      </c>
      <c r="C889" s="88">
        <v>39.550899999999999</v>
      </c>
      <c r="D889" s="88">
        <v>0.28058</v>
      </c>
      <c r="E889" s="76">
        <v>0</v>
      </c>
      <c r="F889" s="89" cm="1">
        <f t="array" ref="F889">5*LOG10(((c_light/1000/H_0_SAM)*(B889/60)*SUMPRODUCT($J$2:$AD$2,1/SQRT(Omega_m*(1+$J$1:$AD$1*B889)^3+Omega_L)))*(1+B889)*100000)</f>
        <v>39.777111047993976</v>
      </c>
      <c r="G889" s="89">
        <f t="shared" si="13"/>
        <v>0.22621104799397784</v>
      </c>
    </row>
    <row r="890" spans="1:7" x14ac:dyDescent="0.6">
      <c r="A890" s="76">
        <v>2372</v>
      </c>
      <c r="B890" s="87">
        <v>0.17973</v>
      </c>
      <c r="C890" s="88">
        <v>39.551900000000003</v>
      </c>
      <c r="D890" s="88">
        <v>0.17463000000000001</v>
      </c>
      <c r="E890" s="76">
        <v>0</v>
      </c>
      <c r="F890" s="89" cm="1">
        <f t="array" ref="F890">5*LOG10(((c_light/1000/H_0_SAM)*(B890/60)*SUMPRODUCT($J$2:$AD$2,1/SQRT(Omega_m*(1+$J$1:$AD$1*B890)^3+Omega_L)))*(1+B890)*100000)</f>
        <v>39.779917500754962</v>
      </c>
      <c r="G890" s="89">
        <f t="shared" si="13"/>
        <v>0.22801750075495875</v>
      </c>
    </row>
    <row r="891" spans="1:7" x14ac:dyDescent="0.6">
      <c r="A891" s="76">
        <v>1303496</v>
      </c>
      <c r="B891" s="87">
        <v>0.17974999999999999</v>
      </c>
      <c r="C891" s="88">
        <v>39.596200000000003</v>
      </c>
      <c r="D891" s="88">
        <v>0.20893</v>
      </c>
      <c r="E891" s="76">
        <v>0</v>
      </c>
      <c r="F891" s="89" cm="1">
        <f t="array" ref="F891">5*LOG10(((c_light/1000/H_0_SAM)*(B891/60)*SUMPRODUCT($J$2:$AD$2,1/SQRT(Omega_m*(1+$J$1:$AD$1*B891)^3+Omega_L)))*(1+B891)*100000)</f>
        <v>39.780184623185527</v>
      </c>
      <c r="G891" s="89">
        <f t="shared" si="13"/>
        <v>0.18398462318552333</v>
      </c>
    </row>
    <row r="892" spans="1:7" x14ac:dyDescent="0.6">
      <c r="A892" s="76">
        <v>13254</v>
      </c>
      <c r="B892" s="87">
        <v>0.18004000000000001</v>
      </c>
      <c r="C892" s="88">
        <v>39.997900000000001</v>
      </c>
      <c r="D892" s="88">
        <v>0.26807999999999998</v>
      </c>
      <c r="E892" s="76">
        <v>0</v>
      </c>
      <c r="F892" s="89" cm="1">
        <f t="array" ref="F892">5*LOG10(((c_light/1000/H_0_SAM)*(B892/60)*SUMPRODUCT($J$2:$AD$2,1/SQRT(Omega_m*(1+$J$1:$AD$1*B892)^3+Omega_L)))*(1+B892)*100000)</f>
        <v>39.784054801072813</v>
      </c>
      <c r="G892" s="89">
        <f t="shared" si="13"/>
        <v>-0.21384519892718856</v>
      </c>
    </row>
    <row r="893" spans="1:7" x14ac:dyDescent="0.6">
      <c r="A893" s="76">
        <v>14284</v>
      </c>
      <c r="B893" s="87">
        <v>0.18049999999999999</v>
      </c>
      <c r="C893" s="88">
        <v>39.3688</v>
      </c>
      <c r="D893" s="88">
        <v>0.13761999999999999</v>
      </c>
      <c r="E893" s="76">
        <v>0</v>
      </c>
      <c r="F893" s="89" cm="1">
        <f t="array" ref="F893">5*LOG10(((c_light/1000/H_0_SAM)*(B893/60)*SUMPRODUCT($J$2:$AD$2,1/SQRT(Omega_m*(1+$J$1:$AD$1*B893)^3+Omega_L)))*(1+B893)*100000)</f>
        <v>39.790181850635712</v>
      </c>
      <c r="G893" s="89">
        <f t="shared" si="13"/>
        <v>0.42138185063571143</v>
      </c>
    </row>
    <row r="894" spans="1:7" x14ac:dyDescent="0.6">
      <c r="A894" s="76">
        <v>420159</v>
      </c>
      <c r="B894" s="87">
        <v>0.18073</v>
      </c>
      <c r="C894" s="88">
        <v>39.503500000000003</v>
      </c>
      <c r="D894" s="88">
        <v>0.13375000000000001</v>
      </c>
      <c r="E894" s="76">
        <v>0</v>
      </c>
      <c r="F894" s="89" cm="1">
        <f t="array" ref="F894">5*LOG10(((c_light/1000/H_0_SAM)*(B894/60)*SUMPRODUCT($J$2:$AD$2,1/SQRT(Omega_m*(1+$J$1:$AD$1*B894)^3+Omega_L)))*(1+B894)*100000)</f>
        <v>39.793239942207862</v>
      </c>
      <c r="G894" s="89">
        <f t="shared" si="13"/>
        <v>0.28973994220785926</v>
      </c>
    </row>
    <row r="895" spans="1:7" x14ac:dyDescent="0.6">
      <c r="A895" s="76">
        <v>330023</v>
      </c>
      <c r="B895" s="87">
        <v>0.18078</v>
      </c>
      <c r="C895" s="88">
        <v>39.7166</v>
      </c>
      <c r="D895" s="88">
        <v>0.17916000000000001</v>
      </c>
      <c r="E895" s="76">
        <v>0</v>
      </c>
      <c r="F895" s="89" cm="1">
        <f t="array" ref="F895">5*LOG10(((c_light/1000/H_0_SAM)*(B895/60)*SUMPRODUCT($J$2:$AD$2,1/SQRT(Omega_m*(1+$J$1:$AD$1*B895)^3+Omega_L)))*(1+B895)*100000)</f>
        <v>39.793904266703926</v>
      </c>
      <c r="G895" s="89">
        <f t="shared" si="13"/>
        <v>7.7304266703926316E-2</v>
      </c>
    </row>
    <row r="896" spans="1:7" x14ac:dyDescent="0.6">
      <c r="A896" s="76">
        <v>350548</v>
      </c>
      <c r="B896" s="87">
        <v>0.18082000000000001</v>
      </c>
      <c r="C896" s="88">
        <v>39.639099999999999</v>
      </c>
      <c r="D896" s="88">
        <v>0.13397999999999999</v>
      </c>
      <c r="E896" s="76">
        <v>0</v>
      </c>
      <c r="F896" s="89" cm="1">
        <f t="array" ref="F896">5*LOG10(((c_light/1000/H_0_SAM)*(B896/60)*SUMPRODUCT($J$2:$AD$2,1/SQRT(Omega_m*(1+$J$1:$AD$1*B896)^3+Omega_L)))*(1+B896)*100000)</f>
        <v>39.794435603523375</v>
      </c>
      <c r="G896" s="89">
        <f t="shared" si="13"/>
        <v>0.15533560352337616</v>
      </c>
    </row>
    <row r="897" spans="1:7" x14ac:dyDescent="0.6">
      <c r="A897" s="76">
        <v>360112</v>
      </c>
      <c r="B897" s="87">
        <v>0.18085999999999999</v>
      </c>
      <c r="C897" s="88">
        <v>39.615099999999998</v>
      </c>
      <c r="D897" s="88">
        <v>0.24621000000000001</v>
      </c>
      <c r="E897" s="76">
        <v>0</v>
      </c>
      <c r="F897" s="89" cm="1">
        <f t="array" ref="F897">5*LOG10(((c_light/1000/H_0_SAM)*(B897/60)*SUMPRODUCT($J$2:$AD$2,1/SQRT(Omega_m*(1+$J$1:$AD$1*B897)^3+Omega_L)))*(1+B897)*100000)</f>
        <v>39.794966831258527</v>
      </c>
      <c r="G897" s="89">
        <f t="shared" si="13"/>
        <v>0.1798668312585292</v>
      </c>
    </row>
    <row r="898" spans="1:7" x14ac:dyDescent="0.6">
      <c r="A898" s="76">
        <v>17215</v>
      </c>
      <c r="B898" s="87">
        <v>0.18092</v>
      </c>
      <c r="C898" s="88">
        <v>39.621299999999998</v>
      </c>
      <c r="D898" s="88">
        <v>0.20799000000000001</v>
      </c>
      <c r="E898" s="76">
        <v>0</v>
      </c>
      <c r="F898" s="89" cm="1">
        <f t="array" ref="F898">5*LOG10(((c_light/1000/H_0_SAM)*(B898/60)*SUMPRODUCT($J$2:$AD$2,1/SQRT(Omega_m*(1+$J$1:$AD$1*B898)^3+Omega_L)))*(1+B898)*100000)</f>
        <v>39.795763468431474</v>
      </c>
      <c r="G898" s="89">
        <f t="shared" si="13"/>
        <v>0.17446346843147609</v>
      </c>
    </row>
    <row r="899" spans="1:7" x14ac:dyDescent="0.6">
      <c r="A899" s="76">
        <v>370595</v>
      </c>
      <c r="B899" s="87">
        <v>0.18126</v>
      </c>
      <c r="C899" s="88">
        <v>39.658499999999997</v>
      </c>
      <c r="D899" s="88">
        <v>0.22595999999999999</v>
      </c>
      <c r="E899" s="76">
        <v>0</v>
      </c>
      <c r="F899" s="89" cm="1">
        <f t="array" ref="F899">5*LOG10(((c_light/1000/H_0_SAM)*(B899/60)*SUMPRODUCT($J$2:$AD$2,1/SQRT(Omega_m*(1+$J$1:$AD$1*B899)^3+Omega_L)))*(1+B899)*100000)</f>
        <v>39.80027311934397</v>
      </c>
      <c r="G899" s="89">
        <f t="shared" si="13"/>
        <v>0.14177311934397352</v>
      </c>
    </row>
    <row r="900" spans="1:7" x14ac:dyDescent="0.6">
      <c r="A900" s="76">
        <v>15443</v>
      </c>
      <c r="B900" s="87">
        <v>0.18135999999999999</v>
      </c>
      <c r="C900" s="88">
        <v>39.486800000000002</v>
      </c>
      <c r="D900" s="88">
        <v>0.13406000000000001</v>
      </c>
      <c r="E900" s="76">
        <v>0</v>
      </c>
      <c r="F900" s="89" cm="1">
        <f t="array" ref="F900">5*LOG10(((c_light/1000/H_0_SAM)*(B900/60)*SUMPRODUCT($J$2:$AD$2,1/SQRT(Omega_m*(1+$J$1:$AD$1*B900)^3+Omega_L)))*(1+B900)*100000)</f>
        <v>39.801597993175605</v>
      </c>
      <c r="G900" s="89">
        <f t="shared" si="13"/>
        <v>0.31479799317560264</v>
      </c>
    </row>
    <row r="901" spans="1:7" x14ac:dyDescent="0.6">
      <c r="A901" s="76">
        <v>1339392</v>
      </c>
      <c r="B901" s="87">
        <v>0.18145</v>
      </c>
      <c r="C901" s="88">
        <v>39.395299999999999</v>
      </c>
      <c r="D901" s="88">
        <v>0.23516999999999999</v>
      </c>
      <c r="E901" s="76">
        <v>0</v>
      </c>
      <c r="F901" s="89" cm="1">
        <f t="array" ref="F901">5*LOG10(((c_light/1000/H_0_SAM)*(B901/60)*SUMPRODUCT($J$2:$AD$2,1/SQRT(Omega_m*(1+$J$1:$AD$1*B901)^3+Omega_L)))*(1+B901)*100000)</f>
        <v>39.802789800075452</v>
      </c>
      <c r="G901" s="89">
        <f t="shared" si="13"/>
        <v>0.40748980007545299</v>
      </c>
    </row>
    <row r="902" spans="1:7" x14ac:dyDescent="0.6">
      <c r="A902" s="76">
        <v>17332</v>
      </c>
      <c r="B902" s="87">
        <v>0.18217</v>
      </c>
      <c r="C902" s="88">
        <v>39.586300000000001</v>
      </c>
      <c r="D902" s="88">
        <v>0.20105999999999999</v>
      </c>
      <c r="E902" s="76">
        <v>0</v>
      </c>
      <c r="F902" s="89" cm="1">
        <f t="array" ref="F902">5*LOG10(((c_light/1000/H_0_SAM)*(B902/60)*SUMPRODUCT($J$2:$AD$2,1/SQRT(Omega_m*(1+$J$1:$AD$1*B902)^3+Omega_L)))*(1+B902)*100000)</f>
        <v>39.812304554087959</v>
      </c>
      <c r="G902" s="89">
        <f t="shared" ref="G902:G965" si="14">F902-C902</f>
        <v>0.22600455408795739</v>
      </c>
    </row>
    <row r="903" spans="1:7" x14ac:dyDescent="0.6">
      <c r="A903" s="76">
        <v>1580</v>
      </c>
      <c r="B903" s="87">
        <v>0.18229000000000001</v>
      </c>
      <c r="C903" s="88">
        <v>39.5259</v>
      </c>
      <c r="D903" s="88">
        <v>0.14985999999999999</v>
      </c>
      <c r="E903" s="76">
        <v>0</v>
      </c>
      <c r="F903" s="89" cm="1">
        <f t="array" ref="F903">5*LOG10(((c_light/1000/H_0_SAM)*(B903/60)*SUMPRODUCT($J$2:$AD$2,1/SQRT(Omega_m*(1+$J$1:$AD$1*B903)^3+Omega_L)))*(1+B903)*100000)</f>
        <v>39.813886952620187</v>
      </c>
      <c r="G903" s="89">
        <f t="shared" si="14"/>
        <v>0.28798695262018725</v>
      </c>
    </row>
    <row r="904" spans="1:7" x14ac:dyDescent="0.6">
      <c r="A904" s="76">
        <v>1250017</v>
      </c>
      <c r="B904" s="87">
        <v>0.18231</v>
      </c>
      <c r="C904" s="88">
        <v>39.688499999999998</v>
      </c>
      <c r="D904" s="88">
        <v>0.15243999999999999</v>
      </c>
      <c r="E904" s="76">
        <v>0</v>
      </c>
      <c r="F904" s="89" cm="1">
        <f t="array" ref="F904">5*LOG10(((c_light/1000/H_0_SAM)*(B904/60)*SUMPRODUCT($J$2:$AD$2,1/SQRT(Omega_m*(1+$J$1:$AD$1*B904)^3+Omega_L)))*(1+B904)*100000)</f>
        <v>39.814150591726744</v>
      </c>
      <c r="G904" s="89">
        <f t="shared" si="14"/>
        <v>0.12565059172674609</v>
      </c>
    </row>
    <row r="905" spans="1:7" x14ac:dyDescent="0.6">
      <c r="A905" s="76">
        <v>15453</v>
      </c>
      <c r="B905" s="87">
        <v>0.18251999999999999</v>
      </c>
      <c r="C905" s="88">
        <v>39.7821</v>
      </c>
      <c r="D905" s="88">
        <v>0.17732000000000001</v>
      </c>
      <c r="E905" s="76">
        <v>0</v>
      </c>
      <c r="F905" s="89" cm="1">
        <f t="array" ref="F905">5*LOG10(((c_light/1000/H_0_SAM)*(B905/60)*SUMPRODUCT($J$2:$AD$2,1/SQRT(Omega_m*(1+$J$1:$AD$1*B905)^3+Omega_L)))*(1+B905)*100000)</f>
        <v>39.816917183181509</v>
      </c>
      <c r="G905" s="89">
        <f t="shared" si="14"/>
        <v>3.4817183181509392E-2</v>
      </c>
    </row>
    <row r="906" spans="1:7" x14ac:dyDescent="0.6">
      <c r="A906" s="76">
        <v>17391</v>
      </c>
      <c r="B906" s="87">
        <v>0.18360000000000001</v>
      </c>
      <c r="C906" s="88">
        <v>39.599499999999999</v>
      </c>
      <c r="D906" s="88">
        <v>0.29419000000000001</v>
      </c>
      <c r="E906" s="76">
        <v>0</v>
      </c>
      <c r="F906" s="89" cm="1">
        <f t="array" ref="F906">5*LOG10(((c_light/1000/H_0_SAM)*(B906/60)*SUMPRODUCT($J$2:$AD$2,1/SQRT(Omega_m*(1+$J$1:$AD$1*B906)^3+Omega_L)))*(1+B906)*100000)</f>
        <v>39.831098881152094</v>
      </c>
      <c r="G906" s="89">
        <f t="shared" si="14"/>
        <v>0.23159888115209526</v>
      </c>
    </row>
    <row r="907" spans="1:7" x14ac:dyDescent="0.6">
      <c r="A907" s="76">
        <v>1257695</v>
      </c>
      <c r="B907" s="87">
        <v>0.18375</v>
      </c>
      <c r="C907" s="88">
        <v>39.68</v>
      </c>
      <c r="D907" s="88">
        <v>0.15157000000000001</v>
      </c>
      <c r="E907" s="76">
        <v>0</v>
      </c>
      <c r="F907" s="89" cm="1">
        <f t="array" ref="F907">5*LOG10(((c_light/1000/H_0_SAM)*(B907/60)*SUMPRODUCT($J$2:$AD$2,1/SQRT(Omega_m*(1+$J$1:$AD$1*B907)^3+Omega_L)))*(1+B907)*100000)</f>
        <v>39.833062436746992</v>
      </c>
      <c r="G907" s="89">
        <f t="shared" si="14"/>
        <v>0.1530624367469926</v>
      </c>
    </row>
    <row r="908" spans="1:7" x14ac:dyDescent="0.6">
      <c r="A908" s="76">
        <v>17168</v>
      </c>
      <c r="B908" s="87">
        <v>0.18389</v>
      </c>
      <c r="C908" s="88">
        <v>39.752000000000002</v>
      </c>
      <c r="D908" s="88">
        <v>0.19742999999999999</v>
      </c>
      <c r="E908" s="76">
        <v>0</v>
      </c>
      <c r="F908" s="89" cm="1">
        <f t="array" ref="F908">5*LOG10(((c_light/1000/H_0_SAM)*(B908/60)*SUMPRODUCT($J$2:$AD$2,1/SQRT(Omega_m*(1+$J$1:$AD$1*B908)^3+Omega_L)))*(1+B908)*100000)</f>
        <v>39.834893747426555</v>
      </c>
      <c r="G908" s="89">
        <f t="shared" si="14"/>
        <v>8.2893747426552977E-2</v>
      </c>
    </row>
    <row r="909" spans="1:7" x14ac:dyDescent="0.6">
      <c r="A909" s="76">
        <v>20048</v>
      </c>
      <c r="B909" s="87">
        <v>0.18401999999999999</v>
      </c>
      <c r="C909" s="88">
        <v>39.795999999999999</v>
      </c>
      <c r="D909" s="88">
        <v>0.21837999999999999</v>
      </c>
      <c r="E909" s="76">
        <v>0</v>
      </c>
      <c r="F909" s="89" cm="1">
        <f t="array" ref="F909">5*LOG10(((c_light/1000/H_0_SAM)*(B909/60)*SUMPRODUCT($J$2:$AD$2,1/SQRT(Omega_m*(1+$J$1:$AD$1*B909)^3+Omega_L)))*(1+B909)*100000)</f>
        <v>39.836593092408336</v>
      </c>
      <c r="G909" s="89">
        <f t="shared" si="14"/>
        <v>4.0593092408336418E-2</v>
      </c>
    </row>
    <row r="910" spans="1:7" x14ac:dyDescent="0.6">
      <c r="A910" s="76">
        <v>1296321</v>
      </c>
      <c r="B910" s="87">
        <v>0.18457999999999999</v>
      </c>
      <c r="C910" s="88">
        <v>39.938400000000001</v>
      </c>
      <c r="D910" s="88">
        <v>0.28247</v>
      </c>
      <c r="E910" s="76">
        <v>0</v>
      </c>
      <c r="F910" s="89" cm="1">
        <f t="array" ref="F910">5*LOG10(((c_light/1000/H_0_SAM)*(B910/60)*SUMPRODUCT($J$2:$AD$2,1/SQRT(Omega_m*(1+$J$1:$AD$1*B910)^3+Omega_L)))*(1+B910)*100000)</f>
        <v>39.843900639506323</v>
      </c>
      <c r="G910" s="89">
        <f t="shared" si="14"/>
        <v>-9.4499360493678353E-2</v>
      </c>
    </row>
    <row r="911" spans="1:7" x14ac:dyDescent="0.6">
      <c r="A911" s="76">
        <v>15421</v>
      </c>
      <c r="B911" s="87">
        <v>0.18459</v>
      </c>
      <c r="C911" s="88">
        <v>39.789099999999998</v>
      </c>
      <c r="D911" s="88">
        <v>0.14266000000000001</v>
      </c>
      <c r="E911" s="76">
        <v>0</v>
      </c>
      <c r="F911" s="89" cm="1">
        <f t="array" ref="F911">5*LOG10(((c_light/1000/H_0_SAM)*(B911/60)*SUMPRODUCT($J$2:$AD$2,1/SQRT(Omega_m*(1+$J$1:$AD$1*B911)^3+Omega_L)))*(1+B911)*100000)</f>
        <v>39.844030944416701</v>
      </c>
      <c r="G911" s="89">
        <f t="shared" si="14"/>
        <v>5.4930944416703653E-2</v>
      </c>
    </row>
    <row r="912" spans="1:7" x14ac:dyDescent="0.6">
      <c r="A912" s="76">
        <v>8213</v>
      </c>
      <c r="B912" s="87">
        <v>0.18484</v>
      </c>
      <c r="C912" s="88">
        <v>39.654800000000002</v>
      </c>
      <c r="D912" s="88">
        <v>0.27682000000000001</v>
      </c>
      <c r="E912" s="76">
        <v>0</v>
      </c>
      <c r="F912" s="89" cm="1">
        <f t="array" ref="F912">5*LOG10(((c_light/1000/H_0_SAM)*(B912/60)*SUMPRODUCT($J$2:$AD$2,1/SQRT(Omega_m*(1+$J$1:$AD$1*B912)^3+Omega_L)))*(1+B912)*100000)</f>
        <v>39.847286440867201</v>
      </c>
      <c r="G912" s="89">
        <f t="shared" si="14"/>
        <v>0.19248644086719935</v>
      </c>
    </row>
    <row r="913" spans="1:7" x14ac:dyDescent="0.6">
      <c r="A913" s="76">
        <v>15461</v>
      </c>
      <c r="B913" s="87">
        <v>0.18493000000000001</v>
      </c>
      <c r="C913" s="88">
        <v>39.613</v>
      </c>
      <c r="D913" s="88">
        <v>0.13486000000000001</v>
      </c>
      <c r="E913" s="76">
        <v>0</v>
      </c>
      <c r="F913" s="89" cm="1">
        <f t="array" ref="F913">5*LOG10(((c_light/1000/H_0_SAM)*(B913/60)*SUMPRODUCT($J$2:$AD$2,1/SQRT(Omega_m*(1+$J$1:$AD$1*B913)^3+Omega_L)))*(1+B913)*100000)</f>
        <v>39.848457419823873</v>
      </c>
      <c r="G913" s="89">
        <f t="shared" si="14"/>
        <v>0.23545741982387369</v>
      </c>
    </row>
    <row r="914" spans="1:7" x14ac:dyDescent="0.6">
      <c r="A914" s="76">
        <v>1336453</v>
      </c>
      <c r="B914" s="87">
        <v>0.18506</v>
      </c>
      <c r="C914" s="88">
        <v>39.743499999999997</v>
      </c>
      <c r="D914" s="88">
        <v>0.15931999999999999</v>
      </c>
      <c r="E914" s="76">
        <v>0</v>
      </c>
      <c r="F914" s="89" cm="1">
        <f t="array" ref="F914">5*LOG10(((c_light/1000/H_0_SAM)*(B914/60)*SUMPRODUCT($J$2:$AD$2,1/SQRT(Omega_m*(1+$J$1:$AD$1*B914)^3+Omega_L)))*(1+B914)*100000)</f>
        <v>39.850147900998564</v>
      </c>
      <c r="G914" s="89">
        <f t="shared" si="14"/>
        <v>0.10664790099856702</v>
      </c>
    </row>
    <row r="915" spans="1:7" x14ac:dyDescent="0.6">
      <c r="A915" s="76">
        <v>6422</v>
      </c>
      <c r="B915" s="87">
        <v>0.18515000000000001</v>
      </c>
      <c r="C915" s="88">
        <v>39.634700000000002</v>
      </c>
      <c r="D915" s="88">
        <v>0.16044</v>
      </c>
      <c r="E915" s="76">
        <v>0</v>
      </c>
      <c r="F915" s="89" cm="1">
        <f t="array" ref="F915">5*LOG10(((c_light/1000/H_0_SAM)*(B915/60)*SUMPRODUCT($J$2:$AD$2,1/SQRT(Omega_m*(1+$J$1:$AD$1*B915)^3+Omega_L)))*(1+B915)*100000)</f>
        <v>39.851317588988799</v>
      </c>
      <c r="G915" s="89">
        <f t="shared" si="14"/>
        <v>0.21661758898879668</v>
      </c>
    </row>
    <row r="916" spans="1:7" x14ac:dyDescent="0.6">
      <c r="A916" s="76">
        <v>16281</v>
      </c>
      <c r="B916" s="87">
        <v>0.18522</v>
      </c>
      <c r="C916" s="88">
        <v>39.542700000000004</v>
      </c>
      <c r="D916" s="88">
        <v>0.17219000000000001</v>
      </c>
      <c r="E916" s="76">
        <v>0</v>
      </c>
      <c r="F916" s="89" cm="1">
        <f t="array" ref="F916">5*LOG10(((c_light/1000/H_0_SAM)*(B916/60)*SUMPRODUCT($J$2:$AD$2,1/SQRT(Omega_m*(1+$J$1:$AD$1*B916)^3+Omega_L)))*(1+B916)*100000)</f>
        <v>39.852226981764645</v>
      </c>
      <c r="G916" s="89">
        <f t="shared" si="14"/>
        <v>0.30952698176464111</v>
      </c>
    </row>
    <row r="917" spans="1:7" x14ac:dyDescent="0.6">
      <c r="A917" s="76">
        <v>370563</v>
      </c>
      <c r="B917" s="87">
        <v>0.18526999999999999</v>
      </c>
      <c r="C917" s="88">
        <v>39.788200000000003</v>
      </c>
      <c r="D917" s="88">
        <v>0.13936000000000001</v>
      </c>
      <c r="E917" s="76">
        <v>0</v>
      </c>
      <c r="F917" s="89" cm="1">
        <f t="array" ref="F917">5*LOG10(((c_light/1000/H_0_SAM)*(B917/60)*SUMPRODUCT($J$2:$AD$2,1/SQRT(Omega_m*(1+$J$1:$AD$1*B917)^3+Omega_L)))*(1+B917)*100000)</f>
        <v>39.852876352882816</v>
      </c>
      <c r="G917" s="89">
        <f t="shared" si="14"/>
        <v>6.4676352882813148E-2</v>
      </c>
    </row>
    <row r="918" spans="1:7" x14ac:dyDescent="0.6">
      <c r="A918" s="76">
        <v>15365</v>
      </c>
      <c r="B918" s="87">
        <v>0.18667</v>
      </c>
      <c r="C918" s="88">
        <v>39.755899999999997</v>
      </c>
      <c r="D918" s="88">
        <v>0.14451</v>
      </c>
      <c r="E918" s="76">
        <v>0</v>
      </c>
      <c r="F918" s="89" cm="1">
        <f t="array" ref="F918">5*LOG10(((c_light/1000/H_0_SAM)*(B918/60)*SUMPRODUCT($J$2:$AD$2,1/SQRT(Omega_m*(1+$J$1:$AD$1*B918)^3+Omega_L)))*(1+B918)*100000)</f>
        <v>39.870993069465555</v>
      </c>
      <c r="G918" s="89">
        <f t="shared" si="14"/>
        <v>0.11509306946555853</v>
      </c>
    </row>
    <row r="919" spans="1:7" x14ac:dyDescent="0.6">
      <c r="A919" s="76">
        <v>18807</v>
      </c>
      <c r="B919" s="87">
        <v>0.18728</v>
      </c>
      <c r="C919" s="88">
        <v>39.769399999999997</v>
      </c>
      <c r="D919" s="88">
        <v>0.13671</v>
      </c>
      <c r="E919" s="76">
        <v>0</v>
      </c>
      <c r="F919" s="89" cm="1">
        <f t="array" ref="F919">5*LOG10(((c_light/1000/H_0_SAM)*(B919/60)*SUMPRODUCT($J$2:$AD$2,1/SQRT(Omega_m*(1+$J$1:$AD$1*B919)^3+Omega_L)))*(1+B919)*100000)</f>
        <v>39.878847399770976</v>
      </c>
      <c r="G919" s="89">
        <f t="shared" si="14"/>
        <v>0.10944739977097839</v>
      </c>
    </row>
    <row r="920" spans="1:7" x14ac:dyDescent="0.6">
      <c r="A920" s="76">
        <v>5994</v>
      </c>
      <c r="B920" s="87">
        <v>0.18809000000000001</v>
      </c>
      <c r="C920" s="88">
        <v>39.745100000000001</v>
      </c>
      <c r="D920" s="88">
        <v>0.19147</v>
      </c>
      <c r="E920" s="76">
        <v>0</v>
      </c>
      <c r="F920" s="89" cm="1">
        <f t="array" ref="F920">5*LOG10(((c_light/1000/H_0_SAM)*(B920/60)*SUMPRODUCT($J$2:$AD$2,1/SQRT(Omega_m*(1+$J$1:$AD$1*B920)^3+Omega_L)))*(1+B920)*100000)</f>
        <v>39.889240338076142</v>
      </c>
      <c r="G920" s="89">
        <f t="shared" si="14"/>
        <v>0.14414033807614146</v>
      </c>
    </row>
    <row r="921" spans="1:7" x14ac:dyDescent="0.6">
      <c r="A921" s="76">
        <v>12927</v>
      </c>
      <c r="B921" s="87">
        <v>0.18906000000000001</v>
      </c>
      <c r="C921" s="88">
        <v>39.438400000000001</v>
      </c>
      <c r="D921" s="88">
        <v>0.14957000000000001</v>
      </c>
      <c r="E921" s="76">
        <v>0</v>
      </c>
      <c r="F921" s="89" cm="1">
        <f t="array" ref="F921">5*LOG10(((c_light/1000/H_0_SAM)*(B921/60)*SUMPRODUCT($J$2:$AD$2,1/SQRT(Omega_m*(1+$J$1:$AD$1*B921)^3+Omega_L)))*(1+B921)*100000)</f>
        <v>39.901631741075633</v>
      </c>
      <c r="G921" s="89">
        <f t="shared" si="14"/>
        <v>0.46323174107563148</v>
      </c>
    </row>
    <row r="922" spans="1:7" x14ac:dyDescent="0.6">
      <c r="A922" s="76">
        <v>16100</v>
      </c>
      <c r="B922" s="87">
        <v>0.18908</v>
      </c>
      <c r="C922" s="88">
        <v>39.808900000000001</v>
      </c>
      <c r="D922" s="88">
        <v>0.25627</v>
      </c>
      <c r="E922" s="76">
        <v>0</v>
      </c>
      <c r="F922" s="89" cm="1">
        <f t="array" ref="F922">5*LOG10(((c_light/1000/H_0_SAM)*(B922/60)*SUMPRODUCT($J$2:$AD$2,1/SQRT(Omega_m*(1+$J$1:$AD$1*B922)^3+Omega_L)))*(1+B922)*100000)</f>
        <v>39.901886613256366</v>
      </c>
      <c r="G922" s="89">
        <f t="shared" si="14"/>
        <v>9.2986613256364592E-2</v>
      </c>
    </row>
    <row r="923" spans="1:7" x14ac:dyDescent="0.6">
      <c r="A923" s="76">
        <v>1273127</v>
      </c>
      <c r="B923" s="87">
        <v>0.18929000000000001</v>
      </c>
      <c r="C923" s="88">
        <v>39.935899999999997</v>
      </c>
      <c r="D923" s="88">
        <v>0.22894999999999999</v>
      </c>
      <c r="E923" s="76">
        <v>0</v>
      </c>
      <c r="F923" s="89" cm="1">
        <f t="array" ref="F923">5*LOG10(((c_light/1000/H_0_SAM)*(B923/60)*SUMPRODUCT($J$2:$AD$2,1/SQRT(Omega_m*(1+$J$1:$AD$1*B923)^3+Omega_L)))*(1+B923)*100000)</f>
        <v>39.904561263365402</v>
      </c>
      <c r="G923" s="89">
        <f t="shared" si="14"/>
        <v>-3.1338736634594966E-2</v>
      </c>
    </row>
    <row r="924" spans="1:7" x14ac:dyDescent="0.6">
      <c r="A924" s="76">
        <v>18787</v>
      </c>
      <c r="B924" s="87">
        <v>0.18929000000000001</v>
      </c>
      <c r="C924" s="88">
        <v>40.140799999999999</v>
      </c>
      <c r="D924" s="88">
        <v>0.20052</v>
      </c>
      <c r="E924" s="76">
        <v>0</v>
      </c>
      <c r="F924" s="89" cm="1">
        <f t="array" ref="F924">5*LOG10(((c_light/1000/H_0_SAM)*(B924/60)*SUMPRODUCT($J$2:$AD$2,1/SQRT(Omega_m*(1+$J$1:$AD$1*B924)^3+Omega_L)))*(1+B924)*100000)</f>
        <v>39.904561263365402</v>
      </c>
      <c r="G924" s="89">
        <f t="shared" si="14"/>
        <v>-0.23623873663459705</v>
      </c>
    </row>
    <row r="925" spans="1:7" x14ac:dyDescent="0.6">
      <c r="A925" s="76">
        <v>18749</v>
      </c>
      <c r="B925" s="87">
        <v>0.18948000000000001</v>
      </c>
      <c r="C925" s="88">
        <v>39.741300000000003</v>
      </c>
      <c r="D925" s="88">
        <v>0.2092</v>
      </c>
      <c r="E925" s="76">
        <v>0</v>
      </c>
      <c r="F925" s="89" cm="1">
        <f t="array" ref="F925">5*LOG10(((c_light/1000/H_0_SAM)*(B925/60)*SUMPRODUCT($J$2:$AD$2,1/SQRT(Omega_m*(1+$J$1:$AD$1*B925)^3+Omega_L)))*(1+B925)*100000)</f>
        <v>39.906978815815592</v>
      </c>
      <c r="G925" s="89">
        <f t="shared" si="14"/>
        <v>0.16567881581558908</v>
      </c>
    </row>
    <row r="926" spans="1:7" x14ac:dyDescent="0.6">
      <c r="A926" s="76">
        <v>440643</v>
      </c>
      <c r="B926" s="87">
        <v>0.18951999999999999</v>
      </c>
      <c r="C926" s="88">
        <v>39.7624</v>
      </c>
      <c r="D926" s="88">
        <v>0.23865</v>
      </c>
      <c r="E926" s="76">
        <v>0</v>
      </c>
      <c r="F926" s="89" cm="1">
        <f t="array" ref="F926">5*LOG10(((c_light/1000/H_0_SAM)*(B926/60)*SUMPRODUCT($J$2:$AD$2,1/SQRT(Omega_m*(1+$J$1:$AD$1*B926)^3+Omega_L)))*(1+B926)*100000)</f>
        <v>39.907487487876942</v>
      </c>
      <c r="G926" s="89">
        <f t="shared" si="14"/>
        <v>0.14508748787694259</v>
      </c>
    </row>
    <row r="927" spans="1:7" x14ac:dyDescent="0.6">
      <c r="A927" s="76">
        <v>6304</v>
      </c>
      <c r="B927" s="87">
        <v>0.18995000000000001</v>
      </c>
      <c r="C927" s="88">
        <v>39.7286</v>
      </c>
      <c r="D927" s="88">
        <v>0.22473000000000001</v>
      </c>
      <c r="E927" s="76">
        <v>0</v>
      </c>
      <c r="F927" s="89" cm="1">
        <f t="array" ref="F927">5*LOG10(((c_light/1000/H_0_SAM)*(B927/60)*SUMPRODUCT($J$2:$AD$2,1/SQRT(Omega_m*(1+$J$1:$AD$1*B927)^3+Omega_L)))*(1+B927)*100000)</f>
        <v>39.912949436436719</v>
      </c>
      <c r="G927" s="89">
        <f t="shared" si="14"/>
        <v>0.18434943643671886</v>
      </c>
    </row>
    <row r="928" spans="1:7" x14ac:dyDescent="0.6">
      <c r="A928" s="76">
        <v>762</v>
      </c>
      <c r="B928" s="87">
        <v>0.19025</v>
      </c>
      <c r="C928" s="88">
        <v>39.880699999999997</v>
      </c>
      <c r="D928" s="88">
        <v>0.15798999999999999</v>
      </c>
      <c r="E928" s="76">
        <v>0</v>
      </c>
      <c r="F928" s="89" cm="1">
        <f t="array" ref="F928">5*LOG10(((c_light/1000/H_0_SAM)*(B928/60)*SUMPRODUCT($J$2:$AD$2,1/SQRT(Omega_m*(1+$J$1:$AD$1*B928)^3+Omega_L)))*(1+B928)*100000)</f>
        <v>39.916753315244307</v>
      </c>
      <c r="G928" s="89">
        <f t="shared" si="14"/>
        <v>3.6053315244309658E-2</v>
      </c>
    </row>
    <row r="929" spans="1:7" x14ac:dyDescent="0.6">
      <c r="A929" s="76">
        <v>20687</v>
      </c>
      <c r="B929" s="87">
        <v>0.19042000000000001</v>
      </c>
      <c r="C929" s="88">
        <v>39.6892</v>
      </c>
      <c r="D929" s="88">
        <v>0.29497000000000001</v>
      </c>
      <c r="E929" s="76">
        <v>0</v>
      </c>
      <c r="F929" s="89" cm="1">
        <f t="array" ref="F929">5*LOG10(((c_light/1000/H_0_SAM)*(B929/60)*SUMPRODUCT($J$2:$AD$2,1/SQRT(Omega_m*(1+$J$1:$AD$1*B929)^3+Omega_L)))*(1+B929)*100000)</f>
        <v>39.918906379488192</v>
      </c>
      <c r="G929" s="89">
        <f t="shared" si="14"/>
        <v>0.22970637948819217</v>
      </c>
    </row>
    <row r="930" spans="1:7" x14ac:dyDescent="0.6">
      <c r="A930" s="76">
        <v>2440</v>
      </c>
      <c r="B930" s="87">
        <v>0.19044</v>
      </c>
      <c r="C930" s="88">
        <v>39.918199999999999</v>
      </c>
      <c r="D930" s="88">
        <v>0.15484000000000001</v>
      </c>
      <c r="E930" s="76">
        <v>0</v>
      </c>
      <c r="F930" s="89" cm="1">
        <f t="array" ref="F930">5*LOG10(((c_light/1000/H_0_SAM)*(B930/60)*SUMPRODUCT($J$2:$AD$2,1/SQRT(Omega_m*(1+$J$1:$AD$1*B930)^3+Omega_L)))*(1+B930)*100000)</f>
        <v>39.919159564027616</v>
      </c>
      <c r="G930" s="89">
        <f t="shared" si="14"/>
        <v>9.595640276174322E-4</v>
      </c>
    </row>
    <row r="931" spans="1:7" x14ac:dyDescent="0.6">
      <c r="A931" s="76">
        <v>16276</v>
      </c>
      <c r="B931" s="87">
        <v>0.19413</v>
      </c>
      <c r="C931" s="88">
        <v>39.798299999999998</v>
      </c>
      <c r="D931" s="88">
        <v>0.21886</v>
      </c>
      <c r="E931" s="76">
        <v>0</v>
      </c>
      <c r="F931" s="89" cm="1">
        <f t="array" ref="F931">5*LOG10(((c_light/1000/H_0_SAM)*(B931/60)*SUMPRODUCT($J$2:$AD$2,1/SQRT(Omega_m*(1+$J$1:$AD$1*B931)^3+Omega_L)))*(1+B931)*100000)</f>
        <v>39.965455635233837</v>
      </c>
      <c r="G931" s="89">
        <f t="shared" si="14"/>
        <v>0.16715563523383992</v>
      </c>
    </row>
    <row r="932" spans="1:7" x14ac:dyDescent="0.6">
      <c r="A932" s="76">
        <v>2246</v>
      </c>
      <c r="B932" s="87">
        <v>0.19434000000000001</v>
      </c>
      <c r="C932" s="88">
        <v>39.878700000000002</v>
      </c>
      <c r="D932" s="88">
        <v>0.222</v>
      </c>
      <c r="E932" s="76">
        <v>0</v>
      </c>
      <c r="F932" s="89" cm="1">
        <f t="array" ref="F932">5*LOG10(((c_light/1000/H_0_SAM)*(B932/60)*SUMPRODUCT($J$2:$AD$2,1/SQRT(Omega_m*(1+$J$1:$AD$1*B932)^3+Omega_L)))*(1+B932)*100000)</f>
        <v>39.968065783601617</v>
      </c>
      <c r="G932" s="89">
        <f t="shared" si="14"/>
        <v>8.9365783601614623E-2</v>
      </c>
    </row>
    <row r="933" spans="1:7" x14ac:dyDescent="0.6">
      <c r="A933" s="76">
        <v>20821</v>
      </c>
      <c r="B933" s="87">
        <v>0.19545999999999999</v>
      </c>
      <c r="C933" s="88">
        <v>40.134300000000003</v>
      </c>
      <c r="D933" s="88">
        <v>0.40395999999999999</v>
      </c>
      <c r="E933" s="76">
        <v>0</v>
      </c>
      <c r="F933" s="89" cm="1">
        <f t="array" ref="F933">5*LOG10(((c_light/1000/H_0_SAM)*(B933/60)*SUMPRODUCT($J$2:$AD$2,1/SQRT(Omega_m*(1+$J$1:$AD$1*B933)^3+Omega_L)))*(1+B933)*100000)</f>
        <v>39.981942605293604</v>
      </c>
      <c r="G933" s="89">
        <f t="shared" si="14"/>
        <v>-0.15235739470639942</v>
      </c>
    </row>
    <row r="934" spans="1:7" x14ac:dyDescent="0.6">
      <c r="A934" s="76">
        <v>1253920</v>
      </c>
      <c r="B934" s="87">
        <v>0.19553000000000001</v>
      </c>
      <c r="C934" s="88">
        <v>39.711100000000002</v>
      </c>
      <c r="D934" s="88">
        <v>0.15662000000000001</v>
      </c>
      <c r="E934" s="76">
        <v>0</v>
      </c>
      <c r="F934" s="89" cm="1">
        <f t="array" ref="F934">5*LOG10(((c_light/1000/H_0_SAM)*(B934/60)*SUMPRODUCT($J$2:$AD$2,1/SQRT(Omega_m*(1+$J$1:$AD$1*B934)^3+Omega_L)))*(1+B934)*100000)</f>
        <v>39.982807459292175</v>
      </c>
      <c r="G934" s="89">
        <f t="shared" si="14"/>
        <v>0.27170745929217333</v>
      </c>
    </row>
    <row r="935" spans="1:7" x14ac:dyDescent="0.6">
      <c r="A935" s="76">
        <v>14984</v>
      </c>
      <c r="B935" s="87">
        <v>0.19556999999999999</v>
      </c>
      <c r="C935" s="88">
        <v>39.908200000000001</v>
      </c>
      <c r="D935" s="88">
        <v>0.19592999999999999</v>
      </c>
      <c r="E935" s="76">
        <v>0</v>
      </c>
      <c r="F935" s="89" cm="1">
        <f t="array" ref="F935">5*LOG10(((c_light/1000/H_0_SAM)*(B935/60)*SUMPRODUCT($J$2:$AD$2,1/SQRT(Omega_m*(1+$J$1:$AD$1*B935)^3+Omega_L)))*(1+B935)*100000)</f>
        <v>39.983301532834247</v>
      </c>
      <c r="G935" s="89">
        <f t="shared" si="14"/>
        <v>7.5101532834246143E-2</v>
      </c>
    </row>
    <row r="936" spans="1:7" x14ac:dyDescent="0.6">
      <c r="A936" s="76">
        <v>15674</v>
      </c>
      <c r="B936" s="87">
        <v>0.19567999999999999</v>
      </c>
      <c r="C936" s="88">
        <v>39.957999999999998</v>
      </c>
      <c r="D936" s="88">
        <v>0.21232999999999999</v>
      </c>
      <c r="E936" s="76">
        <v>0</v>
      </c>
      <c r="F936" s="89" cm="1">
        <f t="array" ref="F936">5*LOG10(((c_light/1000/H_0_SAM)*(B936/60)*SUMPRODUCT($J$2:$AD$2,1/SQRT(Omega_m*(1+$J$1:$AD$1*B936)^3+Omega_L)))*(1+B936)*100000)</f>
        <v>39.984659752642493</v>
      </c>
      <c r="G936" s="89">
        <f t="shared" si="14"/>
        <v>2.6659752642494539E-2</v>
      </c>
    </row>
    <row r="937" spans="1:7" x14ac:dyDescent="0.6">
      <c r="A937" s="76">
        <v>236</v>
      </c>
      <c r="B937" s="87">
        <v>0.19616</v>
      </c>
      <c r="C937" s="88">
        <v>39.7288</v>
      </c>
      <c r="D937" s="88">
        <v>0.12481</v>
      </c>
      <c r="E937" s="76">
        <v>0</v>
      </c>
      <c r="F937" s="89" cm="1">
        <f t="array" ref="F937">5*LOG10(((c_light/1000/H_0_SAM)*(B937/60)*SUMPRODUCT($J$2:$AD$2,1/SQRT(Omega_m*(1+$J$1:$AD$1*B937)^3+Omega_L)))*(1+B937)*100000)</f>
        <v>39.990578267007685</v>
      </c>
      <c r="G937" s="89">
        <f t="shared" si="14"/>
        <v>0.26177826700768492</v>
      </c>
    </row>
    <row r="938" spans="1:7" x14ac:dyDescent="0.6">
      <c r="A938" s="76">
        <v>15129</v>
      </c>
      <c r="B938" s="87">
        <v>0.19621</v>
      </c>
      <c r="C938" s="88">
        <v>39.774700000000003</v>
      </c>
      <c r="D938" s="88">
        <v>0.15795999999999999</v>
      </c>
      <c r="E938" s="76">
        <v>0</v>
      </c>
      <c r="F938" s="89" cm="1">
        <f t="array" ref="F938">5*LOG10(((c_light/1000/H_0_SAM)*(B938/60)*SUMPRODUCT($J$2:$AD$2,1/SQRT(Omega_m*(1+$J$1:$AD$1*B938)^3+Omega_L)))*(1+B938)*100000)</f>
        <v>39.991194007366879</v>
      </c>
      <c r="G938" s="89">
        <f t="shared" si="14"/>
        <v>0.21649400736687596</v>
      </c>
    </row>
    <row r="939" spans="1:7" x14ac:dyDescent="0.6">
      <c r="A939" s="76">
        <v>1298893</v>
      </c>
      <c r="B939" s="87">
        <v>0.19627</v>
      </c>
      <c r="C939" s="88">
        <v>39.839700000000001</v>
      </c>
      <c r="D939" s="88">
        <v>0.25464999999999999</v>
      </c>
      <c r="E939" s="76">
        <v>0</v>
      </c>
      <c r="F939" s="89" cm="1">
        <f t="array" ref="F939">5*LOG10(((c_light/1000/H_0_SAM)*(B939/60)*SUMPRODUCT($J$2:$AD$2,1/SQRT(Omega_m*(1+$J$1:$AD$1*B939)^3+Omega_L)))*(1+B939)*100000)</f>
        <v>39.991932704013244</v>
      </c>
      <c r="G939" s="89">
        <f t="shared" si="14"/>
        <v>0.15223270401324385</v>
      </c>
    </row>
    <row r="940" spans="1:7" x14ac:dyDescent="0.6">
      <c r="A940" s="76">
        <v>1334620</v>
      </c>
      <c r="B940" s="87">
        <v>0.19635</v>
      </c>
      <c r="C940" s="88">
        <v>39.892699999999998</v>
      </c>
      <c r="D940" s="88">
        <v>0.29342000000000001</v>
      </c>
      <c r="E940" s="76">
        <v>0</v>
      </c>
      <c r="F940" s="89" cm="1">
        <f t="array" ref="F940">5*LOG10(((c_light/1000/H_0_SAM)*(B940/60)*SUMPRODUCT($J$2:$AD$2,1/SQRT(Omega_m*(1+$J$1:$AD$1*B940)^3+Omega_L)))*(1+B940)*100000)</f>
        <v>39.992917307627216</v>
      </c>
      <c r="G940" s="89">
        <f t="shared" si="14"/>
        <v>0.10021730762721859</v>
      </c>
    </row>
    <row r="941" spans="1:7" x14ac:dyDescent="0.6">
      <c r="A941" s="76">
        <v>13070</v>
      </c>
      <c r="B941" s="87">
        <v>0.19733000000000001</v>
      </c>
      <c r="C941" s="88">
        <v>39.8018</v>
      </c>
      <c r="D941" s="88">
        <v>0.14158000000000001</v>
      </c>
      <c r="E941" s="76">
        <v>0</v>
      </c>
      <c r="F941" s="89" cm="1">
        <f t="array" ref="F941">5*LOG10(((c_light/1000/H_0_SAM)*(B941/60)*SUMPRODUCT($J$2:$AD$2,1/SQRT(Omega_m*(1+$J$1:$AD$1*B941)^3+Omega_L)))*(1+B941)*100000)</f>
        <v>40.00494864669524</v>
      </c>
      <c r="G941" s="89">
        <f t="shared" si="14"/>
        <v>0.20314864669524013</v>
      </c>
    </row>
    <row r="942" spans="1:7" x14ac:dyDescent="0.6">
      <c r="A942" s="76">
        <v>18804</v>
      </c>
      <c r="B942" s="87">
        <v>0.19741</v>
      </c>
      <c r="C942" s="88">
        <v>39.693199999999997</v>
      </c>
      <c r="D942" s="88">
        <v>0.13086999999999999</v>
      </c>
      <c r="E942" s="76">
        <v>0</v>
      </c>
      <c r="F942" s="89" cm="1">
        <f t="array" ref="F942">5*LOG10(((c_light/1000/H_0_SAM)*(B942/60)*SUMPRODUCT($J$2:$AD$2,1/SQRT(Omega_m*(1+$J$1:$AD$1*B942)^3+Omega_L)))*(1+B942)*100000)</f>
        <v>40.005928352562677</v>
      </c>
      <c r="G942" s="89">
        <f t="shared" si="14"/>
        <v>0.31272835256267939</v>
      </c>
    </row>
    <row r="943" spans="1:7" x14ac:dyDescent="0.6">
      <c r="A943" s="76">
        <v>1302058</v>
      </c>
      <c r="B943" s="87">
        <v>0.19782</v>
      </c>
      <c r="C943" s="88">
        <v>39.491999999999997</v>
      </c>
      <c r="D943" s="88">
        <v>0.18917</v>
      </c>
      <c r="E943" s="76">
        <v>0</v>
      </c>
      <c r="F943" s="89" cm="1">
        <f t="array" ref="F943">5*LOG10(((c_light/1000/H_0_SAM)*(B943/60)*SUMPRODUCT($J$2:$AD$2,1/SQRT(Omega_m*(1+$J$1:$AD$1*B943)^3+Omega_L)))*(1+B943)*100000)</f>
        <v>40.010943582444028</v>
      </c>
      <c r="G943" s="89">
        <f t="shared" si="14"/>
        <v>0.51894358244403094</v>
      </c>
    </row>
    <row r="944" spans="1:7" x14ac:dyDescent="0.6">
      <c r="A944" s="76">
        <v>15222</v>
      </c>
      <c r="B944" s="87">
        <v>0.19817000000000001</v>
      </c>
      <c r="C944" s="88">
        <v>39.756100000000004</v>
      </c>
      <c r="D944" s="88">
        <v>0.18254000000000001</v>
      </c>
      <c r="E944" s="76">
        <v>0</v>
      </c>
      <c r="F944" s="89" cm="1">
        <f t="array" ref="F944">5*LOG10(((c_light/1000/H_0_SAM)*(B944/60)*SUMPRODUCT($J$2:$AD$2,1/SQRT(Omega_m*(1+$J$1:$AD$1*B944)^3+Omega_L)))*(1+B944)*100000)</f>
        <v>40.015217267256212</v>
      </c>
      <c r="G944" s="89">
        <f t="shared" si="14"/>
        <v>0.25911726725620809</v>
      </c>
    </row>
    <row r="945" spans="1:7" x14ac:dyDescent="0.6">
      <c r="A945" s="76">
        <v>1316431</v>
      </c>
      <c r="B945" s="87">
        <v>0.19828000000000001</v>
      </c>
      <c r="C945" s="88">
        <v>39.887900000000002</v>
      </c>
      <c r="D945" s="88">
        <v>0.17441000000000001</v>
      </c>
      <c r="E945" s="76">
        <v>0</v>
      </c>
      <c r="F945" s="89" cm="1">
        <f t="array" ref="F945">5*LOG10(((c_light/1000/H_0_SAM)*(B945/60)*SUMPRODUCT($J$2:$AD$2,1/SQRT(Omega_m*(1+$J$1:$AD$1*B945)^3+Omega_L)))*(1+B945)*100000)</f>
        <v>40.016558982048743</v>
      </c>
      <c r="G945" s="89">
        <f t="shared" si="14"/>
        <v>0.12865898204874071</v>
      </c>
    </row>
    <row r="946" spans="1:7" x14ac:dyDescent="0.6">
      <c r="A946" s="76">
        <v>13370</v>
      </c>
      <c r="B946" s="87">
        <v>0.19861000000000001</v>
      </c>
      <c r="C946" s="88">
        <v>40.324599999999997</v>
      </c>
      <c r="D946" s="88">
        <v>0.23860000000000001</v>
      </c>
      <c r="E946" s="76">
        <v>0</v>
      </c>
      <c r="F946" s="89" cm="1">
        <f t="array" ref="F946">5*LOG10(((c_light/1000/H_0_SAM)*(B946/60)*SUMPRODUCT($J$2:$AD$2,1/SQRT(Omega_m*(1+$J$1:$AD$1*B946)^3+Omega_L)))*(1+B946)*100000)</f>
        <v>40.020579995528365</v>
      </c>
      <c r="G946" s="89">
        <f t="shared" si="14"/>
        <v>-0.30402000447163147</v>
      </c>
    </row>
    <row r="947" spans="1:7" x14ac:dyDescent="0.6">
      <c r="A947" s="76">
        <v>360145</v>
      </c>
      <c r="B947" s="87">
        <v>0.19877</v>
      </c>
      <c r="C947" s="88">
        <v>39.888100000000001</v>
      </c>
      <c r="D947" s="88">
        <v>0.21149000000000001</v>
      </c>
      <c r="E947" s="76">
        <v>0</v>
      </c>
      <c r="F947" s="89" cm="1">
        <f t="array" ref="F947">5*LOG10(((c_light/1000/H_0_SAM)*(B947/60)*SUMPRODUCT($J$2:$AD$2,1/SQRT(Omega_m*(1+$J$1:$AD$1*B947)^3+Omega_L)))*(1+B947)*100000)</f>
        <v>40.022527351744856</v>
      </c>
      <c r="G947" s="89">
        <f t="shared" si="14"/>
        <v>0.13442735174485421</v>
      </c>
    </row>
    <row r="948" spans="1:7" x14ac:dyDescent="0.6">
      <c r="A948" s="76">
        <v>19658</v>
      </c>
      <c r="B948" s="87">
        <v>0.19878000000000001</v>
      </c>
      <c r="C948" s="88">
        <v>39.889000000000003</v>
      </c>
      <c r="D948" s="88">
        <v>0.17449999999999999</v>
      </c>
      <c r="E948" s="76">
        <v>0</v>
      </c>
      <c r="F948" s="89" cm="1">
        <f t="array" ref="F948">5*LOG10(((c_light/1000/H_0_SAM)*(B948/60)*SUMPRODUCT($J$2:$AD$2,1/SQRT(Omega_m*(1+$J$1:$AD$1*B948)^3+Omega_L)))*(1+B948)*100000)</f>
        <v>40.022649013317839</v>
      </c>
      <c r="G948" s="89">
        <f t="shared" si="14"/>
        <v>0.13364901331783585</v>
      </c>
    </row>
    <row r="949" spans="1:7" x14ac:dyDescent="0.6">
      <c r="A949" s="76">
        <v>18768</v>
      </c>
      <c r="B949" s="87">
        <v>0.19908000000000001</v>
      </c>
      <c r="C949" s="88">
        <v>40.021599999999999</v>
      </c>
      <c r="D949" s="88">
        <v>0.21764</v>
      </c>
      <c r="E949" s="76">
        <v>0</v>
      </c>
      <c r="F949" s="89" cm="1">
        <f t="array" ref="F949">5*LOG10(((c_light/1000/H_0_SAM)*(B949/60)*SUMPRODUCT($J$2:$AD$2,1/SQRT(Omega_m*(1+$J$1:$AD$1*B949)^3+Omega_L)))*(1+B949)*100000)</f>
        <v>40.026296228250189</v>
      </c>
      <c r="G949" s="89">
        <f t="shared" si="14"/>
        <v>4.6962282501894492E-3</v>
      </c>
    </row>
    <row r="950" spans="1:7" x14ac:dyDescent="0.6">
      <c r="A950" s="76">
        <v>110460</v>
      </c>
      <c r="B950" s="87">
        <v>0.19953000000000001</v>
      </c>
      <c r="C950" s="88">
        <v>39.851100000000002</v>
      </c>
      <c r="D950" s="88">
        <v>0.25423000000000001</v>
      </c>
      <c r="E950" s="76">
        <v>0</v>
      </c>
      <c r="F950" s="89" cm="1">
        <f t="array" ref="F950">5*LOG10(((c_light/1000/H_0_SAM)*(B950/60)*SUMPRODUCT($J$2:$AD$2,1/SQRT(Omega_m*(1+$J$1:$AD$1*B950)^3+Omega_L)))*(1+B950)*100000)</f>
        <v>40.031757521781024</v>
      </c>
      <c r="G950" s="89">
        <f t="shared" si="14"/>
        <v>0.18065752178102201</v>
      </c>
    </row>
    <row r="951" spans="1:7" x14ac:dyDescent="0.6">
      <c r="A951" s="76">
        <v>500504</v>
      </c>
      <c r="B951" s="87">
        <v>0.19961000000000001</v>
      </c>
      <c r="C951" s="88">
        <v>39.676400000000001</v>
      </c>
      <c r="D951" s="88">
        <v>0.24615000000000001</v>
      </c>
      <c r="E951" s="76">
        <v>0</v>
      </c>
      <c r="F951" s="89" cm="1">
        <f t="array" ref="F951">5*LOG10(((c_light/1000/H_0_SAM)*(B951/60)*SUMPRODUCT($J$2:$AD$2,1/SQRT(Omega_m*(1+$J$1:$AD$1*B951)^3+Omega_L)))*(1+B951)*100000)</f>
        <v>40.032727224539137</v>
      </c>
      <c r="G951" s="89">
        <f t="shared" si="14"/>
        <v>0.35632722453913601</v>
      </c>
    </row>
    <row r="952" spans="1:7" x14ac:dyDescent="0.6">
      <c r="A952" s="76">
        <v>560150</v>
      </c>
      <c r="B952" s="87">
        <v>0.19969999999999999</v>
      </c>
      <c r="C952" s="88">
        <v>39.896500000000003</v>
      </c>
      <c r="D952" s="88">
        <v>0.17155000000000001</v>
      </c>
      <c r="E952" s="76">
        <v>0</v>
      </c>
      <c r="F952" s="89" cm="1">
        <f t="array" ref="F952">5*LOG10(((c_light/1000/H_0_SAM)*(B952/60)*SUMPRODUCT($J$2:$AD$2,1/SQRT(Omega_m*(1+$J$1:$AD$1*B952)^3+Omega_L)))*(1+B952)*100000)</f>
        <v>40.033817710205227</v>
      </c>
      <c r="G952" s="89">
        <f t="shared" si="14"/>
        <v>0.13731771020522388</v>
      </c>
    </row>
    <row r="953" spans="1:7" x14ac:dyDescent="0.6">
      <c r="A953" s="76">
        <v>19101</v>
      </c>
      <c r="B953" s="87">
        <v>0.20077</v>
      </c>
      <c r="C953" s="88">
        <v>39.683700000000002</v>
      </c>
      <c r="D953" s="88">
        <v>0.19497999999999999</v>
      </c>
      <c r="E953" s="76">
        <v>0</v>
      </c>
      <c r="F953" s="89" cm="1">
        <f t="array" ref="F953">5*LOG10(((c_light/1000/H_0_SAM)*(B953/60)*SUMPRODUCT($J$2:$AD$2,1/SQRT(Omega_m*(1+$J$1:$AD$1*B953)^3+Omega_L)))*(1+B953)*100000)</f>
        <v>40.046747635113306</v>
      </c>
      <c r="G953" s="89">
        <f t="shared" si="14"/>
        <v>0.36304763511330407</v>
      </c>
    </row>
    <row r="954" spans="1:7" x14ac:dyDescent="0.6">
      <c r="A954" s="76">
        <v>470232</v>
      </c>
      <c r="B954" s="87">
        <v>0.20083000000000001</v>
      </c>
      <c r="C954" s="88">
        <v>39.983800000000002</v>
      </c>
      <c r="D954" s="88">
        <v>0.25296000000000002</v>
      </c>
      <c r="E954" s="76">
        <v>0</v>
      </c>
      <c r="F954" s="89" cm="1">
        <f t="array" ref="F954">5*LOG10(((c_light/1000/H_0_SAM)*(B954/60)*SUMPRODUCT($J$2:$AD$2,1/SQRT(Omega_m*(1+$J$1:$AD$1*B954)^3+Omega_L)))*(1+B954)*100000)</f>
        <v>40.047470787584587</v>
      </c>
      <c r="G954" s="89">
        <f t="shared" si="14"/>
        <v>6.3670787584584332E-2</v>
      </c>
    </row>
    <row r="955" spans="1:7" x14ac:dyDescent="0.6">
      <c r="A955" s="76">
        <v>370308</v>
      </c>
      <c r="B955" s="87">
        <v>0.20086999999999999</v>
      </c>
      <c r="C955" s="88">
        <v>39.767200000000003</v>
      </c>
      <c r="D955" s="88">
        <v>0.31613000000000002</v>
      </c>
      <c r="E955" s="76">
        <v>0</v>
      </c>
      <c r="F955" s="89" cm="1">
        <f t="array" ref="F955">5*LOG10(((c_light/1000/H_0_SAM)*(B955/60)*SUMPRODUCT($J$2:$AD$2,1/SQRT(Omega_m*(1+$J$1:$AD$1*B955)^3+Omega_L)))*(1+B955)*100000)</f>
        <v>40.047952778147355</v>
      </c>
      <c r="G955" s="89">
        <f t="shared" si="14"/>
        <v>0.28075277814735244</v>
      </c>
    </row>
    <row r="956" spans="1:7" x14ac:dyDescent="0.6">
      <c r="A956" s="76">
        <v>590002</v>
      </c>
      <c r="B956" s="87">
        <v>0.20127999999999999</v>
      </c>
      <c r="C956" s="88">
        <v>39.857500000000002</v>
      </c>
      <c r="D956" s="88">
        <v>0.21695</v>
      </c>
      <c r="E956" s="76">
        <v>0</v>
      </c>
      <c r="F956" s="89" cm="1">
        <f t="array" ref="F956">5*LOG10(((c_light/1000/H_0_SAM)*(B956/60)*SUMPRODUCT($J$2:$AD$2,1/SQRT(Omega_m*(1+$J$1:$AD$1*B956)^3+Omega_L)))*(1+B956)*100000)</f>
        <v>40.052888066075376</v>
      </c>
      <c r="G956" s="89">
        <f t="shared" si="14"/>
        <v>0.19538806607537396</v>
      </c>
    </row>
    <row r="957" spans="1:7" x14ac:dyDescent="0.6">
      <c r="A957" s="76">
        <v>13152</v>
      </c>
      <c r="B957" s="87">
        <v>0.20230999999999999</v>
      </c>
      <c r="C957" s="88">
        <v>39.618400000000001</v>
      </c>
      <c r="D957" s="88">
        <v>0.19811999999999999</v>
      </c>
      <c r="E957" s="76">
        <v>0</v>
      </c>
      <c r="F957" s="89" cm="1">
        <f t="array" ref="F957">5*LOG10(((c_light/1000/H_0_SAM)*(B957/60)*SUMPRODUCT($J$2:$AD$2,1/SQRT(Omega_m*(1+$J$1:$AD$1*B957)^3+Omega_L)))*(1+B957)*100000)</f>
        <v>40.065245545850097</v>
      </c>
      <c r="G957" s="89">
        <f t="shared" si="14"/>
        <v>0.4468455458500955</v>
      </c>
    </row>
    <row r="958" spans="1:7" x14ac:dyDescent="0.6">
      <c r="A958" s="76">
        <v>19913</v>
      </c>
      <c r="B958" s="87">
        <v>0.20249</v>
      </c>
      <c r="C958" s="88">
        <v>39.994900000000001</v>
      </c>
      <c r="D958" s="88">
        <v>0.15970000000000001</v>
      </c>
      <c r="E958" s="76">
        <v>0</v>
      </c>
      <c r="F958" s="89" cm="1">
        <f t="array" ref="F958">5*LOG10(((c_light/1000/H_0_SAM)*(B958/60)*SUMPRODUCT($J$2:$AD$2,1/SQRT(Omega_m*(1+$J$1:$AD$1*B958)^3+Omega_L)))*(1+B958)*100000)</f>
        <v>40.067399126876062</v>
      </c>
      <c r="G958" s="89">
        <f t="shared" si="14"/>
        <v>7.2499126876060416E-2</v>
      </c>
    </row>
    <row r="959" spans="1:7" x14ac:dyDescent="0.6">
      <c r="A959" s="76">
        <v>6780</v>
      </c>
      <c r="B959" s="87">
        <v>0.20279</v>
      </c>
      <c r="C959" s="88">
        <v>39.837299999999999</v>
      </c>
      <c r="D959" s="88">
        <v>0.18496000000000001</v>
      </c>
      <c r="E959" s="76">
        <v>0</v>
      </c>
      <c r="F959" s="89" cm="1">
        <f t="array" ref="F959">5*LOG10(((c_light/1000/H_0_SAM)*(B959/60)*SUMPRODUCT($J$2:$AD$2,1/SQRT(Omega_m*(1+$J$1:$AD$1*B959)^3+Omega_L)))*(1+B959)*100000)</f>
        <v>40.070984494974155</v>
      </c>
      <c r="G959" s="89">
        <f t="shared" si="14"/>
        <v>0.23368449497415611</v>
      </c>
    </row>
    <row r="960" spans="1:7" x14ac:dyDescent="0.6">
      <c r="A960" s="76">
        <v>14212</v>
      </c>
      <c r="B960" s="87">
        <v>0.20319999999999999</v>
      </c>
      <c r="C960" s="88">
        <v>39.965800000000002</v>
      </c>
      <c r="D960" s="88">
        <v>0.14663000000000001</v>
      </c>
      <c r="E960" s="76">
        <v>0</v>
      </c>
      <c r="F960" s="89" cm="1">
        <f t="array" ref="F960">5*LOG10(((c_light/1000/H_0_SAM)*(B960/60)*SUMPRODUCT($J$2:$AD$2,1/SQRT(Omega_m*(1+$J$1:$AD$1*B960)^3+Omega_L)))*(1+B960)*100000)</f>
        <v>40.075876568787344</v>
      </c>
      <c r="G960" s="89">
        <f t="shared" si="14"/>
        <v>0.11007656878734196</v>
      </c>
    </row>
    <row r="961" spans="1:7" x14ac:dyDescent="0.6">
      <c r="A961" s="76">
        <v>15203</v>
      </c>
      <c r="B961" s="87">
        <v>0.20329</v>
      </c>
      <c r="C961" s="88">
        <v>39.882199999999997</v>
      </c>
      <c r="D961" s="88">
        <v>0.16683999999999999</v>
      </c>
      <c r="E961" s="76">
        <v>0</v>
      </c>
      <c r="F961" s="89" cm="1">
        <f t="array" ref="F961">5*LOG10(((c_light/1000/H_0_SAM)*(B961/60)*SUMPRODUCT($J$2:$AD$2,1/SQRT(Omega_m*(1+$J$1:$AD$1*B961)^3+Omega_L)))*(1+B961)*100000)</f>
        <v>40.076949216032844</v>
      </c>
      <c r="G961" s="89">
        <f t="shared" si="14"/>
        <v>0.19474921603284656</v>
      </c>
    </row>
    <row r="962" spans="1:7" x14ac:dyDescent="0.6">
      <c r="A962" s="76">
        <v>16032</v>
      </c>
      <c r="B962" s="87">
        <v>0.20330999999999999</v>
      </c>
      <c r="C962" s="88">
        <v>39.927700000000002</v>
      </c>
      <c r="D962" s="88">
        <v>0.17380000000000001</v>
      </c>
      <c r="E962" s="76">
        <v>0</v>
      </c>
      <c r="F962" s="89" cm="1">
        <f t="array" ref="F962">5*LOG10(((c_light/1000/H_0_SAM)*(B962/60)*SUMPRODUCT($J$2:$AD$2,1/SQRT(Omega_m*(1+$J$1:$AD$1*B962)^3+Omega_L)))*(1+B962)*100000)</f>
        <v>40.07718752241442</v>
      </c>
      <c r="G962" s="89">
        <f t="shared" si="14"/>
        <v>0.14948752241441809</v>
      </c>
    </row>
    <row r="963" spans="1:7" x14ac:dyDescent="0.6">
      <c r="A963" s="76">
        <v>7243</v>
      </c>
      <c r="B963" s="87">
        <v>0.20333999999999999</v>
      </c>
      <c r="C963" s="88">
        <v>39.933500000000002</v>
      </c>
      <c r="D963" s="88">
        <v>0.21612999999999999</v>
      </c>
      <c r="E963" s="76">
        <v>0</v>
      </c>
      <c r="F963" s="89" cm="1">
        <f t="array" ref="F963">5*LOG10(((c_light/1000/H_0_SAM)*(B963/60)*SUMPRODUCT($J$2:$AD$2,1/SQRT(Omega_m*(1+$J$1:$AD$1*B963)^3+Omega_L)))*(1+B963)*100000)</f>
        <v>40.077544941318877</v>
      </c>
      <c r="G963" s="89">
        <f t="shared" si="14"/>
        <v>0.14404494131887446</v>
      </c>
    </row>
    <row r="964" spans="1:7" x14ac:dyDescent="0.6">
      <c r="A964" s="76">
        <v>15901</v>
      </c>
      <c r="B964" s="87">
        <v>0.20382</v>
      </c>
      <c r="C964" s="88">
        <v>39.9041</v>
      </c>
      <c r="D964" s="88">
        <v>0.17147999999999999</v>
      </c>
      <c r="E964" s="76">
        <v>0</v>
      </c>
      <c r="F964" s="89" cm="1">
        <f t="array" ref="F964">5*LOG10(((c_light/1000/H_0_SAM)*(B964/60)*SUMPRODUCT($J$2:$AD$2,1/SQRT(Omega_m*(1+$J$1:$AD$1*B964)^3+Omega_L)))*(1+B964)*100000)</f>
        <v>40.083257018006677</v>
      </c>
      <c r="G964" s="89">
        <f t="shared" si="14"/>
        <v>0.17915701800667705</v>
      </c>
    </row>
    <row r="965" spans="1:7" x14ac:dyDescent="0.6">
      <c r="A965" s="76">
        <v>18965</v>
      </c>
      <c r="B965" s="87">
        <v>0.20469000000000001</v>
      </c>
      <c r="C965" s="88">
        <v>39.880899999999997</v>
      </c>
      <c r="D965" s="88">
        <v>0.16001000000000001</v>
      </c>
      <c r="E965" s="76">
        <v>0</v>
      </c>
      <c r="F965" s="89" cm="1">
        <f t="array" ref="F965">5*LOG10(((c_light/1000/H_0_SAM)*(B965/60)*SUMPRODUCT($J$2:$AD$2,1/SQRT(Omega_m*(1+$J$1:$AD$1*B965)^3+Omega_L)))*(1+B965)*100000)</f>
        <v>40.093578507312017</v>
      </c>
      <c r="G965" s="89">
        <f t="shared" si="14"/>
        <v>0.21267850731202032</v>
      </c>
    </row>
    <row r="966" spans="1:7" x14ac:dyDescent="0.6">
      <c r="A966" s="76">
        <v>110033</v>
      </c>
      <c r="B966" s="87">
        <v>0.20483000000000001</v>
      </c>
      <c r="C966" s="88">
        <v>39.842700000000001</v>
      </c>
      <c r="D966" s="88">
        <v>0.20232</v>
      </c>
      <c r="E966" s="76">
        <v>0</v>
      </c>
      <c r="F966" s="89" cm="1">
        <f t="array" ref="F966">5*LOG10(((c_light/1000/H_0_SAM)*(B966/60)*SUMPRODUCT($J$2:$AD$2,1/SQRT(Omega_m*(1+$J$1:$AD$1*B966)^3+Omega_L)))*(1+B966)*100000)</f>
        <v>40.095235644293624</v>
      </c>
      <c r="G966" s="89">
        <f t="shared" ref="G966:G1029" si="15">F966-C966</f>
        <v>0.25253564429362285</v>
      </c>
    </row>
    <row r="967" spans="1:7" x14ac:dyDescent="0.6">
      <c r="A967" s="76">
        <v>17801</v>
      </c>
      <c r="B967" s="87">
        <v>0.20523</v>
      </c>
      <c r="C967" s="88">
        <v>40.1661</v>
      </c>
      <c r="D967" s="88">
        <v>0.22771</v>
      </c>
      <c r="E967" s="76">
        <v>0</v>
      </c>
      <c r="F967" s="89" cm="1">
        <f t="array" ref="F967">5*LOG10(((c_light/1000/H_0_SAM)*(B967/60)*SUMPRODUCT($J$2:$AD$2,1/SQRT(Omega_m*(1+$J$1:$AD$1*B967)^3+Omega_L)))*(1+B967)*100000)</f>
        <v>40.099964554168245</v>
      </c>
      <c r="G967" s="89">
        <f t="shared" si="15"/>
        <v>-6.613544583175468E-2</v>
      </c>
    </row>
    <row r="968" spans="1:7" x14ac:dyDescent="0.6">
      <c r="A968" s="76">
        <v>15872</v>
      </c>
      <c r="B968" s="87">
        <v>0.20562</v>
      </c>
      <c r="C968" s="88">
        <v>39.812600000000003</v>
      </c>
      <c r="D968" s="88">
        <v>0.17494000000000001</v>
      </c>
      <c r="E968" s="76">
        <v>0</v>
      </c>
      <c r="F968" s="89" cm="1">
        <f t="array" ref="F968">5*LOG10(((c_light/1000/H_0_SAM)*(B968/60)*SUMPRODUCT($J$2:$AD$2,1/SQRT(Omega_m*(1+$J$1:$AD$1*B968)^3+Omega_L)))*(1+B968)*100000)</f>
        <v>40.104567039192311</v>
      </c>
      <c r="G968" s="89">
        <f t="shared" si="15"/>
        <v>0.29196703919230771</v>
      </c>
    </row>
    <row r="969" spans="1:7" x14ac:dyDescent="0.6">
      <c r="A969" s="76">
        <v>1327978</v>
      </c>
      <c r="B969" s="87">
        <v>0.20691000000000001</v>
      </c>
      <c r="C969" s="88">
        <v>39.922499999999999</v>
      </c>
      <c r="D969" s="88">
        <v>0.27983000000000002</v>
      </c>
      <c r="E969" s="76">
        <v>0</v>
      </c>
      <c r="F969" s="89" cm="1">
        <f t="array" ref="F969">5*LOG10(((c_light/1000/H_0_SAM)*(B969/60)*SUMPRODUCT($J$2:$AD$2,1/SQRT(Omega_m*(1+$J$1:$AD$1*B969)^3+Omega_L)))*(1+B969)*100000)</f>
        <v>40.119733326738711</v>
      </c>
      <c r="G969" s="89">
        <f t="shared" si="15"/>
        <v>0.19723332673871141</v>
      </c>
    </row>
    <row r="970" spans="1:7" x14ac:dyDescent="0.6">
      <c r="A970" s="76">
        <v>15201</v>
      </c>
      <c r="B970" s="87">
        <v>0.20748</v>
      </c>
      <c r="C970" s="88">
        <v>40.316000000000003</v>
      </c>
      <c r="D970" s="88">
        <v>0.33367000000000002</v>
      </c>
      <c r="E970" s="76">
        <v>0</v>
      </c>
      <c r="F970" s="89" cm="1">
        <f t="array" ref="F970">5*LOG10(((c_light/1000/H_0_SAM)*(B970/60)*SUMPRODUCT($J$2:$AD$2,1/SQRT(Omega_m*(1+$J$1:$AD$1*B970)^3+Omega_L)))*(1+B970)*100000)</f>
        <v>40.126406867949136</v>
      </c>
      <c r="G970" s="89">
        <f t="shared" si="15"/>
        <v>-0.18959313205086659</v>
      </c>
    </row>
    <row r="971" spans="1:7" x14ac:dyDescent="0.6">
      <c r="A971" s="76">
        <v>1283373</v>
      </c>
      <c r="B971" s="87">
        <v>0.20751</v>
      </c>
      <c r="C971" s="88">
        <v>40.072499999999998</v>
      </c>
      <c r="D971" s="88">
        <v>0.14896999999999999</v>
      </c>
      <c r="E971" s="76">
        <v>0</v>
      </c>
      <c r="F971" s="89" cm="1">
        <f t="array" ref="F971">5*LOG10(((c_light/1000/H_0_SAM)*(B971/60)*SUMPRODUCT($J$2:$AD$2,1/SQRT(Omega_m*(1+$J$1:$AD$1*B971)^3+Omega_L)))*(1+B971)*100000)</f>
        <v>40.126757637065047</v>
      </c>
      <c r="G971" s="89">
        <f t="shared" si="15"/>
        <v>5.425763706504938E-2</v>
      </c>
    </row>
    <row r="972" spans="1:7" x14ac:dyDescent="0.6">
      <c r="A972" s="76">
        <v>20376</v>
      </c>
      <c r="B972" s="87">
        <v>0.2084</v>
      </c>
      <c r="C972" s="88">
        <v>39.729900000000001</v>
      </c>
      <c r="D972" s="88">
        <v>0.27217999999999998</v>
      </c>
      <c r="E972" s="76">
        <v>0</v>
      </c>
      <c r="F972" s="89" cm="1">
        <f t="array" ref="F972">5*LOG10(((c_light/1000/H_0_SAM)*(B972/60)*SUMPRODUCT($J$2:$AD$2,1/SQRT(Omega_m*(1+$J$1:$AD$1*B972)^3+Omega_L)))*(1+B972)*100000)</f>
        <v>40.137142511854549</v>
      </c>
      <c r="G972" s="89">
        <f t="shared" si="15"/>
        <v>0.40724251185454818</v>
      </c>
    </row>
    <row r="973" spans="1:7" x14ac:dyDescent="0.6">
      <c r="A973" s="76">
        <v>15467</v>
      </c>
      <c r="B973" s="87">
        <v>0.20856</v>
      </c>
      <c r="C973" s="88">
        <v>39.875799999999998</v>
      </c>
      <c r="D973" s="88">
        <v>0.14677999999999999</v>
      </c>
      <c r="E973" s="76">
        <v>0</v>
      </c>
      <c r="F973" s="89" cm="1">
        <f t="array" ref="F973">5*LOG10(((c_light/1000/H_0_SAM)*(B973/60)*SUMPRODUCT($J$2:$AD$2,1/SQRT(Omega_m*(1+$J$1:$AD$1*B973)^3+Omega_L)))*(1+B973)*100000)</f>
        <v>40.139005105024665</v>
      </c>
      <c r="G973" s="89">
        <f t="shared" si="15"/>
        <v>0.26320510502466732</v>
      </c>
    </row>
    <row r="974" spans="1:7" x14ac:dyDescent="0.6">
      <c r="A974" s="76">
        <v>200132</v>
      </c>
      <c r="B974" s="87">
        <v>0.20868</v>
      </c>
      <c r="C974" s="88">
        <v>40.103400000000001</v>
      </c>
      <c r="D974" s="88">
        <v>0.23951</v>
      </c>
      <c r="E974" s="76">
        <v>0</v>
      </c>
      <c r="F974" s="89" cm="1">
        <f t="array" ref="F974">5*LOG10(((c_light/1000/H_0_SAM)*(B974/60)*SUMPRODUCT($J$2:$AD$2,1/SQRT(Omega_m*(1+$J$1:$AD$1*B974)^3+Omega_L)))*(1+B974)*100000)</f>
        <v>40.140401182948864</v>
      </c>
      <c r="G974" s="89">
        <f t="shared" si="15"/>
        <v>3.7001182948863232E-2</v>
      </c>
    </row>
    <row r="975" spans="1:7" x14ac:dyDescent="0.6">
      <c r="A975" s="76">
        <v>15259</v>
      </c>
      <c r="B975" s="87">
        <v>0.2087</v>
      </c>
      <c r="C975" s="88">
        <v>39.863900000000001</v>
      </c>
      <c r="D975" s="88">
        <v>0.19769999999999999</v>
      </c>
      <c r="E975" s="76">
        <v>0</v>
      </c>
      <c r="F975" s="89" cm="1">
        <f t="array" ref="F975">5*LOG10(((c_light/1000/H_0_SAM)*(B975/60)*SUMPRODUCT($J$2:$AD$2,1/SQRT(Omega_m*(1+$J$1:$AD$1*B975)^3+Omega_L)))*(1+B975)*100000)</f>
        <v>40.140633790424204</v>
      </c>
      <c r="G975" s="89">
        <f t="shared" si="15"/>
        <v>0.27673379042420265</v>
      </c>
    </row>
    <row r="976" spans="1:7" x14ac:dyDescent="0.6">
      <c r="A976" s="76">
        <v>140152</v>
      </c>
      <c r="B976" s="87">
        <v>0.20879</v>
      </c>
      <c r="C976" s="88">
        <v>39.879800000000003</v>
      </c>
      <c r="D976" s="88">
        <v>0.15964999999999999</v>
      </c>
      <c r="E976" s="76">
        <v>0</v>
      </c>
      <c r="F976" s="89" cm="1">
        <f t="array" ref="F976">5*LOG10(((c_light/1000/H_0_SAM)*(B976/60)*SUMPRODUCT($J$2:$AD$2,1/SQRT(Omega_m*(1+$J$1:$AD$1*B976)^3+Omega_L)))*(1+B976)*100000)</f>
        <v>40.141680269042553</v>
      </c>
      <c r="G976" s="89">
        <f t="shared" si="15"/>
        <v>0.26188026904254968</v>
      </c>
    </row>
    <row r="977" spans="1:7" x14ac:dyDescent="0.6">
      <c r="A977" s="76">
        <v>16482</v>
      </c>
      <c r="B977" s="87">
        <v>0.20948</v>
      </c>
      <c r="C977" s="88">
        <v>39.841299999999997</v>
      </c>
      <c r="D977" s="88">
        <v>0.26213999999999998</v>
      </c>
      <c r="E977" s="76">
        <v>0</v>
      </c>
      <c r="F977" s="89" cm="1">
        <f t="array" ref="F977">5*LOG10(((c_light/1000/H_0_SAM)*(B977/60)*SUMPRODUCT($J$2:$AD$2,1/SQRT(Omega_m*(1+$J$1:$AD$1*B977)^3+Omega_L)))*(1+B977)*100000)</f>
        <v>40.149689442330107</v>
      </c>
      <c r="G977" s="89">
        <f t="shared" si="15"/>
        <v>0.30838944233011034</v>
      </c>
    </row>
    <row r="978" spans="1:7" x14ac:dyDescent="0.6">
      <c r="A978" s="76">
        <v>550154</v>
      </c>
      <c r="B978" s="87">
        <v>0.21015</v>
      </c>
      <c r="C978" s="88">
        <v>40.1479</v>
      </c>
      <c r="D978" s="88">
        <v>0.14888000000000001</v>
      </c>
      <c r="E978" s="76">
        <v>0</v>
      </c>
      <c r="F978" s="89" cm="1">
        <f t="array" ref="F978">5*LOG10(((c_light/1000/H_0_SAM)*(B978/60)*SUMPRODUCT($J$2:$AD$2,1/SQRT(Omega_m*(1+$J$1:$AD$1*B978)^3+Omega_L)))*(1+B978)*100000)</f>
        <v>40.157443156708609</v>
      </c>
      <c r="G978" s="89">
        <f t="shared" si="15"/>
        <v>9.5431567086095015E-3</v>
      </c>
    </row>
    <row r="979" spans="1:7" x14ac:dyDescent="0.6">
      <c r="A979" s="76">
        <v>19149</v>
      </c>
      <c r="B979" s="87">
        <v>0.21037</v>
      </c>
      <c r="C979" s="88">
        <v>39.454300000000003</v>
      </c>
      <c r="D979" s="88">
        <v>0.18603</v>
      </c>
      <c r="E979" s="76">
        <v>0</v>
      </c>
      <c r="F979" s="89" cm="1">
        <f t="array" ref="F979">5*LOG10(((c_light/1000/H_0_SAM)*(B979/60)*SUMPRODUCT($J$2:$AD$2,1/SQRT(Omega_m*(1+$J$1:$AD$1*B979)^3+Omega_L)))*(1+B979)*100000)</f>
        <v>40.159984168253125</v>
      </c>
      <c r="G979" s="89">
        <f t="shared" si="15"/>
        <v>0.70568416825312141</v>
      </c>
    </row>
    <row r="980" spans="1:7" x14ac:dyDescent="0.6">
      <c r="A980" s="76">
        <v>460105</v>
      </c>
      <c r="B980" s="87">
        <v>0.21084</v>
      </c>
      <c r="C980" s="88">
        <v>39.963200000000001</v>
      </c>
      <c r="D980" s="88">
        <v>0.22302</v>
      </c>
      <c r="E980" s="76">
        <v>0</v>
      </c>
      <c r="F980" s="89" cm="1">
        <f t="array" ref="F980">5*LOG10(((c_light/1000/H_0_SAM)*(B980/60)*SUMPRODUCT($J$2:$AD$2,1/SQRT(Omega_m*(1+$J$1:$AD$1*B980)^3+Omega_L)))*(1+B980)*100000)</f>
        <v>40.16540447223317</v>
      </c>
      <c r="G980" s="89">
        <f t="shared" si="15"/>
        <v>0.20220447223316995</v>
      </c>
    </row>
    <row r="981" spans="1:7" x14ac:dyDescent="0.6">
      <c r="A981" s="76">
        <v>14157</v>
      </c>
      <c r="B981" s="87">
        <v>0.21095</v>
      </c>
      <c r="C981" s="88">
        <v>39.805999999999997</v>
      </c>
      <c r="D981" s="88">
        <v>0.15572</v>
      </c>
      <c r="E981" s="76">
        <v>0</v>
      </c>
      <c r="F981" s="89" cm="1">
        <f t="array" ref="F981">5*LOG10(((c_light/1000/H_0_SAM)*(B981/60)*SUMPRODUCT($J$2:$AD$2,1/SQRT(Omega_m*(1+$J$1:$AD$1*B981)^3+Omega_L)))*(1+B981)*100000)</f>
        <v>40.166671440731449</v>
      </c>
      <c r="G981" s="89">
        <f t="shared" si="15"/>
        <v>0.3606714407314513</v>
      </c>
    </row>
    <row r="982" spans="1:7" x14ac:dyDescent="0.6">
      <c r="A982" s="76">
        <v>18940</v>
      </c>
      <c r="B982" s="87">
        <v>0.21113999999999999</v>
      </c>
      <c r="C982" s="88">
        <v>39.955199999999998</v>
      </c>
      <c r="D982" s="88">
        <v>0.16325999999999999</v>
      </c>
      <c r="E982" s="76">
        <v>0</v>
      </c>
      <c r="F982" s="89" cm="1">
        <f t="array" ref="F982">5*LOG10(((c_light/1000/H_0_SAM)*(B982/60)*SUMPRODUCT($J$2:$AD$2,1/SQRT(Omega_m*(1+$J$1:$AD$1*B982)^3+Omega_L)))*(1+B982)*100000)</f>
        <v>40.168858402941872</v>
      </c>
      <c r="G982" s="89">
        <f t="shared" si="15"/>
        <v>0.21365840294187421</v>
      </c>
    </row>
    <row r="983" spans="1:7" x14ac:dyDescent="0.6">
      <c r="A983" s="76">
        <v>1257366</v>
      </c>
      <c r="B983" s="87">
        <v>0.21134</v>
      </c>
      <c r="C983" s="88">
        <v>40.141500000000001</v>
      </c>
      <c r="D983" s="88">
        <v>0.26612000000000002</v>
      </c>
      <c r="E983" s="76">
        <v>0</v>
      </c>
      <c r="F983" s="89" cm="1">
        <f t="array" ref="F983">5*LOG10(((c_light/1000/H_0_SAM)*(B983/60)*SUMPRODUCT($J$2:$AD$2,1/SQRT(Omega_m*(1+$J$1:$AD$1*B983)^3+Omega_L)))*(1+B983)*100000)</f>
        <v>40.171158503764453</v>
      </c>
      <c r="G983" s="89">
        <f t="shared" si="15"/>
        <v>2.9658503764451893E-2</v>
      </c>
    </row>
    <row r="984" spans="1:7" x14ac:dyDescent="0.6">
      <c r="A984" s="76">
        <v>7847</v>
      </c>
      <c r="B984" s="87">
        <v>0.21174000000000001</v>
      </c>
      <c r="C984" s="88">
        <v>39.967599999999997</v>
      </c>
      <c r="D984" s="88">
        <v>0.23050000000000001</v>
      </c>
      <c r="E984" s="76">
        <v>0</v>
      </c>
      <c r="F984" s="89" cm="1">
        <f t="array" ref="F984">5*LOG10(((c_light/1000/H_0_SAM)*(B984/60)*SUMPRODUCT($J$2:$AD$2,1/SQRT(Omega_m*(1+$J$1:$AD$1*B984)^3+Omega_L)))*(1+B984)*100000)</f>
        <v>40.175752674940242</v>
      </c>
      <c r="G984" s="89">
        <f t="shared" si="15"/>
        <v>0.20815267494024425</v>
      </c>
    </row>
    <row r="985" spans="1:7" x14ac:dyDescent="0.6">
      <c r="A985" s="76">
        <v>17811</v>
      </c>
      <c r="B985" s="87">
        <v>0.21199999999999999</v>
      </c>
      <c r="C985" s="88">
        <v>39.913600000000002</v>
      </c>
      <c r="D985" s="88">
        <v>0.19450000000000001</v>
      </c>
      <c r="E985" s="76">
        <v>0</v>
      </c>
      <c r="F985" s="89" cm="1">
        <f t="array" ref="F985">5*LOG10(((c_light/1000/H_0_SAM)*(B985/60)*SUMPRODUCT($J$2:$AD$2,1/SQRT(Omega_m*(1+$J$1:$AD$1*B985)^3+Omega_L)))*(1+B985)*100000)</f>
        <v>40.178734585775551</v>
      </c>
      <c r="G985" s="89">
        <f t="shared" si="15"/>
        <v>0.26513458577554871</v>
      </c>
    </row>
    <row r="986" spans="1:7" x14ac:dyDescent="0.6">
      <c r="A986" s="76">
        <v>18927</v>
      </c>
      <c r="B986" s="87">
        <v>0.21224999999999999</v>
      </c>
      <c r="C986" s="88">
        <v>39.937399999999997</v>
      </c>
      <c r="D986" s="88">
        <v>0.24373</v>
      </c>
      <c r="E986" s="76">
        <v>0</v>
      </c>
      <c r="F986" s="89" cm="1">
        <f t="array" ref="F986">5*LOG10(((c_light/1000/H_0_SAM)*(B986/60)*SUMPRODUCT($J$2:$AD$2,1/SQRT(Omega_m*(1+$J$1:$AD$1*B986)^3+Omega_L)))*(1+B986)*100000)</f>
        <v>40.181598621377631</v>
      </c>
      <c r="G986" s="89">
        <f t="shared" si="15"/>
        <v>0.24419862137763459</v>
      </c>
    </row>
    <row r="987" spans="1:7" x14ac:dyDescent="0.6">
      <c r="A987" s="76">
        <v>13305</v>
      </c>
      <c r="B987" s="87">
        <v>0.2135</v>
      </c>
      <c r="C987" s="88">
        <v>40.021799999999999</v>
      </c>
      <c r="D987" s="88">
        <v>0.16528000000000001</v>
      </c>
      <c r="E987" s="76">
        <v>0</v>
      </c>
      <c r="F987" s="89" cm="1">
        <f t="array" ref="F987">5*LOG10(((c_light/1000/H_0_SAM)*(B987/60)*SUMPRODUCT($J$2:$AD$2,1/SQRT(Omega_m*(1+$J$1:$AD$1*B987)^3+Omega_L)))*(1+B987)*100000)</f>
        <v>40.195872192274265</v>
      </c>
      <c r="G987" s="89">
        <f t="shared" si="15"/>
        <v>0.17407219227426651</v>
      </c>
    </row>
    <row r="988" spans="1:7" x14ac:dyDescent="0.6">
      <c r="A988" s="76">
        <v>8495</v>
      </c>
      <c r="B988" s="87">
        <v>0.21365000000000001</v>
      </c>
      <c r="C988" s="88">
        <v>40.008400000000002</v>
      </c>
      <c r="D988" s="88">
        <v>0.19033</v>
      </c>
      <c r="E988" s="76">
        <v>0</v>
      </c>
      <c r="F988" s="89" cm="1">
        <f t="array" ref="F988">5*LOG10(((c_light/1000/H_0_SAM)*(B988/60)*SUMPRODUCT($J$2:$AD$2,1/SQRT(Omega_m*(1+$J$1:$AD$1*B988)^3+Omega_L)))*(1+B988)*100000)</f>
        <v>40.197579826969168</v>
      </c>
      <c r="G988" s="89">
        <f t="shared" si="15"/>
        <v>0.18917982696916624</v>
      </c>
    </row>
    <row r="989" spans="1:7" x14ac:dyDescent="0.6">
      <c r="A989" s="76">
        <v>6933</v>
      </c>
      <c r="B989" s="87">
        <v>0.21398</v>
      </c>
      <c r="C989" s="88">
        <v>39.8874</v>
      </c>
      <c r="D989" s="88">
        <v>0.19749</v>
      </c>
      <c r="E989" s="76">
        <v>0</v>
      </c>
      <c r="F989" s="89" cm="1">
        <f t="array" ref="F989">5*LOG10(((c_light/1000/H_0_SAM)*(B989/60)*SUMPRODUCT($J$2:$AD$2,1/SQRT(Omega_m*(1+$J$1:$AD$1*B989)^3+Omega_L)))*(1+B989)*100000)</f>
        <v>40.201332726243997</v>
      </c>
      <c r="G989" s="89">
        <f t="shared" si="15"/>
        <v>0.31393272624399771</v>
      </c>
    </row>
    <row r="990" spans="1:7" x14ac:dyDescent="0.6">
      <c r="A990" s="76">
        <v>110567</v>
      </c>
      <c r="B990" s="87">
        <v>0.21440000000000001</v>
      </c>
      <c r="C990" s="88">
        <v>40.017899999999997</v>
      </c>
      <c r="D990" s="88">
        <v>0.2989</v>
      </c>
      <c r="E990" s="76">
        <v>0</v>
      </c>
      <c r="F990" s="89" cm="1">
        <f t="array" ref="F990">5*LOG10(((c_light/1000/H_0_SAM)*(B990/60)*SUMPRODUCT($J$2:$AD$2,1/SQRT(Omega_m*(1+$J$1:$AD$1*B990)^3+Omega_L)))*(1+B990)*100000)</f>
        <v>40.206101414795754</v>
      </c>
      <c r="G990" s="89">
        <f t="shared" si="15"/>
        <v>0.18820141479575625</v>
      </c>
    </row>
    <row r="991" spans="1:7" x14ac:dyDescent="0.6">
      <c r="A991" s="76">
        <v>1249851</v>
      </c>
      <c r="B991" s="87">
        <v>0.21507000000000001</v>
      </c>
      <c r="C991" s="88">
        <v>39.8825</v>
      </c>
      <c r="D991" s="88">
        <v>0.47788999999999998</v>
      </c>
      <c r="E991" s="76">
        <v>0</v>
      </c>
      <c r="F991" s="89" cm="1">
        <f t="array" ref="F991">5*LOG10(((c_light/1000/H_0_SAM)*(B991/60)*SUMPRODUCT($J$2:$AD$2,1/SQRT(Omega_m*(1+$J$1:$AD$1*B991)^3+Omega_L)))*(1+B991)*100000)</f>
        <v>40.213690766925424</v>
      </c>
      <c r="G991" s="89">
        <f t="shared" si="15"/>
        <v>0.33119076692542393</v>
      </c>
    </row>
    <row r="992" spans="1:7" x14ac:dyDescent="0.6">
      <c r="A992" s="76">
        <v>14019</v>
      </c>
      <c r="B992" s="87">
        <v>0.21521000000000001</v>
      </c>
      <c r="C992" s="88">
        <v>40.464100000000002</v>
      </c>
      <c r="D992" s="88">
        <v>0.22943</v>
      </c>
      <c r="E992" s="76">
        <v>0</v>
      </c>
      <c r="F992" s="89" cm="1">
        <f t="array" ref="F992">5*LOG10(((c_light/1000/H_0_SAM)*(B992/60)*SUMPRODUCT($J$2:$AD$2,1/SQRT(Omega_m*(1+$J$1:$AD$1*B992)^3+Omega_L)))*(1+B992)*100000)</f>
        <v>40.215273841569363</v>
      </c>
      <c r="G992" s="89">
        <f t="shared" si="15"/>
        <v>-0.2488261584306386</v>
      </c>
    </row>
    <row r="993" spans="1:7" x14ac:dyDescent="0.6">
      <c r="A993" s="76">
        <v>1316</v>
      </c>
      <c r="B993" s="87">
        <v>0.21578</v>
      </c>
      <c r="C993" s="88">
        <v>40.225299999999997</v>
      </c>
      <c r="D993" s="88">
        <v>0.25872000000000001</v>
      </c>
      <c r="E993" s="76">
        <v>0</v>
      </c>
      <c r="F993" s="89" cm="1">
        <f t="array" ref="F993">5*LOG10(((c_light/1000/H_0_SAM)*(B993/60)*SUMPRODUCT($J$2:$AD$2,1/SQRT(Omega_m*(1+$J$1:$AD$1*B993)^3+Omega_L)))*(1+B993)*100000)</f>
        <v>40.221709407493485</v>
      </c>
      <c r="G993" s="89">
        <f t="shared" si="15"/>
        <v>-3.5905925065122801E-3</v>
      </c>
    </row>
    <row r="994" spans="1:7" x14ac:dyDescent="0.6">
      <c r="A994" s="76">
        <v>100206</v>
      </c>
      <c r="B994" s="87">
        <v>0.2165</v>
      </c>
      <c r="C994" s="88">
        <v>39.825299999999999</v>
      </c>
      <c r="D994" s="88">
        <v>0.14152999999999999</v>
      </c>
      <c r="E994" s="76">
        <v>0</v>
      </c>
      <c r="F994" s="89" cm="1">
        <f t="array" ref="F994">5*LOG10(((c_light/1000/H_0_SAM)*(B994/60)*SUMPRODUCT($J$2:$AD$2,1/SQRT(Omega_m*(1+$J$1:$AD$1*B994)^3+Omega_L)))*(1+B994)*100000)</f>
        <v>40.229816127012832</v>
      </c>
      <c r="G994" s="89">
        <f t="shared" si="15"/>
        <v>0.40451612701283324</v>
      </c>
    </row>
    <row r="995" spans="1:7" x14ac:dyDescent="0.6">
      <c r="A995" s="76">
        <v>17435</v>
      </c>
      <c r="B995" s="87">
        <v>0.21689</v>
      </c>
      <c r="C995" s="88">
        <v>40.0672</v>
      </c>
      <c r="D995" s="88">
        <v>0.19037999999999999</v>
      </c>
      <c r="E995" s="76">
        <v>0</v>
      </c>
      <c r="F995" s="89" cm="1">
        <f t="array" ref="F995">5*LOG10(((c_light/1000/H_0_SAM)*(B995/60)*SUMPRODUCT($J$2:$AD$2,1/SQRT(Omega_m*(1+$J$1:$AD$1*B995)^3+Omega_L)))*(1+B995)*100000)</f>
        <v>40.234196871338327</v>
      </c>
      <c r="G995" s="89">
        <f t="shared" si="15"/>
        <v>0.16699687133832697</v>
      </c>
    </row>
    <row r="996" spans="1:7" x14ac:dyDescent="0.6">
      <c r="A996" s="76">
        <v>7473</v>
      </c>
      <c r="B996" s="87">
        <v>0.21692</v>
      </c>
      <c r="C996" s="88">
        <v>40.093200000000003</v>
      </c>
      <c r="D996" s="88">
        <v>0.18529999999999999</v>
      </c>
      <c r="E996" s="76">
        <v>0</v>
      </c>
      <c r="F996" s="89" cm="1">
        <f t="array" ref="F996">5*LOG10(((c_light/1000/H_0_SAM)*(B996/60)*SUMPRODUCT($J$2:$AD$2,1/SQRT(Omega_m*(1+$J$1:$AD$1*B996)^3+Omega_L)))*(1+B996)*100000)</f>
        <v>40.234533550133278</v>
      </c>
      <c r="G996" s="89">
        <f t="shared" si="15"/>
        <v>0.14133355013327531</v>
      </c>
    </row>
    <row r="997" spans="1:7" x14ac:dyDescent="0.6">
      <c r="A997" s="76">
        <v>20364</v>
      </c>
      <c r="B997" s="87">
        <v>0.21742</v>
      </c>
      <c r="C997" s="88">
        <v>40.139499999999998</v>
      </c>
      <c r="D997" s="88">
        <v>0.26961000000000002</v>
      </c>
      <c r="E997" s="76">
        <v>0</v>
      </c>
      <c r="F997" s="89" cm="1">
        <f t="array" ref="F997">5*LOG10(((c_light/1000/H_0_SAM)*(B997/60)*SUMPRODUCT($J$2:$AD$2,1/SQRT(Omega_m*(1+$J$1:$AD$1*B997)^3+Omega_L)))*(1+B997)*100000)</f>
        <v>40.240138538924512</v>
      </c>
      <c r="G997" s="89">
        <f t="shared" si="15"/>
        <v>0.10063853892451391</v>
      </c>
    </row>
    <row r="998" spans="1:7" x14ac:dyDescent="0.6">
      <c r="A998" s="76">
        <v>13641</v>
      </c>
      <c r="B998" s="87">
        <v>0.21793999999999999</v>
      </c>
      <c r="C998" s="88">
        <v>39.994199999999999</v>
      </c>
      <c r="D998" s="88">
        <v>0.17484</v>
      </c>
      <c r="E998" s="76">
        <v>0</v>
      </c>
      <c r="F998" s="89" cm="1">
        <f t="array" ref="F998">5*LOG10(((c_light/1000/H_0_SAM)*(B998/60)*SUMPRODUCT($J$2:$AD$2,1/SQRT(Omega_m*(1+$J$1:$AD$1*B998)^3+Omega_L)))*(1+B998)*100000)</f>
        <v>40.245955108375149</v>
      </c>
      <c r="G998" s="89">
        <f t="shared" si="15"/>
        <v>0.25175510837514992</v>
      </c>
    </row>
    <row r="999" spans="1:7" x14ac:dyDescent="0.6">
      <c r="A999" s="76">
        <v>1290816</v>
      </c>
      <c r="B999" s="87">
        <v>0.21845000000000001</v>
      </c>
      <c r="C999" s="88">
        <v>40.221600000000002</v>
      </c>
      <c r="D999" s="88">
        <v>0.20441999999999999</v>
      </c>
      <c r="E999" s="76">
        <v>0</v>
      </c>
      <c r="F999" s="89" cm="1">
        <f t="array" ref="F999">5*LOG10(((c_light/1000/H_0_SAM)*(B999/60)*SUMPRODUCT($J$2:$AD$2,1/SQRT(Omega_m*(1+$J$1:$AD$1*B999)^3+Omega_L)))*(1+B999)*100000)</f>
        <v>40.251647379964488</v>
      </c>
      <c r="G999" s="89">
        <f t="shared" si="15"/>
        <v>3.0047379964486254E-2</v>
      </c>
    </row>
    <row r="1000" spans="1:7" x14ac:dyDescent="0.6">
      <c r="A1000" s="76">
        <v>1304678</v>
      </c>
      <c r="B1000" s="87">
        <v>0.21881</v>
      </c>
      <c r="C1000" s="88">
        <v>40.141599999999997</v>
      </c>
      <c r="D1000" s="88">
        <v>0.24759999999999999</v>
      </c>
      <c r="E1000" s="76">
        <v>0</v>
      </c>
      <c r="F1000" s="89" cm="1">
        <f t="array" ref="F1000">5*LOG10(((c_light/1000/H_0_SAM)*(B1000/60)*SUMPRODUCT($J$2:$AD$2,1/SQRT(Omega_m*(1+$J$1:$AD$1*B1000)^3+Omega_L)))*(1+B1000)*100000)</f>
        <v>40.255658067035185</v>
      </c>
      <c r="G1000" s="89">
        <f t="shared" si="15"/>
        <v>0.11405806703518806</v>
      </c>
    </row>
    <row r="1001" spans="1:7" x14ac:dyDescent="0.6">
      <c r="A1001" s="76">
        <v>9467</v>
      </c>
      <c r="B1001" s="87">
        <v>0.21897</v>
      </c>
      <c r="C1001" s="88">
        <v>40.192500000000003</v>
      </c>
      <c r="D1001" s="88">
        <v>0.24073</v>
      </c>
      <c r="E1001" s="76">
        <v>0</v>
      </c>
      <c r="F1001" s="89" cm="1">
        <f t="array" ref="F1001">5*LOG10(((c_light/1000/H_0_SAM)*(B1001/60)*SUMPRODUCT($J$2:$AD$2,1/SQRT(Omega_m*(1+$J$1:$AD$1*B1001)^3+Omega_L)))*(1+B1001)*100000)</f>
        <v>40.257438638290438</v>
      </c>
      <c r="G1001" s="89">
        <f t="shared" si="15"/>
        <v>6.4938638290435335E-2</v>
      </c>
    </row>
    <row r="1002" spans="1:7" x14ac:dyDescent="0.6">
      <c r="A1002" s="76">
        <v>5533</v>
      </c>
      <c r="B1002" s="87">
        <v>0.21898000000000001</v>
      </c>
      <c r="C1002" s="88">
        <v>40.129199999999997</v>
      </c>
      <c r="D1002" s="88">
        <v>0.21881999999999999</v>
      </c>
      <c r="E1002" s="76">
        <v>0</v>
      </c>
      <c r="F1002" s="89" cm="1">
        <f t="array" ref="F1002">5*LOG10(((c_light/1000/H_0_SAM)*(B1002/60)*SUMPRODUCT($J$2:$AD$2,1/SQRT(Omega_m*(1+$J$1:$AD$1*B1002)^3+Omega_L)))*(1+B1002)*100000)</f>
        <v>40.257549884083481</v>
      </c>
      <c r="G1002" s="89">
        <f t="shared" si="15"/>
        <v>0.1283498840834838</v>
      </c>
    </row>
    <row r="1003" spans="1:7" x14ac:dyDescent="0.6">
      <c r="A1003" s="76">
        <v>1342255</v>
      </c>
      <c r="B1003" s="87">
        <v>0.21898999999999999</v>
      </c>
      <c r="C1003" s="88">
        <v>40.029600000000002</v>
      </c>
      <c r="D1003" s="88">
        <v>0.13081000000000001</v>
      </c>
      <c r="E1003" s="76">
        <v>0</v>
      </c>
      <c r="F1003" s="89" cm="1">
        <f t="array" ref="F1003">5*LOG10(((c_light/1000/H_0_SAM)*(B1003/60)*SUMPRODUCT($J$2:$AD$2,1/SQRT(Omega_m*(1+$J$1:$AD$1*B1003)^3+Omega_L)))*(1+B1003)*100000)</f>
        <v>40.257661125183681</v>
      </c>
      <c r="G1003" s="89">
        <f t="shared" si="15"/>
        <v>0.22806112518367883</v>
      </c>
    </row>
    <row r="1004" spans="1:7" x14ac:dyDescent="0.6">
      <c r="A1004" s="76">
        <v>1302187</v>
      </c>
      <c r="B1004" s="87">
        <v>0.21940999999999999</v>
      </c>
      <c r="C1004" s="88">
        <v>40.004800000000003</v>
      </c>
      <c r="D1004" s="88">
        <v>0.20896000000000001</v>
      </c>
      <c r="E1004" s="76">
        <v>0</v>
      </c>
      <c r="F1004" s="89" cm="1">
        <f t="array" ref="F1004">5*LOG10(((c_light/1000/H_0_SAM)*(B1004/60)*SUMPRODUCT($J$2:$AD$2,1/SQRT(Omega_m*(1+$J$1:$AD$1*B1004)^3+Omega_L)))*(1+B1004)*100000)</f>
        <v>40.262329019264762</v>
      </c>
      <c r="G1004" s="89">
        <f t="shared" si="15"/>
        <v>0.25752901926475857</v>
      </c>
    </row>
    <row r="1005" spans="1:7" x14ac:dyDescent="0.6">
      <c r="A1005" s="76">
        <v>15433</v>
      </c>
      <c r="B1005" s="87">
        <v>0.2195</v>
      </c>
      <c r="C1005" s="88">
        <v>40.1098</v>
      </c>
      <c r="D1005" s="88">
        <v>0.16003000000000001</v>
      </c>
      <c r="E1005" s="76">
        <v>0</v>
      </c>
      <c r="F1005" s="89" cm="1">
        <f t="array" ref="F1005">5*LOG10(((c_light/1000/H_0_SAM)*(B1005/60)*SUMPRODUCT($J$2:$AD$2,1/SQRT(Omega_m*(1+$J$1:$AD$1*B1005)^3+Omega_L)))*(1+B1005)*100000)</f>
        <v>40.26332820832684</v>
      </c>
      <c r="G1005" s="89">
        <f t="shared" si="15"/>
        <v>0.15352820832683989</v>
      </c>
    </row>
    <row r="1006" spans="1:7" x14ac:dyDescent="0.6">
      <c r="A1006" s="76">
        <v>220</v>
      </c>
      <c r="B1006" s="87">
        <v>0.21972</v>
      </c>
      <c r="C1006" s="88">
        <v>40.061599999999999</v>
      </c>
      <c r="D1006" s="88">
        <v>0.12432</v>
      </c>
      <c r="E1006" s="76">
        <v>0</v>
      </c>
      <c r="F1006" s="89" cm="1">
        <f t="array" ref="F1006">5*LOG10(((c_light/1000/H_0_SAM)*(B1006/60)*SUMPRODUCT($J$2:$AD$2,1/SQRT(Omega_m*(1+$J$1:$AD$1*B1006)^3+Omega_L)))*(1+B1006)*100000)</f>
        <v>40.2657690781909</v>
      </c>
      <c r="G1006" s="89">
        <f t="shared" si="15"/>
        <v>0.20416907819090113</v>
      </c>
    </row>
    <row r="1007" spans="1:7" x14ac:dyDescent="0.6">
      <c r="A1007" s="76">
        <v>18466</v>
      </c>
      <c r="B1007" s="87">
        <v>0.21978</v>
      </c>
      <c r="C1007" s="88">
        <v>40.088200000000001</v>
      </c>
      <c r="D1007" s="88">
        <v>0.17338000000000001</v>
      </c>
      <c r="E1007" s="76">
        <v>0</v>
      </c>
      <c r="F1007" s="89" cm="1">
        <f t="array" ref="F1007">5*LOG10(((c_light/1000/H_0_SAM)*(B1007/60)*SUMPRODUCT($J$2:$AD$2,1/SQRT(Omega_m*(1+$J$1:$AD$1*B1007)^3+Omega_L)))*(1+B1007)*100000)</f>
        <v>40.26643437816486</v>
      </c>
      <c r="G1007" s="89">
        <f t="shared" si="15"/>
        <v>0.17823437816485921</v>
      </c>
    </row>
    <row r="1008" spans="1:7" x14ac:dyDescent="0.6">
      <c r="A1008" s="76">
        <v>14331</v>
      </c>
      <c r="B1008" s="87">
        <v>0.21990000000000001</v>
      </c>
      <c r="C1008" s="88">
        <v>40.238700000000001</v>
      </c>
      <c r="D1008" s="88">
        <v>0.22020000000000001</v>
      </c>
      <c r="E1008" s="76">
        <v>0</v>
      </c>
      <c r="F1008" s="89" cm="1">
        <f t="array" ref="F1008">5*LOG10(((c_light/1000/H_0_SAM)*(B1008/60)*SUMPRODUCT($J$2:$AD$2,1/SQRT(Omega_m*(1+$J$1:$AD$1*B1008)^3+Omega_L)))*(1+B1008)*100000)</f>
        <v>40.267764474954589</v>
      </c>
      <c r="G1008" s="89">
        <f t="shared" si="15"/>
        <v>2.9064474954587638E-2</v>
      </c>
    </row>
    <row r="1009" spans="1:7" x14ac:dyDescent="0.6">
      <c r="A1009" s="76">
        <v>19230</v>
      </c>
      <c r="B1009" s="87">
        <v>0.22017</v>
      </c>
      <c r="C1009" s="88">
        <v>39.922800000000002</v>
      </c>
      <c r="D1009" s="88">
        <v>0.24295</v>
      </c>
      <c r="E1009" s="76">
        <v>0</v>
      </c>
      <c r="F1009" s="89" cm="1">
        <f t="array" ref="F1009">5*LOG10(((c_light/1000/H_0_SAM)*(B1009/60)*SUMPRODUCT($J$2:$AD$2,1/SQRT(Omega_m*(1+$J$1:$AD$1*B1009)^3+Omega_L)))*(1+B1009)*100000)</f>
        <v>40.270754743084673</v>
      </c>
      <c r="G1009" s="89">
        <f t="shared" si="15"/>
        <v>0.34795474308467078</v>
      </c>
    </row>
    <row r="1010" spans="1:7" x14ac:dyDescent="0.6">
      <c r="A1010" s="76">
        <v>7512</v>
      </c>
      <c r="B1010" s="87">
        <v>0.22066</v>
      </c>
      <c r="C1010" s="88">
        <v>40.187600000000003</v>
      </c>
      <c r="D1010" s="88">
        <v>0.22527</v>
      </c>
      <c r="E1010" s="76">
        <v>0</v>
      </c>
      <c r="F1010" s="89" cm="1">
        <f t="array" ref="F1010">5*LOG10(((c_light/1000/H_0_SAM)*(B1010/60)*SUMPRODUCT($J$2:$AD$2,1/SQRT(Omega_m*(1+$J$1:$AD$1*B1010)^3+Omega_L)))*(1+B1010)*100000)</f>
        <v>40.276172885060632</v>
      </c>
      <c r="G1010" s="89">
        <f t="shared" si="15"/>
        <v>8.8572885060628437E-2</v>
      </c>
    </row>
    <row r="1011" spans="1:7" x14ac:dyDescent="0.6">
      <c r="A1011" s="76">
        <v>15354</v>
      </c>
      <c r="B1011" s="87">
        <v>0.22083</v>
      </c>
      <c r="C1011" s="88">
        <v>40.079799999999999</v>
      </c>
      <c r="D1011" s="88">
        <v>0.26682</v>
      </c>
      <c r="E1011" s="76">
        <v>0</v>
      </c>
      <c r="F1011" s="89" cm="1">
        <f t="array" ref="F1011">5*LOG10(((c_light/1000/H_0_SAM)*(B1011/60)*SUMPRODUCT($J$2:$AD$2,1/SQRT(Omega_m*(1+$J$1:$AD$1*B1011)^3+Omega_L)))*(1+B1011)*100000)</f>
        <v>40.278050052295171</v>
      </c>
      <c r="G1011" s="89">
        <f t="shared" si="15"/>
        <v>0.19825005229517245</v>
      </c>
    </row>
    <row r="1012" spans="1:7" x14ac:dyDescent="0.6">
      <c r="A1012" s="76">
        <v>370098</v>
      </c>
      <c r="B1012" s="87">
        <v>0.22131999999999999</v>
      </c>
      <c r="C1012" s="88">
        <v>40.0441</v>
      </c>
      <c r="D1012" s="88">
        <v>0.14324999999999999</v>
      </c>
      <c r="E1012" s="76">
        <v>0</v>
      </c>
      <c r="F1012" s="89" cm="1">
        <f t="array" ref="F1012">5*LOG10(((c_light/1000/H_0_SAM)*(B1012/60)*SUMPRODUCT($J$2:$AD$2,1/SQRT(Omega_m*(1+$J$1:$AD$1*B1012)^3+Omega_L)))*(1+B1012)*100000)</f>
        <v>40.283453252529746</v>
      </c>
      <c r="G1012" s="89">
        <f t="shared" si="15"/>
        <v>0.23935325252974593</v>
      </c>
    </row>
    <row r="1013" spans="1:7" x14ac:dyDescent="0.6">
      <c r="A1013" s="76">
        <v>480464</v>
      </c>
      <c r="B1013" s="87">
        <v>0.22131999999999999</v>
      </c>
      <c r="C1013" s="88">
        <v>40.058799999999998</v>
      </c>
      <c r="D1013" s="88">
        <v>0.20476</v>
      </c>
      <c r="E1013" s="76">
        <v>0</v>
      </c>
      <c r="F1013" s="89" cm="1">
        <f t="array" ref="F1013">5*LOG10(((c_light/1000/H_0_SAM)*(B1013/60)*SUMPRODUCT($J$2:$AD$2,1/SQRT(Omega_m*(1+$J$1:$AD$1*B1013)^3+Omega_L)))*(1+B1013)*100000)</f>
        <v>40.283453252529746</v>
      </c>
      <c r="G1013" s="89">
        <f t="shared" si="15"/>
        <v>0.22465325252974822</v>
      </c>
    </row>
    <row r="1014" spans="1:7" x14ac:dyDescent="0.6">
      <c r="A1014" s="76">
        <v>1331123</v>
      </c>
      <c r="B1014" s="87">
        <v>0.2215</v>
      </c>
      <c r="C1014" s="88">
        <v>40.1937</v>
      </c>
      <c r="D1014" s="88">
        <v>0.16616</v>
      </c>
      <c r="E1014" s="76">
        <v>0</v>
      </c>
      <c r="F1014" s="89" cm="1">
        <f t="array" ref="F1014">5*LOG10(((c_light/1000/H_0_SAM)*(B1014/60)*SUMPRODUCT($J$2:$AD$2,1/SQRT(Omega_m*(1+$J$1:$AD$1*B1014)^3+Omega_L)))*(1+B1014)*100000)</f>
        <v>40.285435327149528</v>
      </c>
      <c r="G1014" s="89">
        <f t="shared" si="15"/>
        <v>9.17353271495287E-2</v>
      </c>
    </row>
    <row r="1015" spans="1:7" x14ac:dyDescent="0.6">
      <c r="A1015" s="76">
        <v>13025</v>
      </c>
      <c r="B1015" s="87">
        <v>0.22298999999999999</v>
      </c>
      <c r="C1015" s="88">
        <v>40.325699999999998</v>
      </c>
      <c r="D1015" s="88">
        <v>0.28122999999999998</v>
      </c>
      <c r="E1015" s="76">
        <v>0</v>
      </c>
      <c r="F1015" s="89" cm="1">
        <f t="array" ref="F1015">5*LOG10(((c_light/1000/H_0_SAM)*(B1015/60)*SUMPRODUCT($J$2:$AD$2,1/SQRT(Omega_m*(1+$J$1:$AD$1*B1015)^3+Omega_L)))*(1+B1015)*100000)</f>
        <v>40.301785616048107</v>
      </c>
      <c r="G1015" s="89">
        <f t="shared" si="15"/>
        <v>-2.3914383951890272E-2</v>
      </c>
    </row>
    <row r="1016" spans="1:7" x14ac:dyDescent="0.6">
      <c r="A1016" s="76">
        <v>14846</v>
      </c>
      <c r="B1016" s="87">
        <v>0.22348999999999999</v>
      </c>
      <c r="C1016" s="88">
        <v>40.1511</v>
      </c>
      <c r="D1016" s="88">
        <v>0.16728000000000001</v>
      </c>
      <c r="E1016" s="76">
        <v>0</v>
      </c>
      <c r="F1016" s="89" cm="1">
        <f t="array" ref="F1016">5*LOG10(((c_light/1000/H_0_SAM)*(B1016/60)*SUMPRODUCT($J$2:$AD$2,1/SQRT(Omega_m*(1+$J$1:$AD$1*B1016)^3+Omega_L)))*(1+B1016)*100000)</f>
        <v>40.307249687042784</v>
      </c>
      <c r="G1016" s="89">
        <f t="shared" si="15"/>
        <v>0.15614968704278454</v>
      </c>
    </row>
    <row r="1017" spans="1:7" x14ac:dyDescent="0.6">
      <c r="A1017" s="76">
        <v>330083</v>
      </c>
      <c r="B1017" s="87">
        <v>0.22384999999999999</v>
      </c>
      <c r="C1017" s="88">
        <v>40.016199999999998</v>
      </c>
      <c r="D1017" s="88">
        <v>0.17282</v>
      </c>
      <c r="E1017" s="76">
        <v>0</v>
      </c>
      <c r="F1017" s="89" cm="1">
        <f t="array" ref="F1017">5*LOG10(((c_light/1000/H_0_SAM)*(B1017/60)*SUMPRODUCT($J$2:$AD$2,1/SQRT(Omega_m*(1+$J$1:$AD$1*B1017)^3+Omega_L)))*(1+B1017)*100000)</f>
        <v>40.311176832940092</v>
      </c>
      <c r="G1017" s="89">
        <f t="shared" si="15"/>
        <v>0.29497683294009391</v>
      </c>
    </row>
    <row r="1018" spans="1:7" x14ac:dyDescent="0.6">
      <c r="A1018" s="76">
        <v>1304442</v>
      </c>
      <c r="B1018" s="87">
        <v>0.22449</v>
      </c>
      <c r="C1018" s="88">
        <v>40.129300000000001</v>
      </c>
      <c r="D1018" s="88">
        <v>0.19721</v>
      </c>
      <c r="E1018" s="76">
        <v>0</v>
      </c>
      <c r="F1018" s="89" cm="1">
        <f t="array" ref="F1018">5*LOG10(((c_light/1000/H_0_SAM)*(B1018/60)*SUMPRODUCT($J$2:$AD$2,1/SQRT(Omega_m*(1+$J$1:$AD$1*B1018)^3+Omega_L)))*(1+B1018)*100000)</f>
        <v>40.318144048461406</v>
      </c>
      <c r="G1018" s="89">
        <f t="shared" si="15"/>
        <v>0.18884404846140512</v>
      </c>
    </row>
    <row r="1019" spans="1:7" x14ac:dyDescent="0.6">
      <c r="A1019" s="76">
        <v>550096</v>
      </c>
      <c r="B1019" s="87">
        <v>0.22449</v>
      </c>
      <c r="C1019" s="88">
        <v>39.944899999999997</v>
      </c>
      <c r="D1019" s="88">
        <v>0.24576999999999999</v>
      </c>
      <c r="E1019" s="76">
        <v>0</v>
      </c>
      <c r="F1019" s="89" cm="1">
        <f t="array" ref="F1019">5*LOG10(((c_light/1000/H_0_SAM)*(B1019/60)*SUMPRODUCT($J$2:$AD$2,1/SQRT(Omega_m*(1+$J$1:$AD$1*B1019)^3+Omega_L)))*(1+B1019)*100000)</f>
        <v>40.318144048461406</v>
      </c>
      <c r="G1019" s="89">
        <f t="shared" si="15"/>
        <v>0.37324404846140879</v>
      </c>
    </row>
    <row r="1020" spans="1:7" x14ac:dyDescent="0.6">
      <c r="A1020" s="76">
        <v>1292560</v>
      </c>
      <c r="B1020" s="87">
        <v>0.22492999999999999</v>
      </c>
      <c r="C1020" s="88">
        <v>40.1126</v>
      </c>
      <c r="D1020" s="88">
        <v>0.16062000000000001</v>
      </c>
      <c r="E1020" s="76">
        <v>0</v>
      </c>
      <c r="F1020" s="89" cm="1">
        <f t="array" ref="F1020">5*LOG10(((c_light/1000/H_0_SAM)*(B1020/60)*SUMPRODUCT($J$2:$AD$2,1/SQRT(Omega_m*(1+$J$1:$AD$1*B1020)^3+Omega_L)))*(1+B1020)*100000)</f>
        <v>40.32292337836693</v>
      </c>
      <c r="G1020" s="89">
        <f t="shared" si="15"/>
        <v>0.2103233783669296</v>
      </c>
    </row>
    <row r="1021" spans="1:7" x14ac:dyDescent="0.6">
      <c r="A1021" s="76">
        <v>30066</v>
      </c>
      <c r="B1021" s="87">
        <v>0.22542000000000001</v>
      </c>
      <c r="C1021" s="88">
        <v>40.149099999999997</v>
      </c>
      <c r="D1021" s="88">
        <v>0.17402999999999999</v>
      </c>
      <c r="E1021" s="76">
        <v>0</v>
      </c>
      <c r="F1021" s="89" cm="1">
        <f t="array" ref="F1021">5*LOG10(((c_light/1000/H_0_SAM)*(B1021/60)*SUMPRODUCT($J$2:$AD$2,1/SQRT(Omega_m*(1+$J$1:$AD$1*B1021)^3+Omega_L)))*(1+B1021)*100000)</f>
        <v>40.328235665431116</v>
      </c>
      <c r="G1021" s="89">
        <f t="shared" si="15"/>
        <v>0.1791356654311187</v>
      </c>
    </row>
    <row r="1022" spans="1:7" x14ac:dyDescent="0.6">
      <c r="A1022" s="76">
        <v>13727</v>
      </c>
      <c r="B1022" s="87">
        <v>0.22542999999999999</v>
      </c>
      <c r="C1022" s="88">
        <v>40.132899999999999</v>
      </c>
      <c r="D1022" s="88">
        <v>0.18892</v>
      </c>
      <c r="E1022" s="76">
        <v>0</v>
      </c>
      <c r="F1022" s="89" cm="1">
        <f t="array" ref="F1022">5*LOG10(((c_light/1000/H_0_SAM)*(B1022/60)*SUMPRODUCT($J$2:$AD$2,1/SQRT(Omega_m*(1+$J$1:$AD$1*B1022)^3+Omega_L)))*(1+B1022)*100000)</f>
        <v>40.328343968402734</v>
      </c>
      <c r="G1022" s="89">
        <f t="shared" si="15"/>
        <v>0.19544396840273492</v>
      </c>
    </row>
    <row r="1023" spans="1:7" x14ac:dyDescent="0.6">
      <c r="A1023" s="76">
        <v>15229</v>
      </c>
      <c r="B1023" s="87">
        <v>0.22550999999999999</v>
      </c>
      <c r="C1023" s="88">
        <v>40.185600000000001</v>
      </c>
      <c r="D1023" s="88">
        <v>0.19744</v>
      </c>
      <c r="E1023" s="76">
        <v>0</v>
      </c>
      <c r="F1023" s="89" cm="1">
        <f t="array" ref="F1023">5*LOG10(((c_light/1000/H_0_SAM)*(B1023/60)*SUMPRODUCT($J$2:$AD$2,1/SQRT(Omega_m*(1+$J$1:$AD$1*B1023)^3+Omega_L)))*(1+B1023)*100000)</f>
        <v>40.329210232529881</v>
      </c>
      <c r="G1023" s="89">
        <f t="shared" si="15"/>
        <v>0.14361023252988048</v>
      </c>
    </row>
    <row r="1024" spans="1:7" x14ac:dyDescent="0.6">
      <c r="A1024" s="76">
        <v>20096</v>
      </c>
      <c r="B1024" s="87">
        <v>0.22578000000000001</v>
      </c>
      <c r="C1024" s="88">
        <v>39.986499999999999</v>
      </c>
      <c r="D1024" s="88">
        <v>0.17596000000000001</v>
      </c>
      <c r="E1024" s="76">
        <v>0</v>
      </c>
      <c r="F1024" s="89" cm="1">
        <f t="array" ref="F1024">5*LOG10(((c_light/1000/H_0_SAM)*(B1024/60)*SUMPRODUCT($J$2:$AD$2,1/SQRT(Omega_m*(1+$J$1:$AD$1*B1024)^3+Omega_L)))*(1+B1024)*100000)</f>
        <v>40.332131780770396</v>
      </c>
      <c r="G1024" s="89">
        <f t="shared" si="15"/>
        <v>0.3456317807703968</v>
      </c>
    </row>
    <row r="1025" spans="1:7" x14ac:dyDescent="0.6">
      <c r="A1025" s="76">
        <v>19992</v>
      </c>
      <c r="B1025" s="87">
        <v>0.22645000000000001</v>
      </c>
      <c r="C1025" s="88">
        <v>40.391199999999998</v>
      </c>
      <c r="D1025" s="88">
        <v>0.20108000000000001</v>
      </c>
      <c r="E1025" s="76">
        <v>0</v>
      </c>
      <c r="F1025" s="89" cm="1">
        <f t="array" ref="F1025">5*LOG10(((c_light/1000/H_0_SAM)*(B1025/60)*SUMPRODUCT($J$2:$AD$2,1/SQRT(Omega_m*(1+$J$1:$AD$1*B1025)^3+Omega_L)))*(1+B1025)*100000)</f>
        <v>40.33936763917508</v>
      </c>
      <c r="G1025" s="89">
        <f t="shared" si="15"/>
        <v>-5.18323608249176E-2</v>
      </c>
    </row>
    <row r="1026" spans="1:7" x14ac:dyDescent="0.6">
      <c r="A1026" s="76">
        <v>1315192</v>
      </c>
      <c r="B1026" s="87">
        <v>0.22725999999999999</v>
      </c>
      <c r="C1026" s="88">
        <v>40.097000000000001</v>
      </c>
      <c r="D1026" s="88">
        <v>0.22849</v>
      </c>
      <c r="E1026" s="76">
        <v>0</v>
      </c>
      <c r="F1026" s="89" cm="1">
        <f t="array" ref="F1026">5*LOG10(((c_light/1000/H_0_SAM)*(B1026/60)*SUMPRODUCT($J$2:$AD$2,1/SQRT(Omega_m*(1+$J$1:$AD$1*B1026)^3+Omega_L)))*(1+B1026)*100000)</f>
        <v>40.348089124035511</v>
      </c>
      <c r="G1026" s="89">
        <f t="shared" si="15"/>
        <v>0.25108912403550931</v>
      </c>
    </row>
    <row r="1027" spans="1:7" x14ac:dyDescent="0.6">
      <c r="A1027" s="76">
        <v>1315259</v>
      </c>
      <c r="B1027" s="87">
        <v>0.22817999999999999</v>
      </c>
      <c r="C1027" s="88">
        <v>40.223599999999998</v>
      </c>
      <c r="D1027" s="88">
        <v>0.18340000000000001</v>
      </c>
      <c r="E1027" s="76">
        <v>0</v>
      </c>
      <c r="F1027" s="89" cm="1">
        <f t="array" ref="F1027">5*LOG10(((c_light/1000/H_0_SAM)*(B1027/60)*SUMPRODUCT($J$2:$AD$2,1/SQRT(Omega_m*(1+$J$1:$AD$1*B1027)^3+Omega_L)))*(1+B1027)*100000)</f>
        <v>40.357960270740804</v>
      </c>
      <c r="G1027" s="89">
        <f t="shared" si="15"/>
        <v>0.1343602707408067</v>
      </c>
    </row>
    <row r="1028" spans="1:7" x14ac:dyDescent="0.6">
      <c r="A1028" s="76">
        <v>180561</v>
      </c>
      <c r="B1028" s="87">
        <v>0.22864999999999999</v>
      </c>
      <c r="C1028" s="88">
        <v>40.160400000000003</v>
      </c>
      <c r="D1028" s="88">
        <v>0.30824000000000001</v>
      </c>
      <c r="E1028" s="76">
        <v>0</v>
      </c>
      <c r="F1028" s="89" cm="1">
        <f t="array" ref="F1028">5*LOG10(((c_light/1000/H_0_SAM)*(B1028/60)*SUMPRODUCT($J$2:$AD$2,1/SQRT(Omega_m*(1+$J$1:$AD$1*B1028)^3+Omega_L)))*(1+B1028)*100000)</f>
        <v>40.3629889695233</v>
      </c>
      <c r="G1028" s="89">
        <f t="shared" si="15"/>
        <v>0.20258896952329764</v>
      </c>
    </row>
    <row r="1029" spans="1:7" x14ac:dyDescent="0.6">
      <c r="A1029" s="76">
        <v>13072</v>
      </c>
      <c r="B1029" s="87">
        <v>0.22928000000000001</v>
      </c>
      <c r="C1029" s="88">
        <v>40.222900000000003</v>
      </c>
      <c r="D1029" s="88">
        <v>0.20241000000000001</v>
      </c>
      <c r="E1029" s="76">
        <v>0</v>
      </c>
      <c r="F1029" s="89" cm="1">
        <f t="array" ref="F1029">5*LOG10(((c_light/1000/H_0_SAM)*(B1029/60)*SUMPRODUCT($J$2:$AD$2,1/SQRT(Omega_m*(1+$J$1:$AD$1*B1029)^3+Omega_L)))*(1+B1029)*100000)</f>
        <v>40.369714620845144</v>
      </c>
      <c r="G1029" s="89">
        <f t="shared" si="15"/>
        <v>0.14681462084514152</v>
      </c>
    </row>
    <row r="1030" spans="1:7" x14ac:dyDescent="0.6">
      <c r="A1030" s="76">
        <v>3452</v>
      </c>
      <c r="B1030" s="87">
        <v>0.22978000000000001</v>
      </c>
      <c r="C1030" s="88">
        <v>40.135100000000001</v>
      </c>
      <c r="D1030" s="88">
        <v>0.18806999999999999</v>
      </c>
      <c r="E1030" s="76">
        <v>0</v>
      </c>
      <c r="F1030" s="89" cm="1">
        <f t="array" ref="F1030">5*LOG10(((c_light/1000/H_0_SAM)*(B1030/60)*SUMPRODUCT($J$2:$AD$2,1/SQRT(Omega_m*(1+$J$1:$AD$1*B1030)^3+Omega_L)))*(1+B1030)*100000)</f>
        <v>40.37504030977388</v>
      </c>
      <c r="G1030" s="89">
        <f t="shared" ref="G1030:G1093" si="16">F1030-C1030</f>
        <v>0.23994030977387837</v>
      </c>
    </row>
    <row r="1031" spans="1:7" x14ac:dyDescent="0.6">
      <c r="A1031" s="76">
        <v>21033</v>
      </c>
      <c r="B1031" s="87">
        <v>0.23019999999999999</v>
      </c>
      <c r="C1031" s="88">
        <v>40.128300000000003</v>
      </c>
      <c r="D1031" s="88">
        <v>0.22744</v>
      </c>
      <c r="E1031" s="76">
        <v>0</v>
      </c>
      <c r="F1031" s="89" cm="1">
        <f t="array" ref="F1031">5*LOG10(((c_light/1000/H_0_SAM)*(B1031/60)*SUMPRODUCT($J$2:$AD$2,1/SQRT(Omega_m*(1+$J$1:$AD$1*B1031)^3+Omega_L)))*(1+B1031)*100000)</f>
        <v>40.379505629295551</v>
      </c>
      <c r="G1031" s="89">
        <f t="shared" si="16"/>
        <v>0.25120562929554779</v>
      </c>
    </row>
    <row r="1032" spans="1:7" x14ac:dyDescent="0.6">
      <c r="A1032" s="76">
        <v>6</v>
      </c>
      <c r="B1032" s="87">
        <v>0.23041</v>
      </c>
      <c r="C1032" s="88">
        <v>40.306199999999997</v>
      </c>
      <c r="D1032" s="88">
        <v>0.26011000000000001</v>
      </c>
      <c r="E1032" s="76">
        <v>0</v>
      </c>
      <c r="F1032" s="89" cm="1">
        <f t="array" ref="F1032">5*LOG10(((c_light/1000/H_0_SAM)*(B1032/60)*SUMPRODUCT($J$2:$AD$2,1/SQRT(Omega_m*(1+$J$1:$AD$1*B1032)^3+Omega_L)))*(1+B1032)*100000)</f>
        <v>40.381735470161793</v>
      </c>
      <c r="G1032" s="89">
        <f t="shared" si="16"/>
        <v>7.553547016179607E-2</v>
      </c>
    </row>
    <row r="1033" spans="1:7" x14ac:dyDescent="0.6">
      <c r="A1033" s="76">
        <v>40780</v>
      </c>
      <c r="B1033" s="87">
        <v>0.23082</v>
      </c>
      <c r="C1033" s="88">
        <v>40.0717</v>
      </c>
      <c r="D1033" s="88">
        <v>0.29685</v>
      </c>
      <c r="E1033" s="76">
        <v>0</v>
      </c>
      <c r="F1033" s="89" cm="1">
        <f t="array" ref="F1033">5*LOG10(((c_light/1000/H_0_SAM)*(B1033/60)*SUMPRODUCT($J$2:$AD$2,1/SQRT(Omega_m*(1+$J$1:$AD$1*B1033)^3+Omega_L)))*(1+B1033)*100000)</f>
        <v>40.38608356859217</v>
      </c>
      <c r="G1033" s="89">
        <f t="shared" si="16"/>
        <v>0.31438356859217009</v>
      </c>
    </row>
    <row r="1034" spans="1:7" x14ac:dyDescent="0.6">
      <c r="A1034" s="76">
        <v>19008</v>
      </c>
      <c r="B1034" s="87">
        <v>0.23086000000000001</v>
      </c>
      <c r="C1034" s="88">
        <v>40.104900000000001</v>
      </c>
      <c r="D1034" s="88">
        <v>0.20471</v>
      </c>
      <c r="E1034" s="76">
        <v>0</v>
      </c>
      <c r="F1034" s="89" cm="1">
        <f t="array" ref="F1034">5*LOG10(((c_light/1000/H_0_SAM)*(B1034/60)*SUMPRODUCT($J$2:$AD$2,1/SQRT(Omega_m*(1+$J$1:$AD$1*B1034)^3+Omega_L)))*(1+B1034)*100000)</f>
        <v>40.386507391619702</v>
      </c>
      <c r="G1034" s="89">
        <f t="shared" si="16"/>
        <v>0.28160739161970127</v>
      </c>
    </row>
    <row r="1035" spans="1:7" x14ac:dyDescent="0.6">
      <c r="A1035" s="76">
        <v>360140</v>
      </c>
      <c r="B1035" s="87">
        <v>0.23091999999999999</v>
      </c>
      <c r="C1035" s="88">
        <v>40.2958</v>
      </c>
      <c r="D1035" s="88">
        <v>0.22628999999999999</v>
      </c>
      <c r="E1035" s="76">
        <v>0</v>
      </c>
      <c r="F1035" s="89" cm="1">
        <f t="array" ref="F1035">5*LOG10(((c_light/1000/H_0_SAM)*(B1035/60)*SUMPRODUCT($J$2:$AD$2,1/SQRT(Omega_m*(1+$J$1:$AD$1*B1035)^3+Omega_L)))*(1+B1035)*100000)</f>
        <v>40.387142999110289</v>
      </c>
      <c r="G1035" s="89">
        <f t="shared" si="16"/>
        <v>9.1342999110288758E-2</v>
      </c>
    </row>
    <row r="1036" spans="1:7" x14ac:dyDescent="0.6">
      <c r="A1036" s="76">
        <v>17875</v>
      </c>
      <c r="B1036" s="87">
        <v>0.23125000000000001</v>
      </c>
      <c r="C1036" s="88">
        <v>40.316899999999997</v>
      </c>
      <c r="D1036" s="88">
        <v>0.18975</v>
      </c>
      <c r="E1036" s="76">
        <v>0</v>
      </c>
      <c r="F1036" s="89" cm="1">
        <f t="array" ref="F1036">5*LOG10(((c_light/1000/H_0_SAM)*(B1036/60)*SUMPRODUCT($J$2:$AD$2,1/SQRT(Omega_m*(1+$J$1:$AD$1*B1036)^3+Omega_L)))*(1+B1036)*100000)</f>
        <v>40.390636118349057</v>
      </c>
      <c r="G1036" s="89">
        <f t="shared" si="16"/>
        <v>7.3736118349060575E-2</v>
      </c>
    </row>
    <row r="1037" spans="1:7" x14ac:dyDescent="0.6">
      <c r="A1037" s="76">
        <v>430004</v>
      </c>
      <c r="B1037" s="87">
        <v>0.23161999999999999</v>
      </c>
      <c r="C1037" s="88">
        <v>40.201000000000001</v>
      </c>
      <c r="D1037" s="88">
        <v>0.22691</v>
      </c>
      <c r="E1037" s="76">
        <v>0</v>
      </c>
      <c r="F1037" s="89" cm="1">
        <f t="array" ref="F1037">5*LOG10(((c_light/1000/H_0_SAM)*(B1037/60)*SUMPRODUCT($J$2:$AD$2,1/SQRT(Omega_m*(1+$J$1:$AD$1*B1037)^3+Omega_L)))*(1+B1037)*100000)</f>
        <v>40.394547179852168</v>
      </c>
      <c r="G1037" s="89">
        <f t="shared" si="16"/>
        <v>0.19354717985216752</v>
      </c>
    </row>
    <row r="1038" spans="1:7" x14ac:dyDescent="0.6">
      <c r="A1038" s="76">
        <v>1302648</v>
      </c>
      <c r="B1038" s="87">
        <v>0.23164000000000001</v>
      </c>
      <c r="C1038" s="88">
        <v>40.087499999999999</v>
      </c>
      <c r="D1038" s="88">
        <v>0.23727000000000001</v>
      </c>
      <c r="E1038" s="76">
        <v>0</v>
      </c>
      <c r="F1038" s="89" cm="1">
        <f t="array" ref="F1038">5*LOG10(((c_light/1000/H_0_SAM)*(B1038/60)*SUMPRODUCT($J$2:$AD$2,1/SQRT(Omega_m*(1+$J$1:$AD$1*B1038)^3+Omega_L)))*(1+B1038)*100000)</f>
        <v>40.394758424296057</v>
      </c>
      <c r="G1038" s="89">
        <f t="shared" si="16"/>
        <v>0.30725842429605876</v>
      </c>
    </row>
    <row r="1039" spans="1:7" x14ac:dyDescent="0.6">
      <c r="A1039" s="76">
        <v>1275946</v>
      </c>
      <c r="B1039" s="87">
        <v>0.23205000000000001</v>
      </c>
      <c r="C1039" s="88">
        <v>40.204500000000003</v>
      </c>
      <c r="D1039" s="88">
        <v>0.15951000000000001</v>
      </c>
      <c r="E1039" s="76">
        <v>0</v>
      </c>
      <c r="F1039" s="89" cm="1">
        <f t="array" ref="F1039">5*LOG10(((c_light/1000/H_0_SAM)*(B1039/60)*SUMPRODUCT($J$2:$AD$2,1/SQRT(Omega_m*(1+$J$1:$AD$1*B1039)^3+Omega_L)))*(1+B1039)*100000)</f>
        <v>40.399085230392977</v>
      </c>
      <c r="G1039" s="89">
        <f t="shared" si="16"/>
        <v>0.19458523039297404</v>
      </c>
    </row>
    <row r="1040" spans="1:7" x14ac:dyDescent="0.6">
      <c r="A1040" s="76">
        <v>15369</v>
      </c>
      <c r="B1040" s="87">
        <v>0.23282</v>
      </c>
      <c r="C1040" s="88">
        <v>39.834099999999999</v>
      </c>
      <c r="D1040" s="88">
        <v>0.18090999999999999</v>
      </c>
      <c r="E1040" s="76">
        <v>0</v>
      </c>
      <c r="F1040" s="89" cm="1">
        <f t="array" ref="F1040">5*LOG10(((c_light/1000/H_0_SAM)*(B1040/60)*SUMPRODUCT($J$2:$AD$2,1/SQRT(Omega_m*(1+$J$1:$AD$1*B1040)^3+Omega_L)))*(1+B1040)*100000)</f>
        <v>40.407192152480619</v>
      </c>
      <c r="G1040" s="89">
        <f t="shared" si="16"/>
        <v>0.57309215248061918</v>
      </c>
    </row>
    <row r="1041" spans="1:7" x14ac:dyDescent="0.6">
      <c r="A1041" s="76">
        <v>1292336</v>
      </c>
      <c r="B1041" s="87">
        <v>0.23366999999999999</v>
      </c>
      <c r="C1041" s="88">
        <v>40.185699999999997</v>
      </c>
      <c r="D1041" s="88">
        <v>0.25506000000000001</v>
      </c>
      <c r="E1041" s="76">
        <v>0</v>
      </c>
      <c r="F1041" s="89" cm="1">
        <f t="array" ref="F1041">5*LOG10(((c_light/1000/H_0_SAM)*(B1041/60)*SUMPRODUCT($J$2:$AD$2,1/SQRT(Omega_m*(1+$J$1:$AD$1*B1041)^3+Omega_L)))*(1+B1041)*100000)</f>
        <v>40.416112672872899</v>
      </c>
      <c r="G1041" s="89">
        <f t="shared" si="16"/>
        <v>0.23041267287290168</v>
      </c>
    </row>
    <row r="1042" spans="1:7" x14ac:dyDescent="0.6">
      <c r="A1042" s="76">
        <v>350047</v>
      </c>
      <c r="B1042" s="87">
        <v>0.23377999999999999</v>
      </c>
      <c r="C1042" s="88">
        <v>40.4148</v>
      </c>
      <c r="D1042" s="88">
        <v>0.19636999999999999</v>
      </c>
      <c r="E1042" s="76">
        <v>0</v>
      </c>
      <c r="F1042" s="89" cm="1">
        <f t="array" ref="F1042">5*LOG10(((c_light/1000/H_0_SAM)*(B1042/60)*SUMPRODUCT($J$2:$AD$2,1/SQRT(Omega_m*(1+$J$1:$AD$1*B1042)^3+Omega_L)))*(1+B1042)*100000)</f>
        <v>40.417264904318287</v>
      </c>
      <c r="G1042" s="89">
        <f t="shared" si="16"/>
        <v>2.4649043182876085E-3</v>
      </c>
    </row>
    <row r="1043" spans="1:7" x14ac:dyDescent="0.6">
      <c r="A1043" s="76">
        <v>1336687</v>
      </c>
      <c r="B1043" s="87">
        <v>0.23391000000000001</v>
      </c>
      <c r="C1043" s="88">
        <v>40.178800000000003</v>
      </c>
      <c r="D1043" s="88">
        <v>0.29214000000000001</v>
      </c>
      <c r="E1043" s="76">
        <v>0</v>
      </c>
      <c r="F1043" s="89" cm="1">
        <f t="array" ref="F1043">5*LOG10(((c_light/1000/H_0_SAM)*(B1043/60)*SUMPRODUCT($J$2:$AD$2,1/SQRT(Omega_m*(1+$J$1:$AD$1*B1043)^3+Omega_L)))*(1+B1043)*100000)</f>
        <v>40.418625987636077</v>
      </c>
      <c r="G1043" s="89">
        <f t="shared" si="16"/>
        <v>0.23982598763607399</v>
      </c>
    </row>
    <row r="1044" spans="1:7" x14ac:dyDescent="0.6">
      <c r="A1044" s="76">
        <v>12971</v>
      </c>
      <c r="B1044" s="87">
        <v>0.23394999999999999</v>
      </c>
      <c r="C1044" s="88">
        <v>40.1389</v>
      </c>
      <c r="D1044" s="88">
        <v>0.21410000000000001</v>
      </c>
      <c r="E1044" s="76">
        <v>0</v>
      </c>
      <c r="F1044" s="89" cm="1">
        <f t="array" ref="F1044">5*LOG10(((c_light/1000/H_0_SAM)*(B1044/60)*SUMPRODUCT($J$2:$AD$2,1/SQRT(Omega_m*(1+$J$1:$AD$1*B1044)^3+Omega_L)))*(1+B1044)*100000)</f>
        <v>40.419044642088487</v>
      </c>
      <c r="G1044" s="89">
        <f t="shared" si="16"/>
        <v>0.28014464208848722</v>
      </c>
    </row>
    <row r="1045" spans="1:7" x14ac:dyDescent="0.6">
      <c r="A1045" s="76">
        <v>110536</v>
      </c>
      <c r="B1045" s="87">
        <v>0.23472000000000001</v>
      </c>
      <c r="C1045" s="88">
        <v>40.191200000000002</v>
      </c>
      <c r="D1045" s="88">
        <v>0.32799</v>
      </c>
      <c r="E1045" s="76">
        <v>0</v>
      </c>
      <c r="F1045" s="89" cm="1">
        <f t="array" ref="F1045">5*LOG10(((c_light/1000/H_0_SAM)*(B1045/60)*SUMPRODUCT($J$2:$AD$2,1/SQRT(Omega_m*(1+$J$1:$AD$1*B1045)^3+Omega_L)))*(1+B1045)*100000)</f>
        <v>40.427090894752951</v>
      </c>
      <c r="G1045" s="89">
        <f t="shared" si="16"/>
        <v>0.23589089475294855</v>
      </c>
    </row>
    <row r="1046" spans="1:7" x14ac:dyDescent="0.6">
      <c r="A1046" s="76">
        <v>1279500</v>
      </c>
      <c r="B1046" s="87">
        <v>0.23480999999999999</v>
      </c>
      <c r="C1046" s="88">
        <v>40.278399999999998</v>
      </c>
      <c r="D1046" s="88">
        <v>0.16769999999999999</v>
      </c>
      <c r="E1046" s="76">
        <v>0</v>
      </c>
      <c r="F1046" s="89" cm="1">
        <f t="array" ref="F1046">5*LOG10(((c_light/1000/H_0_SAM)*(B1046/60)*SUMPRODUCT($J$2:$AD$2,1/SQRT(Omega_m*(1+$J$1:$AD$1*B1046)^3+Omega_L)))*(1+B1046)*100000)</f>
        <v>40.428029775687016</v>
      </c>
      <c r="G1046" s="89">
        <f t="shared" si="16"/>
        <v>0.14962977568701774</v>
      </c>
    </row>
    <row r="1047" spans="1:7" x14ac:dyDescent="0.6">
      <c r="A1047" s="76">
        <v>1319366</v>
      </c>
      <c r="B1047" s="87">
        <v>0.23494000000000001</v>
      </c>
      <c r="C1047" s="88">
        <v>40.158000000000001</v>
      </c>
      <c r="D1047" s="88">
        <v>0.18323999999999999</v>
      </c>
      <c r="E1047" s="76">
        <v>0</v>
      </c>
      <c r="F1047" s="89" cm="1">
        <f t="array" ref="F1047">5*LOG10(((c_light/1000/H_0_SAM)*(B1047/60)*SUMPRODUCT($J$2:$AD$2,1/SQRT(Omega_m*(1+$J$1:$AD$1*B1047)^3+Omega_L)))*(1+B1047)*100000)</f>
        <v>40.429385351059821</v>
      </c>
      <c r="G1047" s="89">
        <f t="shared" si="16"/>
        <v>0.27138535105981987</v>
      </c>
    </row>
    <row r="1048" spans="1:7" x14ac:dyDescent="0.6">
      <c r="A1048" s="76">
        <v>1298281</v>
      </c>
      <c r="B1048" s="87">
        <v>0.23519999999999999</v>
      </c>
      <c r="C1048" s="88">
        <v>40.1629</v>
      </c>
      <c r="D1048" s="88">
        <v>0.27515000000000001</v>
      </c>
      <c r="E1048" s="76">
        <v>0</v>
      </c>
      <c r="F1048" s="89" cm="1">
        <f t="array" ref="F1048">5*LOG10(((c_light/1000/H_0_SAM)*(B1048/60)*SUMPRODUCT($J$2:$AD$2,1/SQRT(Omega_m*(1+$J$1:$AD$1*B1048)^3+Omega_L)))*(1+B1048)*100000)</f>
        <v>40.432094426993679</v>
      </c>
      <c r="G1048" s="89">
        <f t="shared" si="16"/>
        <v>0.26919442699367835</v>
      </c>
    </row>
    <row r="1049" spans="1:7" x14ac:dyDescent="0.6">
      <c r="A1049" s="76">
        <v>19341</v>
      </c>
      <c r="B1049" s="87">
        <v>0.23555999999999999</v>
      </c>
      <c r="C1049" s="88">
        <v>40.233600000000003</v>
      </c>
      <c r="D1049" s="88">
        <v>0.2142</v>
      </c>
      <c r="E1049" s="76">
        <v>0</v>
      </c>
      <c r="F1049" s="89" cm="1">
        <f t="array" ref="F1049">5*LOG10(((c_light/1000/H_0_SAM)*(B1049/60)*SUMPRODUCT($J$2:$AD$2,1/SQRT(Omega_m*(1+$J$1:$AD$1*B1049)^3+Omega_L)))*(1+B1049)*100000)</f>
        <v>40.435840897570586</v>
      </c>
      <c r="G1049" s="89">
        <f t="shared" si="16"/>
        <v>0.20224089757058294</v>
      </c>
    </row>
    <row r="1050" spans="1:7" x14ac:dyDescent="0.6">
      <c r="A1050" s="76">
        <v>15287</v>
      </c>
      <c r="B1050" s="87">
        <v>0.23638999999999999</v>
      </c>
      <c r="C1050" s="88">
        <v>40.380499999999998</v>
      </c>
      <c r="D1050" s="88">
        <v>0.15573999999999999</v>
      </c>
      <c r="E1050" s="76">
        <v>0</v>
      </c>
      <c r="F1050" s="89" cm="1">
        <f t="array" ref="F1050">5*LOG10(((c_light/1000/H_0_SAM)*(B1050/60)*SUMPRODUCT($J$2:$AD$2,1/SQRT(Omega_m*(1+$J$1:$AD$1*B1050)^3+Omega_L)))*(1+B1050)*100000)</f>
        <v>40.444458505289667</v>
      </c>
      <c r="G1050" s="89">
        <f t="shared" si="16"/>
        <v>6.3958505289669176E-2</v>
      </c>
    </row>
    <row r="1051" spans="1:7" x14ac:dyDescent="0.6">
      <c r="A1051" s="76">
        <v>310574</v>
      </c>
      <c r="B1051" s="87">
        <v>0.23662</v>
      </c>
      <c r="C1051" s="88">
        <v>40.263599999999997</v>
      </c>
      <c r="D1051" s="88">
        <v>0.15673000000000001</v>
      </c>
      <c r="E1051" s="76">
        <v>0</v>
      </c>
      <c r="F1051" s="89" cm="1">
        <f t="array" ref="F1051">5*LOG10(((c_light/1000/H_0_SAM)*(B1051/60)*SUMPRODUCT($J$2:$AD$2,1/SQRT(Omega_m*(1+$J$1:$AD$1*B1051)^3+Omega_L)))*(1+B1051)*100000)</f>
        <v>40.446841577786643</v>
      </c>
      <c r="G1051" s="89">
        <f t="shared" si="16"/>
        <v>0.18324157778664585</v>
      </c>
    </row>
    <row r="1052" spans="1:7" x14ac:dyDescent="0.6">
      <c r="A1052" s="76">
        <v>13511</v>
      </c>
      <c r="B1052" s="87">
        <v>0.23663999999999999</v>
      </c>
      <c r="C1052" s="88">
        <v>40.467399999999998</v>
      </c>
      <c r="D1052" s="88">
        <v>0.19313</v>
      </c>
      <c r="E1052" s="76">
        <v>0</v>
      </c>
      <c r="F1052" s="89" cm="1">
        <f t="array" ref="F1052">5*LOG10(((c_light/1000/H_0_SAM)*(B1052/60)*SUMPRODUCT($J$2:$AD$2,1/SQRT(Omega_m*(1+$J$1:$AD$1*B1052)^3+Omega_L)))*(1+B1052)*100000)</f>
        <v>40.447048700483052</v>
      </c>
      <c r="G1052" s="89">
        <f t="shared" si="16"/>
        <v>-2.0351299516946142E-2</v>
      </c>
    </row>
    <row r="1053" spans="1:7" x14ac:dyDescent="0.6">
      <c r="A1053" s="76">
        <v>12881</v>
      </c>
      <c r="B1053" s="87">
        <v>0.23685</v>
      </c>
      <c r="C1053" s="88">
        <v>40.119</v>
      </c>
      <c r="D1053" s="88">
        <v>0.23665</v>
      </c>
      <c r="E1053" s="76">
        <v>0</v>
      </c>
      <c r="F1053" s="89" cm="1">
        <f t="array" ref="F1053">5*LOG10(((c_light/1000/H_0_SAM)*(B1053/60)*SUMPRODUCT($J$2:$AD$2,1/SQRT(Omega_m*(1+$J$1:$AD$1*B1053)^3+Omega_L)))*(1+B1053)*100000)</f>
        <v>40.449222514369801</v>
      </c>
      <c r="G1053" s="89">
        <f t="shared" si="16"/>
        <v>0.33022251436980099</v>
      </c>
    </row>
    <row r="1054" spans="1:7" x14ac:dyDescent="0.6">
      <c r="A1054" s="76">
        <v>16350</v>
      </c>
      <c r="B1054" s="87">
        <v>0.23693</v>
      </c>
      <c r="C1054" s="88">
        <v>40.227899999999998</v>
      </c>
      <c r="D1054" s="88">
        <v>0.21024000000000001</v>
      </c>
      <c r="E1054" s="76">
        <v>0</v>
      </c>
      <c r="F1054" s="89" cm="1">
        <f t="array" ref="F1054">5*LOG10(((c_light/1000/H_0_SAM)*(B1054/60)*SUMPRODUCT($J$2:$AD$2,1/SQRT(Omega_m*(1+$J$1:$AD$1*B1054)^3+Omega_L)))*(1+B1054)*100000)</f>
        <v>40.450050166294332</v>
      </c>
      <c r="G1054" s="89">
        <f t="shared" si="16"/>
        <v>0.22215016629433393</v>
      </c>
    </row>
    <row r="1055" spans="1:7" x14ac:dyDescent="0.6">
      <c r="A1055" s="76">
        <v>1317277</v>
      </c>
      <c r="B1055" s="87">
        <v>0.23721</v>
      </c>
      <c r="C1055" s="88">
        <v>40.224499999999999</v>
      </c>
      <c r="D1055" s="88">
        <v>0.20394999999999999</v>
      </c>
      <c r="E1055" s="76">
        <v>0</v>
      </c>
      <c r="F1055" s="89" cm="1">
        <f t="array" ref="F1055">5*LOG10(((c_light/1000/H_0_SAM)*(B1055/60)*SUMPRODUCT($J$2:$AD$2,1/SQRT(Omega_m*(1+$J$1:$AD$1*B1055)^3+Omega_L)))*(1+B1055)*100000)</f>
        <v>40.452944919320942</v>
      </c>
      <c r="G1055" s="89">
        <f t="shared" si="16"/>
        <v>0.22844491932094257</v>
      </c>
    </row>
    <row r="1056" spans="1:7" x14ac:dyDescent="0.6">
      <c r="A1056" s="76">
        <v>20768</v>
      </c>
      <c r="B1056" s="87">
        <v>0.23746</v>
      </c>
      <c r="C1056" s="88">
        <v>40.736499999999999</v>
      </c>
      <c r="D1056" s="88">
        <v>0.30571999999999999</v>
      </c>
      <c r="E1056" s="76">
        <v>0</v>
      </c>
      <c r="F1056" s="89" cm="1">
        <f t="array" ref="F1056">5*LOG10(((c_light/1000/H_0_SAM)*(B1056/60)*SUMPRODUCT($J$2:$AD$2,1/SQRT(Omega_m*(1+$J$1:$AD$1*B1056)^3+Omega_L)))*(1+B1056)*100000)</f>
        <v>40.455526857958745</v>
      </c>
      <c r="G1056" s="89">
        <f t="shared" si="16"/>
        <v>-0.28097314204125468</v>
      </c>
    </row>
    <row r="1057" spans="1:7" x14ac:dyDescent="0.6">
      <c r="A1057" s="76">
        <v>17884</v>
      </c>
      <c r="B1057" s="87">
        <v>0.23788999999999999</v>
      </c>
      <c r="C1057" s="88">
        <v>40.231699999999996</v>
      </c>
      <c r="D1057" s="88">
        <v>0.17227000000000001</v>
      </c>
      <c r="E1057" s="76">
        <v>0</v>
      </c>
      <c r="F1057" s="89" cm="1">
        <f t="array" ref="F1057">5*LOG10(((c_light/1000/H_0_SAM)*(B1057/60)*SUMPRODUCT($J$2:$AD$2,1/SQRT(Omega_m*(1+$J$1:$AD$1*B1057)^3+Omega_L)))*(1+B1057)*100000)</f>
        <v>40.459961932644816</v>
      </c>
      <c r="G1057" s="89">
        <f t="shared" si="16"/>
        <v>0.22826193264481986</v>
      </c>
    </row>
    <row r="1058" spans="1:7" x14ac:dyDescent="0.6">
      <c r="A1058" s="76">
        <v>470008</v>
      </c>
      <c r="B1058" s="87">
        <v>0.23949999999999999</v>
      </c>
      <c r="C1058" s="88">
        <v>39.905900000000003</v>
      </c>
      <c r="D1058" s="88">
        <v>0.20841000000000001</v>
      </c>
      <c r="E1058" s="76">
        <v>0</v>
      </c>
      <c r="F1058" s="89" cm="1">
        <f t="array" ref="F1058">5*LOG10(((c_light/1000/H_0_SAM)*(B1058/60)*SUMPRODUCT($J$2:$AD$2,1/SQRT(Omega_m*(1+$J$1:$AD$1*B1058)^3+Omega_L)))*(1+B1058)*100000)</f>
        <v>40.476502264541274</v>
      </c>
      <c r="G1058" s="89">
        <f t="shared" si="16"/>
        <v>0.57060226454127161</v>
      </c>
    </row>
    <row r="1059" spans="1:7" x14ac:dyDescent="0.6">
      <c r="A1059" s="76">
        <v>18486</v>
      </c>
      <c r="B1059" s="87">
        <v>0.23981</v>
      </c>
      <c r="C1059" s="88">
        <v>40.130000000000003</v>
      </c>
      <c r="D1059" s="88">
        <v>0.18079000000000001</v>
      </c>
      <c r="E1059" s="76">
        <v>0</v>
      </c>
      <c r="F1059" s="89" cm="1">
        <f t="array" ref="F1059">5*LOG10(((c_light/1000/H_0_SAM)*(B1059/60)*SUMPRODUCT($J$2:$AD$2,1/SQRT(Omega_m*(1+$J$1:$AD$1*B1059)^3+Omega_L)))*(1+B1059)*100000)</f>
        <v>40.479675269948544</v>
      </c>
      <c r="G1059" s="89">
        <f t="shared" si="16"/>
        <v>0.34967526994854126</v>
      </c>
    </row>
    <row r="1060" spans="1:7" x14ac:dyDescent="0.6">
      <c r="A1060" s="76">
        <v>510251</v>
      </c>
      <c r="B1060" s="87">
        <v>0.2402</v>
      </c>
      <c r="C1060" s="88">
        <v>40.384700000000002</v>
      </c>
      <c r="D1060" s="88">
        <v>0.26423000000000002</v>
      </c>
      <c r="E1060" s="76">
        <v>0</v>
      </c>
      <c r="F1060" s="89" cm="1">
        <f t="array" ref="F1060">5*LOG10(((c_light/1000/H_0_SAM)*(B1060/60)*SUMPRODUCT($J$2:$AD$2,1/SQRT(Omega_m*(1+$J$1:$AD$1*B1060)^3+Omega_L)))*(1+B1060)*100000)</f>
        <v>40.483661746388144</v>
      </c>
      <c r="G1060" s="89">
        <f t="shared" si="16"/>
        <v>9.8961746388141592E-2</v>
      </c>
    </row>
    <row r="1061" spans="1:7" x14ac:dyDescent="0.6">
      <c r="A1061" s="76">
        <v>580300</v>
      </c>
      <c r="B1061" s="87">
        <v>0.24085000000000001</v>
      </c>
      <c r="C1061" s="88">
        <v>40.401600000000002</v>
      </c>
      <c r="D1061" s="88">
        <v>0.16674</v>
      </c>
      <c r="E1061" s="76">
        <v>0</v>
      </c>
      <c r="F1061" s="89" cm="1">
        <f t="array" ref="F1061">5*LOG10(((c_light/1000/H_0_SAM)*(B1061/60)*SUMPRODUCT($J$2:$AD$2,1/SQRT(Omega_m*(1+$J$1:$AD$1*B1061)^3+Omega_L)))*(1+B1061)*100000)</f>
        <v>40.490292627106143</v>
      </c>
      <c r="G1061" s="89">
        <f t="shared" si="16"/>
        <v>8.8692627106141231E-2</v>
      </c>
    </row>
    <row r="1062" spans="1:7" x14ac:dyDescent="0.6">
      <c r="A1062" s="76">
        <v>510550</v>
      </c>
      <c r="B1062" s="87">
        <v>0.24121999999999999</v>
      </c>
      <c r="C1062" s="88">
        <v>40.329099999999997</v>
      </c>
      <c r="D1062" s="88">
        <v>0.13064999999999999</v>
      </c>
      <c r="E1062" s="76">
        <v>0</v>
      </c>
      <c r="F1062" s="89" cm="1">
        <f t="array" ref="F1062">5*LOG10(((c_light/1000/H_0_SAM)*(B1062/60)*SUMPRODUCT($J$2:$AD$2,1/SQRT(Omega_m*(1+$J$1:$AD$1*B1062)^3+Omega_L)))*(1+B1062)*100000)</f>
        <v>40.494059760963339</v>
      </c>
      <c r="G1062" s="89">
        <f t="shared" si="16"/>
        <v>0.16495976096334175</v>
      </c>
    </row>
    <row r="1063" spans="1:7" x14ac:dyDescent="0.6">
      <c r="A1063" s="76">
        <v>460064</v>
      </c>
      <c r="B1063" s="87">
        <v>0.24151</v>
      </c>
      <c r="C1063" s="88">
        <v>40.121400000000001</v>
      </c>
      <c r="D1063" s="88">
        <v>0.18414</v>
      </c>
      <c r="E1063" s="76">
        <v>0</v>
      </c>
      <c r="F1063" s="89" cm="1">
        <f t="array" ref="F1063">5*LOG10(((c_light/1000/H_0_SAM)*(B1063/60)*SUMPRODUCT($J$2:$AD$2,1/SQRT(Omega_m*(1+$J$1:$AD$1*B1063)^3+Omega_L)))*(1+B1063)*100000)</f>
        <v>40.497008656040173</v>
      </c>
      <c r="G1063" s="89">
        <f t="shared" si="16"/>
        <v>0.37560865604017124</v>
      </c>
    </row>
    <row r="1064" spans="1:7" x14ac:dyDescent="0.6">
      <c r="A1064" s="76">
        <v>17223</v>
      </c>
      <c r="B1064" s="87">
        <v>0.24163999999999999</v>
      </c>
      <c r="C1064" s="88">
        <v>40.171999999999997</v>
      </c>
      <c r="D1064" s="88">
        <v>0.26167000000000001</v>
      </c>
      <c r="E1064" s="76">
        <v>0</v>
      </c>
      <c r="F1064" s="89" cm="1">
        <f t="array" ref="F1064">5*LOG10(((c_light/1000/H_0_SAM)*(B1064/60)*SUMPRODUCT($J$2:$AD$2,1/SQRT(Omega_m*(1+$J$1:$AD$1*B1064)^3+Omega_L)))*(1+B1064)*100000)</f>
        <v>40.498329514618099</v>
      </c>
      <c r="G1064" s="89">
        <f t="shared" si="16"/>
        <v>0.32632951461810222</v>
      </c>
    </row>
    <row r="1065" spans="1:7" x14ac:dyDescent="0.6">
      <c r="A1065" s="76">
        <v>14481</v>
      </c>
      <c r="B1065" s="87">
        <v>0.2422</v>
      </c>
      <c r="C1065" s="88">
        <v>40.564</v>
      </c>
      <c r="D1065" s="88">
        <v>0.22136</v>
      </c>
      <c r="E1065" s="76">
        <v>0</v>
      </c>
      <c r="F1065" s="89" cm="1">
        <f t="array" ref="F1065">5*LOG10(((c_light/1000/H_0_SAM)*(B1065/60)*SUMPRODUCT($J$2:$AD$2,1/SQRT(Omega_m*(1+$J$1:$AD$1*B1065)^3+Omega_L)))*(1+B1065)*100000)</f>
        <v>40.504011885694865</v>
      </c>
      <c r="G1065" s="89">
        <f t="shared" si="16"/>
        <v>-5.9988114305134843E-2</v>
      </c>
    </row>
    <row r="1066" spans="1:7" x14ac:dyDescent="0.6">
      <c r="A1066" s="76">
        <v>20111</v>
      </c>
      <c r="B1066" s="87">
        <v>0.24279999999999999</v>
      </c>
      <c r="C1066" s="88">
        <v>40.421700000000001</v>
      </c>
      <c r="D1066" s="88">
        <v>0.21986</v>
      </c>
      <c r="E1066" s="76">
        <v>0</v>
      </c>
      <c r="F1066" s="89" cm="1">
        <f t="array" ref="F1066">5*LOG10(((c_light/1000/H_0_SAM)*(B1066/60)*SUMPRODUCT($J$2:$AD$2,1/SQRT(Omega_m*(1+$J$1:$AD$1*B1066)^3+Omega_L)))*(1+B1066)*100000)</f>
        <v>40.510086711120763</v>
      </c>
      <c r="G1066" s="89">
        <f t="shared" si="16"/>
        <v>8.8386711120762129E-2</v>
      </c>
    </row>
    <row r="1067" spans="1:7" x14ac:dyDescent="0.6">
      <c r="A1067" s="76">
        <v>480064</v>
      </c>
      <c r="B1067" s="87">
        <v>0.24284</v>
      </c>
      <c r="C1067" s="88">
        <v>40.573399999999999</v>
      </c>
      <c r="D1067" s="88">
        <v>0.25912000000000002</v>
      </c>
      <c r="E1067" s="76">
        <v>0</v>
      </c>
      <c r="F1067" s="89" cm="1">
        <f t="array" ref="F1067">5*LOG10(((c_light/1000/H_0_SAM)*(B1067/60)*SUMPRODUCT($J$2:$AD$2,1/SQRT(Omega_m*(1+$J$1:$AD$1*B1067)^3+Omega_L)))*(1+B1067)*100000)</f>
        <v>40.51049120710762</v>
      </c>
      <c r="G1067" s="89">
        <f t="shared" si="16"/>
        <v>-6.2908792892379495E-2</v>
      </c>
    </row>
    <row r="1068" spans="1:7" x14ac:dyDescent="0.6">
      <c r="A1068" s="76">
        <v>20088</v>
      </c>
      <c r="B1068" s="87">
        <v>0.24329000000000001</v>
      </c>
      <c r="C1068" s="88">
        <v>40.251600000000003</v>
      </c>
      <c r="D1068" s="88">
        <v>0.14310999999999999</v>
      </c>
      <c r="E1068" s="76">
        <v>0</v>
      </c>
      <c r="F1068" s="89" cm="1">
        <f t="array" ref="F1068">5*LOG10(((c_light/1000/H_0_SAM)*(B1068/60)*SUMPRODUCT($J$2:$AD$2,1/SQRT(Omega_m*(1+$J$1:$AD$1*B1068)^3+Omega_L)))*(1+B1068)*100000)</f>
        <v>40.515037558267217</v>
      </c>
      <c r="G1068" s="89">
        <f t="shared" si="16"/>
        <v>0.26343755826721349</v>
      </c>
    </row>
    <row r="1069" spans="1:7" x14ac:dyDescent="0.6">
      <c r="A1069" s="76">
        <v>13506</v>
      </c>
      <c r="B1069" s="87">
        <v>0.24354000000000001</v>
      </c>
      <c r="C1069" s="88">
        <v>40.537999999999997</v>
      </c>
      <c r="D1069" s="88">
        <v>0.30631999999999998</v>
      </c>
      <c r="E1069" s="76">
        <v>0</v>
      </c>
      <c r="F1069" s="89" cm="1">
        <f t="array" ref="F1069">5*LOG10(((c_light/1000/H_0_SAM)*(B1069/60)*SUMPRODUCT($J$2:$AD$2,1/SQRT(Omega_m*(1+$J$1:$AD$1*B1069)^3+Omega_L)))*(1+B1069)*100000)</f>
        <v>40.517559959390759</v>
      </c>
      <c r="G1069" s="89">
        <f t="shared" si="16"/>
        <v>-2.0440040609237542E-2</v>
      </c>
    </row>
    <row r="1070" spans="1:7" x14ac:dyDescent="0.6">
      <c r="A1070" s="76">
        <v>19023</v>
      </c>
      <c r="B1070" s="87">
        <v>0.24410000000000001</v>
      </c>
      <c r="C1070" s="88">
        <v>40.2956</v>
      </c>
      <c r="D1070" s="88">
        <v>0.24281</v>
      </c>
      <c r="E1070" s="76">
        <v>0</v>
      </c>
      <c r="F1070" s="89" cm="1">
        <f t="array" ref="F1070">5*LOG10(((c_light/1000/H_0_SAM)*(B1070/60)*SUMPRODUCT($J$2:$AD$2,1/SQRT(Omega_m*(1+$J$1:$AD$1*B1070)^3+Omega_L)))*(1+B1070)*100000)</f>
        <v>40.523201484894656</v>
      </c>
      <c r="G1070" s="89">
        <f t="shared" si="16"/>
        <v>0.22760148489465593</v>
      </c>
    </row>
    <row r="1071" spans="1:7" x14ac:dyDescent="0.6">
      <c r="A1071" s="76">
        <v>15466</v>
      </c>
      <c r="B1071" s="87">
        <v>0.24443999999999999</v>
      </c>
      <c r="C1071" s="88">
        <v>40.206400000000002</v>
      </c>
      <c r="D1071" s="88">
        <v>0.22170000000000001</v>
      </c>
      <c r="E1071" s="76">
        <v>0</v>
      </c>
      <c r="F1071" s="89" cm="1">
        <f t="array" ref="F1071">5*LOG10(((c_light/1000/H_0_SAM)*(B1071/60)*SUMPRODUCT($J$2:$AD$2,1/SQRT(Omega_m*(1+$J$1:$AD$1*B1071)^3+Omega_L)))*(1+B1071)*100000)</f>
        <v>40.526620877192485</v>
      </c>
      <c r="G1071" s="89">
        <f t="shared" si="16"/>
        <v>0.32022087719248304</v>
      </c>
    </row>
    <row r="1072" spans="1:7" x14ac:dyDescent="0.6">
      <c r="A1072" s="76">
        <v>3377</v>
      </c>
      <c r="B1072" s="87">
        <v>0.24459</v>
      </c>
      <c r="C1072" s="88">
        <v>40.126300000000001</v>
      </c>
      <c r="D1072" s="88">
        <v>0.18614</v>
      </c>
      <c r="E1072" s="76">
        <v>0</v>
      </c>
      <c r="F1072" s="89" cm="1">
        <f t="array" ref="F1072">5*LOG10(((c_light/1000/H_0_SAM)*(B1072/60)*SUMPRODUCT($J$2:$AD$2,1/SQRT(Omega_m*(1+$J$1:$AD$1*B1072)^3+Omega_L)))*(1+B1072)*100000)</f>
        <v>40.528128038643217</v>
      </c>
      <c r="G1072" s="89">
        <f t="shared" si="16"/>
        <v>0.4018280386432167</v>
      </c>
    </row>
    <row r="1073" spans="1:7" x14ac:dyDescent="0.6">
      <c r="A1073" s="76">
        <v>174</v>
      </c>
      <c r="B1073" s="87">
        <v>0.24510999999999999</v>
      </c>
      <c r="C1073" s="88">
        <v>40.333599999999997</v>
      </c>
      <c r="D1073" s="88">
        <v>0.20954</v>
      </c>
      <c r="E1073" s="76">
        <v>0</v>
      </c>
      <c r="F1073" s="89" cm="1">
        <f t="array" ref="F1073">5*LOG10(((c_light/1000/H_0_SAM)*(B1073/60)*SUMPRODUCT($J$2:$AD$2,1/SQRT(Omega_m*(1+$J$1:$AD$1*B1073)^3+Omega_L)))*(1+B1073)*100000)</f>
        <v>40.533346274955122</v>
      </c>
      <c r="G1073" s="89">
        <f t="shared" si="16"/>
        <v>0.19974627495512465</v>
      </c>
    </row>
    <row r="1074" spans="1:7" x14ac:dyDescent="0.6">
      <c r="A1074" s="76">
        <v>420407</v>
      </c>
      <c r="B1074" s="87">
        <v>0.24523</v>
      </c>
      <c r="C1074" s="88">
        <v>40.495699999999999</v>
      </c>
      <c r="D1074" s="88">
        <v>0.18164</v>
      </c>
      <c r="E1074" s="76">
        <v>0</v>
      </c>
      <c r="F1074" s="89" cm="1">
        <f t="array" ref="F1074">5*LOG10(((c_light/1000/H_0_SAM)*(B1074/60)*SUMPRODUCT($J$2:$AD$2,1/SQRT(Omega_m*(1+$J$1:$AD$1*B1074)^3+Omega_L)))*(1+B1074)*100000)</f>
        <v>40.534549033669194</v>
      </c>
      <c r="G1074" s="89">
        <f t="shared" si="16"/>
        <v>3.8849033669194455E-2</v>
      </c>
    </row>
    <row r="1075" spans="1:7" x14ac:dyDescent="0.6">
      <c r="A1075" s="76">
        <v>20039</v>
      </c>
      <c r="B1075" s="87">
        <v>0.24553</v>
      </c>
      <c r="C1075" s="88">
        <v>40.358199999999997</v>
      </c>
      <c r="D1075" s="88">
        <v>0.21947</v>
      </c>
      <c r="E1075" s="76">
        <v>0</v>
      </c>
      <c r="F1075" s="89" cm="1">
        <f t="array" ref="F1075">5*LOG10(((c_light/1000/H_0_SAM)*(B1075/60)*SUMPRODUCT($J$2:$AD$2,1/SQRT(Omega_m*(1+$J$1:$AD$1*B1075)^3+Omega_L)))*(1+B1075)*100000)</f>
        <v>40.537553557973979</v>
      </c>
      <c r="G1075" s="89">
        <f t="shared" si="16"/>
        <v>0.17935355797398245</v>
      </c>
    </row>
    <row r="1076" spans="1:7" x14ac:dyDescent="0.6">
      <c r="A1076" s="76">
        <v>10</v>
      </c>
      <c r="B1076" s="87">
        <v>0.24585000000000001</v>
      </c>
      <c r="C1076" s="88">
        <v>40.431800000000003</v>
      </c>
      <c r="D1076" s="88">
        <v>0.16736000000000001</v>
      </c>
      <c r="E1076" s="76">
        <v>0</v>
      </c>
      <c r="F1076" s="89" cm="1">
        <f t="array" ref="F1076">5*LOG10(((c_light/1000/H_0_SAM)*(B1076/60)*SUMPRODUCT($J$2:$AD$2,1/SQRT(Omega_m*(1+$J$1:$AD$1*B1076)^3+Omega_L)))*(1+B1076)*100000)</f>
        <v>40.54075465544144</v>
      </c>
      <c r="G1076" s="89">
        <f t="shared" si="16"/>
        <v>0.1089546554414369</v>
      </c>
    </row>
    <row r="1077" spans="1:7" x14ac:dyDescent="0.6">
      <c r="A1077" s="76">
        <v>13835</v>
      </c>
      <c r="B1077" s="87">
        <v>0.24617</v>
      </c>
      <c r="C1077" s="88">
        <v>40.347299999999997</v>
      </c>
      <c r="D1077" s="88">
        <v>0.14942</v>
      </c>
      <c r="E1077" s="76">
        <v>0</v>
      </c>
      <c r="F1077" s="89" cm="1">
        <f t="array" ref="F1077">5*LOG10(((c_light/1000/H_0_SAM)*(B1077/60)*SUMPRODUCT($J$2:$AD$2,1/SQRT(Omega_m*(1+$J$1:$AD$1*B1077)^3+Omega_L)))*(1+B1077)*100000)</f>
        <v>40.543951913664316</v>
      </c>
      <c r="G1077" s="89">
        <f t="shared" si="16"/>
        <v>0.19665191366431856</v>
      </c>
    </row>
    <row r="1078" spans="1:7" x14ac:dyDescent="0.6">
      <c r="A1078" s="76">
        <v>15219</v>
      </c>
      <c r="B1078" s="87">
        <v>0.2465</v>
      </c>
      <c r="C1078" s="88">
        <v>40.378</v>
      </c>
      <c r="D1078" s="88">
        <v>0.17135</v>
      </c>
      <c r="E1078" s="76">
        <v>0</v>
      </c>
      <c r="F1078" s="89" cm="1">
        <f t="array" ref="F1078">5*LOG10(((c_light/1000/H_0_SAM)*(B1078/60)*SUMPRODUCT($J$2:$AD$2,1/SQRT(Omega_m*(1+$J$1:$AD$1*B1078)^3+Omega_L)))*(1+B1078)*100000)</f>
        <v>40.547245075335773</v>
      </c>
      <c r="G1078" s="89">
        <f t="shared" si="16"/>
        <v>0.16924507533577327</v>
      </c>
    </row>
    <row r="1079" spans="1:7" x14ac:dyDescent="0.6">
      <c r="A1079" s="76">
        <v>12977</v>
      </c>
      <c r="B1079" s="87">
        <v>0.24656</v>
      </c>
      <c r="C1079" s="88">
        <v>40.282899999999998</v>
      </c>
      <c r="D1079" s="88">
        <v>0.21473999999999999</v>
      </c>
      <c r="E1079" s="76">
        <v>0</v>
      </c>
      <c r="F1079" s="89" cm="1">
        <f t="array" ref="F1079">5*LOG10(((c_light/1000/H_0_SAM)*(B1079/60)*SUMPRODUCT($J$2:$AD$2,1/SQRT(Omega_m*(1+$J$1:$AD$1*B1079)^3+Omega_L)))*(1+B1079)*100000)</f>
        <v>40.54784339526671</v>
      </c>
      <c r="G1079" s="89">
        <f t="shared" si="16"/>
        <v>0.2649433952667124</v>
      </c>
    </row>
    <row r="1080" spans="1:7" x14ac:dyDescent="0.6">
      <c r="A1080" s="76" t="s">
        <v>1374</v>
      </c>
      <c r="B1080" s="87">
        <v>0.24660000000000001</v>
      </c>
      <c r="C1080" s="88">
        <v>40.390700000000002</v>
      </c>
      <c r="D1080" s="88">
        <v>0.15515000000000001</v>
      </c>
      <c r="E1080" s="76">
        <v>0</v>
      </c>
      <c r="F1080" s="89" cm="1">
        <f t="array" ref="F1080">5*LOG10(((c_light/1000/H_0_SAM)*(B1080/60)*SUMPRODUCT($J$2:$AD$2,1/SQRT(Omega_m*(1+$J$1:$AD$1*B1080)^3+Omega_L)))*(1+B1080)*100000)</f>
        <v>40.548242200648829</v>
      </c>
      <c r="G1080" s="89">
        <f t="shared" si="16"/>
        <v>0.15754220064882674</v>
      </c>
    </row>
    <row r="1081" spans="1:7" x14ac:dyDescent="0.6">
      <c r="A1081" s="76">
        <v>1334645</v>
      </c>
      <c r="B1081" s="87">
        <v>0.24711</v>
      </c>
      <c r="C1081" s="88">
        <v>40.198300000000003</v>
      </c>
      <c r="D1081" s="88">
        <v>0.13743</v>
      </c>
      <c r="E1081" s="76">
        <v>0</v>
      </c>
      <c r="F1081" s="89" cm="1">
        <f t="array" ref="F1081">5*LOG10(((c_light/1000/H_0_SAM)*(B1081/60)*SUMPRODUCT($J$2:$AD$2,1/SQRT(Omega_m*(1+$J$1:$AD$1*B1081)^3+Omega_L)))*(1+B1081)*100000)</f>
        <v>40.55332174824958</v>
      </c>
      <c r="G1081" s="89">
        <f t="shared" si="16"/>
        <v>0.35502174824957677</v>
      </c>
    </row>
    <row r="1082" spans="1:7" x14ac:dyDescent="0.6">
      <c r="A1082" s="76">
        <v>3451</v>
      </c>
      <c r="B1082" s="87">
        <v>0.24845999999999999</v>
      </c>
      <c r="C1082" s="88">
        <v>40.203000000000003</v>
      </c>
      <c r="D1082" s="88">
        <v>0.17716999999999999</v>
      </c>
      <c r="E1082" s="76">
        <v>0</v>
      </c>
      <c r="F1082" s="89" cm="1">
        <f t="array" ref="F1082">5*LOG10(((c_light/1000/H_0_SAM)*(B1082/60)*SUMPRODUCT($J$2:$AD$2,1/SQRT(Omega_m*(1+$J$1:$AD$1*B1082)^3+Omega_L)))*(1+B1082)*100000)</f>
        <v>40.566721102533165</v>
      </c>
      <c r="G1082" s="89">
        <f t="shared" si="16"/>
        <v>0.36372110253316237</v>
      </c>
    </row>
    <row r="1083" spans="1:7" x14ac:dyDescent="0.6">
      <c r="A1083" s="76">
        <v>420087</v>
      </c>
      <c r="B1083" s="87">
        <v>0.24859999999999999</v>
      </c>
      <c r="C1083" s="88">
        <v>40.491199999999999</v>
      </c>
      <c r="D1083" s="88">
        <v>0.21593000000000001</v>
      </c>
      <c r="E1083" s="76">
        <v>0</v>
      </c>
      <c r="F1083" s="89" cm="1">
        <f t="array" ref="F1083">5*LOG10(((c_light/1000/H_0_SAM)*(B1083/60)*SUMPRODUCT($J$2:$AD$2,1/SQRT(Omega_m*(1+$J$1:$AD$1*B1083)^3+Omega_L)))*(1+B1083)*100000)</f>
        <v>40.568106821722083</v>
      </c>
      <c r="G1083" s="89">
        <f t="shared" si="16"/>
        <v>7.6906821722083407E-2</v>
      </c>
    </row>
    <row r="1084" spans="1:7" x14ac:dyDescent="0.6">
      <c r="A1084" s="76">
        <v>450082</v>
      </c>
      <c r="B1084" s="87">
        <v>0.24861</v>
      </c>
      <c r="C1084" s="88">
        <v>40.427599999999998</v>
      </c>
      <c r="D1084" s="88">
        <v>0.19563</v>
      </c>
      <c r="E1084" s="76">
        <v>0</v>
      </c>
      <c r="F1084" s="89" cm="1">
        <f t="array" ref="F1084">5*LOG10(((c_light/1000/H_0_SAM)*(B1084/60)*SUMPRODUCT($J$2:$AD$2,1/SQRT(Omega_m*(1+$J$1:$AD$1*B1084)^3+Omega_L)))*(1+B1084)*100000)</f>
        <v>40.568205774134057</v>
      </c>
      <c r="G1084" s="89">
        <f t="shared" si="16"/>
        <v>0.14060577413405895</v>
      </c>
    </row>
    <row r="1085" spans="1:7" x14ac:dyDescent="0.6">
      <c r="A1085" s="76">
        <v>560152</v>
      </c>
      <c r="B1085" s="87">
        <v>0.24862000000000001</v>
      </c>
      <c r="C1085" s="88">
        <v>40.365699999999997</v>
      </c>
      <c r="D1085" s="88">
        <v>0.26156000000000001</v>
      </c>
      <c r="E1085" s="76">
        <v>0</v>
      </c>
      <c r="F1085" s="89" cm="1">
        <f t="array" ref="F1085">5*LOG10(((c_light/1000/H_0_SAM)*(B1085/60)*SUMPRODUCT($J$2:$AD$2,1/SQRT(Omega_m*(1+$J$1:$AD$1*B1085)^3+Omega_L)))*(1+B1085)*100000)</f>
        <v>40.568304722876888</v>
      </c>
      <c r="G1085" s="89">
        <f t="shared" si="16"/>
        <v>0.20260472287689169</v>
      </c>
    </row>
    <row r="1086" spans="1:7" x14ac:dyDescent="0.6">
      <c r="A1086" s="76">
        <v>15161</v>
      </c>
      <c r="B1086" s="87">
        <v>0.24865000000000001</v>
      </c>
      <c r="C1086" s="88">
        <v>40.325600000000001</v>
      </c>
      <c r="D1086" s="88">
        <v>0.17832999999999999</v>
      </c>
      <c r="E1086" s="76">
        <v>0</v>
      </c>
      <c r="F1086" s="89" cm="1">
        <f t="array" ref="F1086">5*LOG10(((c_light/1000/H_0_SAM)*(B1086/60)*SUMPRODUCT($J$2:$AD$2,1/SQRT(Omega_m*(1+$J$1:$AD$1*B1086)^3+Omega_L)))*(1+B1086)*100000)</f>
        <v>40.568601547093294</v>
      </c>
      <c r="G1086" s="89">
        <f t="shared" si="16"/>
        <v>0.24300154709329291</v>
      </c>
    </row>
    <row r="1087" spans="1:7" x14ac:dyDescent="0.6">
      <c r="A1087" s="76">
        <v>19990</v>
      </c>
      <c r="B1087" s="87">
        <v>0.24895999999999999</v>
      </c>
      <c r="C1087" s="88">
        <v>40.427</v>
      </c>
      <c r="D1087" s="88">
        <v>0.18062</v>
      </c>
      <c r="E1087" s="76">
        <v>0</v>
      </c>
      <c r="F1087" s="89" cm="1">
        <f t="array" ref="F1087">5*LOG10(((c_light/1000/H_0_SAM)*(B1087/60)*SUMPRODUCT($J$2:$AD$2,1/SQRT(Omega_m*(1+$J$1:$AD$1*B1087)^3+Omega_L)))*(1+B1087)*100000)</f>
        <v>40.571666799021749</v>
      </c>
      <c r="G1087" s="89">
        <f t="shared" si="16"/>
        <v>0.14466679902174917</v>
      </c>
    </row>
    <row r="1088" spans="1:7" x14ac:dyDescent="0.6">
      <c r="A1088" s="76">
        <v>120585</v>
      </c>
      <c r="B1088" s="87">
        <v>0.24909000000000001</v>
      </c>
      <c r="C1088" s="88">
        <v>40.316699999999997</v>
      </c>
      <c r="D1088" s="88">
        <v>0.16736000000000001</v>
      </c>
      <c r="E1088" s="76">
        <v>0</v>
      </c>
      <c r="F1088" s="89" cm="1">
        <f t="array" ref="F1088">5*LOG10(((c_light/1000/H_0_SAM)*(B1088/60)*SUMPRODUCT($J$2:$AD$2,1/SQRT(Omega_m*(1+$J$1:$AD$1*B1088)^3+Omega_L)))*(1+B1088)*100000)</f>
        <v>40.572951180234497</v>
      </c>
      <c r="G1088" s="89">
        <f t="shared" si="16"/>
        <v>0.2562511802345</v>
      </c>
    </row>
    <row r="1089" spans="1:7" x14ac:dyDescent="0.6">
      <c r="A1089" s="76">
        <v>3199</v>
      </c>
      <c r="B1089" s="87">
        <v>0.24972</v>
      </c>
      <c r="C1089" s="88">
        <v>40.673299999999998</v>
      </c>
      <c r="D1089" s="88">
        <v>0.22061</v>
      </c>
      <c r="E1089" s="76">
        <v>0</v>
      </c>
      <c r="F1089" s="89" cm="1">
        <f t="array" ref="F1089">5*LOG10(((c_light/1000/H_0_SAM)*(B1089/60)*SUMPRODUCT($J$2:$AD$2,1/SQRT(Omega_m*(1+$J$1:$AD$1*B1089)^3+Omega_L)))*(1+B1089)*100000)</f>
        <v>40.579166749240862</v>
      </c>
      <c r="G1089" s="89">
        <f t="shared" si="16"/>
        <v>-9.4133250759135478E-2</v>
      </c>
    </row>
    <row r="1090" spans="1:7" x14ac:dyDescent="0.6">
      <c r="A1090" s="76">
        <v>16106</v>
      </c>
      <c r="B1090" s="87">
        <v>0.24983</v>
      </c>
      <c r="C1090" s="88">
        <v>40.296100000000003</v>
      </c>
      <c r="D1090" s="88">
        <v>0.20680000000000001</v>
      </c>
      <c r="E1090" s="76">
        <v>0</v>
      </c>
      <c r="F1090" s="89" cm="1">
        <f t="array" ref="F1090">5*LOG10(((c_light/1000/H_0_SAM)*(B1090/60)*SUMPRODUCT($J$2:$AD$2,1/SQRT(Omega_m*(1+$J$1:$AD$1*B1090)^3+Omega_L)))*(1+B1090)*100000)</f>
        <v>40.580250524794714</v>
      </c>
      <c r="G1090" s="89">
        <f t="shared" si="16"/>
        <v>0.28415052479471115</v>
      </c>
    </row>
    <row r="1091" spans="1:7" x14ac:dyDescent="0.6">
      <c r="A1091" s="76">
        <v>15868</v>
      </c>
      <c r="B1091" s="87">
        <v>0.24986</v>
      </c>
      <c r="C1091" s="88">
        <v>40.391500000000001</v>
      </c>
      <c r="D1091" s="88">
        <v>0.16370999999999999</v>
      </c>
      <c r="E1091" s="76">
        <v>0</v>
      </c>
      <c r="F1091" s="89" cm="1">
        <f t="array" ref="F1091">5*LOG10(((c_light/1000/H_0_SAM)*(B1091/60)*SUMPRODUCT($J$2:$AD$2,1/SQRT(Omega_m*(1+$J$1:$AD$1*B1091)^3+Omega_L)))*(1+B1091)*100000)</f>
        <v>40.580546023603752</v>
      </c>
      <c r="G1091" s="89">
        <f t="shared" si="16"/>
        <v>0.18904602360375122</v>
      </c>
    </row>
    <row r="1092" spans="1:7" x14ac:dyDescent="0.6">
      <c r="A1092" s="76">
        <v>520077</v>
      </c>
      <c r="B1092" s="87">
        <v>0.25019000000000002</v>
      </c>
      <c r="C1092" s="88">
        <v>40.596499999999999</v>
      </c>
      <c r="D1092" s="88">
        <v>0.22450000000000001</v>
      </c>
      <c r="E1092" s="76">
        <v>0</v>
      </c>
      <c r="F1092" s="89" cm="1">
        <f t="array" ref="F1092">5*LOG10(((c_light/1000/H_0_SAM)*(B1092/60)*SUMPRODUCT($J$2:$AD$2,1/SQRT(Omega_m*(1+$J$1:$AD$1*B1092)^3+Omega_L)))*(1+B1092)*100000)</f>
        <v>40.583794353731044</v>
      </c>
      <c r="G1092" s="89">
        <f t="shared" si="16"/>
        <v>-1.2705646268955206E-2</v>
      </c>
    </row>
    <row r="1093" spans="1:7" x14ac:dyDescent="0.6">
      <c r="A1093" s="76">
        <v>390449</v>
      </c>
      <c r="B1093" s="87">
        <v>0.25022</v>
      </c>
      <c r="C1093" s="88">
        <v>40.376399999999997</v>
      </c>
      <c r="D1093" s="88">
        <v>0.21822</v>
      </c>
      <c r="E1093" s="76">
        <v>0</v>
      </c>
      <c r="F1093" s="89" cm="1">
        <f t="array" ref="F1093">5*LOG10(((c_light/1000/H_0_SAM)*(B1093/60)*SUMPRODUCT($J$2:$AD$2,1/SQRT(Omega_m*(1+$J$1:$AD$1*B1093)^3+Omega_L)))*(1+B1093)*100000)</f>
        <v>40.584089460596715</v>
      </c>
      <c r="G1093" s="89">
        <f t="shared" si="16"/>
        <v>0.20768946059671833</v>
      </c>
    </row>
    <row r="1094" spans="1:7" x14ac:dyDescent="0.6">
      <c r="A1094" s="76">
        <v>13689</v>
      </c>
      <c r="B1094" s="87">
        <v>0.25042999999999999</v>
      </c>
      <c r="C1094" s="88">
        <v>40.414499999999997</v>
      </c>
      <c r="D1094" s="88">
        <v>0.17962</v>
      </c>
      <c r="E1094" s="76">
        <v>0</v>
      </c>
      <c r="F1094" s="89" cm="1">
        <f t="array" ref="F1094">5*LOG10(((c_light/1000/H_0_SAM)*(B1094/60)*SUMPRODUCT($J$2:$AD$2,1/SQRT(Omega_m*(1+$J$1:$AD$1*B1094)^3+Omega_L)))*(1+B1094)*100000)</f>
        <v>40.586154295923023</v>
      </c>
      <c r="G1094" s="89">
        <f t="shared" ref="G1094:G1157" si="17">F1094-C1094</f>
        <v>0.17165429592302672</v>
      </c>
    </row>
    <row r="1095" spans="1:7" x14ac:dyDescent="0.6">
      <c r="A1095" s="76">
        <v>5717</v>
      </c>
      <c r="B1095" s="87">
        <v>0.25051000000000001</v>
      </c>
      <c r="C1095" s="88">
        <v>40.569200000000002</v>
      </c>
      <c r="D1095" s="88">
        <v>0.18873000000000001</v>
      </c>
      <c r="E1095" s="76">
        <v>0</v>
      </c>
      <c r="F1095" s="89" cm="1">
        <f t="array" ref="F1095">5*LOG10(((c_light/1000/H_0_SAM)*(B1095/60)*SUMPRODUCT($J$2:$AD$2,1/SQRT(Omega_m*(1+$J$1:$AD$1*B1095)^3+Omega_L)))*(1+B1095)*100000)</f>
        <v>40.586940480055745</v>
      </c>
      <c r="G1095" s="89">
        <f t="shared" si="17"/>
        <v>1.774048005574258E-2</v>
      </c>
    </row>
    <row r="1096" spans="1:7" x14ac:dyDescent="0.6">
      <c r="A1096" s="76">
        <v>500004</v>
      </c>
      <c r="B1096" s="87">
        <v>0.25063000000000002</v>
      </c>
      <c r="C1096" s="88">
        <v>40.300899999999999</v>
      </c>
      <c r="D1096" s="88">
        <v>0.18828</v>
      </c>
      <c r="E1096" s="76">
        <v>0</v>
      </c>
      <c r="F1096" s="89" cm="1">
        <f t="array" ref="F1096">5*LOG10(((c_light/1000/H_0_SAM)*(B1096/60)*SUMPRODUCT($J$2:$AD$2,1/SQRT(Omega_m*(1+$J$1:$AD$1*B1096)^3+Omega_L)))*(1+B1096)*100000)</f>
        <v>40.588119322435794</v>
      </c>
      <c r="G1096" s="89">
        <f t="shared" si="17"/>
        <v>0.28721932243579573</v>
      </c>
    </row>
    <row r="1097" spans="1:7" x14ac:dyDescent="0.6">
      <c r="A1097" s="76">
        <v>16213</v>
      </c>
      <c r="B1097" s="87">
        <v>0.25090000000000001</v>
      </c>
      <c r="C1097" s="88">
        <v>40.387300000000003</v>
      </c>
      <c r="D1097" s="88">
        <v>0.2026</v>
      </c>
      <c r="E1097" s="76">
        <v>0</v>
      </c>
      <c r="F1097" s="89" cm="1">
        <f t="array" ref="F1097">5*LOG10(((c_light/1000/H_0_SAM)*(B1097/60)*SUMPRODUCT($J$2:$AD$2,1/SQRT(Omega_m*(1+$J$1:$AD$1*B1097)^3+Omega_L)))*(1+B1097)*100000)</f>
        <v>40.590769816708764</v>
      </c>
      <c r="G1097" s="89">
        <f t="shared" si="17"/>
        <v>0.20346981670876119</v>
      </c>
    </row>
    <row r="1098" spans="1:7" x14ac:dyDescent="0.6">
      <c r="A1098" s="76">
        <v>17552</v>
      </c>
      <c r="B1098" s="87">
        <v>0.25198999999999999</v>
      </c>
      <c r="C1098" s="88">
        <v>40.469799999999999</v>
      </c>
      <c r="D1098" s="88">
        <v>0.20735000000000001</v>
      </c>
      <c r="E1098" s="76">
        <v>0</v>
      </c>
      <c r="F1098" s="89" cm="1">
        <f t="array" ref="F1098">5*LOG10(((c_light/1000/H_0_SAM)*(B1098/60)*SUMPRODUCT($J$2:$AD$2,1/SQRT(Omega_m*(1+$J$1:$AD$1*B1098)^3+Omega_L)))*(1+B1098)*100000)</f>
        <v>40.601443298501323</v>
      </c>
      <c r="G1098" s="89">
        <f t="shared" si="17"/>
        <v>0.13164329850132361</v>
      </c>
    </row>
    <row r="1099" spans="1:7" x14ac:dyDescent="0.6">
      <c r="A1099" s="76">
        <v>310161</v>
      </c>
      <c r="B1099" s="87">
        <v>0.25259999999999999</v>
      </c>
      <c r="C1099" s="88">
        <v>40.462200000000003</v>
      </c>
      <c r="D1099" s="88">
        <v>0.16650000000000001</v>
      </c>
      <c r="E1099" s="76">
        <v>0</v>
      </c>
      <c r="F1099" s="89" cm="1">
        <f t="array" ref="F1099">5*LOG10(((c_light/1000/H_0_SAM)*(B1099/60)*SUMPRODUCT($J$2:$AD$2,1/SQRT(Omega_m*(1+$J$1:$AD$1*B1099)^3+Omega_L)))*(1+B1099)*100000)</f>
        <v>40.607397974305783</v>
      </c>
      <c r="G1099" s="89">
        <f t="shared" si="17"/>
        <v>0.14519797430578052</v>
      </c>
    </row>
    <row r="1100" spans="1:7" x14ac:dyDescent="0.6">
      <c r="A1100" s="76">
        <v>9032</v>
      </c>
      <c r="B1100" s="87">
        <v>0.25259999999999999</v>
      </c>
      <c r="C1100" s="88">
        <v>40.406599999999997</v>
      </c>
      <c r="D1100" s="88">
        <v>0.25914999999999999</v>
      </c>
      <c r="E1100" s="76">
        <v>0</v>
      </c>
      <c r="F1100" s="89" cm="1">
        <f t="array" ref="F1100">5*LOG10(((c_light/1000/H_0_SAM)*(B1100/60)*SUMPRODUCT($J$2:$AD$2,1/SQRT(Omega_m*(1+$J$1:$AD$1*B1100)^3+Omega_L)))*(1+B1100)*100000)</f>
        <v>40.607397974305783</v>
      </c>
      <c r="G1100" s="89">
        <f t="shared" si="17"/>
        <v>0.20079797430578594</v>
      </c>
    </row>
    <row r="1101" spans="1:7" x14ac:dyDescent="0.6">
      <c r="A1101" s="76">
        <v>34</v>
      </c>
      <c r="B1101" s="87">
        <v>0.25330000000000003</v>
      </c>
      <c r="C1101" s="88">
        <v>40.3688</v>
      </c>
      <c r="D1101" s="88">
        <v>0.15705</v>
      </c>
      <c r="E1101" s="76">
        <v>0</v>
      </c>
      <c r="F1101" s="89" cm="1">
        <f t="array" ref="F1101">5*LOG10(((c_light/1000/H_0_SAM)*(B1101/60)*SUMPRODUCT($J$2:$AD$2,1/SQRT(Omega_m*(1+$J$1:$AD$1*B1101)^3+Omega_L)))*(1+B1101)*100000)</f>
        <v>40.614214899445706</v>
      </c>
      <c r="G1101" s="89">
        <f t="shared" si="17"/>
        <v>0.24541489944570571</v>
      </c>
    </row>
    <row r="1102" spans="1:7" x14ac:dyDescent="0.6">
      <c r="A1102" s="76">
        <v>17464</v>
      </c>
      <c r="B1102" s="87">
        <v>0.25358000000000003</v>
      </c>
      <c r="C1102" s="88">
        <v>40.030299999999997</v>
      </c>
      <c r="D1102" s="88">
        <v>0.26282</v>
      </c>
      <c r="E1102" s="76">
        <v>0</v>
      </c>
      <c r="F1102" s="89" cm="1">
        <f t="array" ref="F1102">5*LOG10(((c_light/1000/H_0_SAM)*(B1102/60)*SUMPRODUCT($J$2:$AD$2,1/SQRT(Omega_m*(1+$J$1:$AD$1*B1102)^3+Omega_L)))*(1+B1102)*100000)</f>
        <v>40.616936808868857</v>
      </c>
      <c r="G1102" s="89">
        <f t="shared" si="17"/>
        <v>0.58663680886886027</v>
      </c>
    </row>
    <row r="1103" spans="1:7" x14ac:dyDescent="0.6">
      <c r="A1103" s="76">
        <v>5736</v>
      </c>
      <c r="B1103" s="87">
        <v>0.25407000000000002</v>
      </c>
      <c r="C1103" s="88">
        <v>40.454599999999999</v>
      </c>
      <c r="D1103" s="88">
        <v>0.16775999999999999</v>
      </c>
      <c r="E1103" s="76">
        <v>0</v>
      </c>
      <c r="F1103" s="89" cm="1">
        <f t="array" ref="F1103">5*LOG10(((c_light/1000/H_0_SAM)*(B1103/60)*SUMPRODUCT($J$2:$AD$2,1/SQRT(Omega_m*(1+$J$1:$AD$1*B1103)^3+Omega_L)))*(1+B1103)*100000)</f>
        <v>40.62169349192299</v>
      </c>
      <c r="G1103" s="89">
        <f t="shared" si="17"/>
        <v>0.16709349192299072</v>
      </c>
    </row>
    <row r="1104" spans="1:7" x14ac:dyDescent="0.6">
      <c r="A1104" s="76">
        <v>1336480</v>
      </c>
      <c r="B1104" s="87">
        <v>0.25616</v>
      </c>
      <c r="C1104" s="88">
        <v>40.645800000000001</v>
      </c>
      <c r="D1104" s="88">
        <v>0.19417999999999999</v>
      </c>
      <c r="E1104" s="76">
        <v>0</v>
      </c>
      <c r="F1104" s="89" cm="1">
        <f t="array" ref="F1104">5*LOG10(((c_light/1000/H_0_SAM)*(B1104/60)*SUMPRODUCT($J$2:$AD$2,1/SQRT(Omega_m*(1+$J$1:$AD$1*B1104)^3+Omega_L)))*(1+B1104)*100000)</f>
        <v>40.641887728042406</v>
      </c>
      <c r="G1104" s="89">
        <f t="shared" si="17"/>
        <v>-3.9122719575956921E-3</v>
      </c>
    </row>
    <row r="1105" spans="1:7" x14ac:dyDescent="0.6">
      <c r="A1105" s="76">
        <v>1112</v>
      </c>
      <c r="B1105" s="87">
        <v>0.25619999999999998</v>
      </c>
      <c r="C1105" s="88">
        <v>40.5593</v>
      </c>
      <c r="D1105" s="88">
        <v>0.27167000000000002</v>
      </c>
      <c r="E1105" s="76">
        <v>0</v>
      </c>
      <c r="F1105" s="89" cm="1">
        <f t="array" ref="F1105">5*LOG10(((c_light/1000/H_0_SAM)*(B1105/60)*SUMPRODUCT($J$2:$AD$2,1/SQRT(Omega_m*(1+$J$1:$AD$1*B1105)^3+Omega_L)))*(1+B1105)*100000)</f>
        <v>40.642272737713363</v>
      </c>
      <c r="G1105" s="89">
        <f t="shared" si="17"/>
        <v>8.2972737713362221E-2</v>
      </c>
    </row>
    <row r="1106" spans="1:7" x14ac:dyDescent="0.6">
      <c r="A1106" s="76">
        <v>17340</v>
      </c>
      <c r="B1106" s="87">
        <v>0.25636999999999999</v>
      </c>
      <c r="C1106" s="88">
        <v>40.372900000000001</v>
      </c>
      <c r="D1106" s="88">
        <v>0.20730999999999999</v>
      </c>
      <c r="E1106" s="76">
        <v>0</v>
      </c>
      <c r="F1106" s="89" cm="1">
        <f t="array" ref="F1106">5*LOG10(((c_light/1000/H_0_SAM)*(B1106/60)*SUMPRODUCT($J$2:$AD$2,1/SQRT(Omega_m*(1+$J$1:$AD$1*B1106)^3+Omega_L)))*(1+B1106)*100000)</f>
        <v>40.643908411057588</v>
      </c>
      <c r="G1106" s="89">
        <f t="shared" si="17"/>
        <v>0.27100841105758633</v>
      </c>
    </row>
    <row r="1107" spans="1:7" x14ac:dyDescent="0.6">
      <c r="A1107" s="76">
        <v>9457</v>
      </c>
      <c r="B1107" s="87">
        <v>0.25683</v>
      </c>
      <c r="C1107" s="88">
        <v>40.502299999999998</v>
      </c>
      <c r="D1107" s="88">
        <v>0.25174000000000002</v>
      </c>
      <c r="E1107" s="76">
        <v>0</v>
      </c>
      <c r="F1107" s="89" cm="1">
        <f t="array" ref="F1107">5*LOG10(((c_light/1000/H_0_SAM)*(B1107/60)*SUMPRODUCT($J$2:$AD$2,1/SQRT(Omega_m*(1+$J$1:$AD$1*B1107)^3+Omega_L)))*(1+B1107)*100000)</f>
        <v>40.648329344387193</v>
      </c>
      <c r="G1107" s="89">
        <f t="shared" si="17"/>
        <v>0.14602934438719473</v>
      </c>
    </row>
    <row r="1108" spans="1:7" x14ac:dyDescent="0.6">
      <c r="A1108" s="76">
        <v>19207</v>
      </c>
      <c r="B1108" s="87">
        <v>0.25730999999999998</v>
      </c>
      <c r="C1108" s="88">
        <v>40.577599999999997</v>
      </c>
      <c r="D1108" s="88">
        <v>0.24995999999999999</v>
      </c>
      <c r="E1108" s="76">
        <v>0</v>
      </c>
      <c r="F1108" s="89" cm="1">
        <f t="array" ref="F1108">5*LOG10(((c_light/1000/H_0_SAM)*(B1108/60)*SUMPRODUCT($J$2:$AD$2,1/SQRT(Omega_m*(1+$J$1:$AD$1*B1108)^3+Omega_L)))*(1+B1108)*100000)</f>
        <v>40.652934719377221</v>
      </c>
      <c r="G1108" s="89">
        <f t="shared" si="17"/>
        <v>7.5334719377224246E-2</v>
      </c>
    </row>
    <row r="1109" spans="1:7" x14ac:dyDescent="0.6">
      <c r="A1109" s="76">
        <v>18325</v>
      </c>
      <c r="B1109" s="87">
        <v>0.25735999999999998</v>
      </c>
      <c r="C1109" s="88">
        <v>40.494100000000003</v>
      </c>
      <c r="D1109" s="88">
        <v>0.19361</v>
      </c>
      <c r="E1109" s="76">
        <v>0</v>
      </c>
      <c r="F1109" s="89" cm="1">
        <f t="array" ref="F1109">5*LOG10(((c_light/1000/H_0_SAM)*(B1109/60)*SUMPRODUCT($J$2:$AD$2,1/SQRT(Omega_m*(1+$J$1:$AD$1*B1109)^3+Omega_L)))*(1+B1109)*100000)</f>
        <v>40.653413990553815</v>
      </c>
      <c r="G1109" s="89">
        <f t="shared" si="17"/>
        <v>0.15931399055381235</v>
      </c>
    </row>
    <row r="1110" spans="1:7" x14ac:dyDescent="0.6">
      <c r="A1110" s="76">
        <v>8046</v>
      </c>
      <c r="B1110" s="87">
        <v>0.25772</v>
      </c>
      <c r="C1110" s="88">
        <v>40.608800000000002</v>
      </c>
      <c r="D1110" s="88">
        <v>0.22531000000000001</v>
      </c>
      <c r="E1110" s="76">
        <v>0</v>
      </c>
      <c r="F1110" s="89" cm="1">
        <f t="array" ref="F1110">5*LOG10(((c_light/1000/H_0_SAM)*(B1110/60)*SUMPRODUCT($J$2:$AD$2,1/SQRT(Omega_m*(1+$J$1:$AD$1*B1110)^3+Omega_L)))*(1+B1110)*100000)</f>
        <v>40.656862212259625</v>
      </c>
      <c r="G1110" s="89">
        <f t="shared" si="17"/>
        <v>4.8062212259623038E-2</v>
      </c>
    </row>
    <row r="1111" spans="1:7" x14ac:dyDescent="0.6">
      <c r="A1111" s="76">
        <v>6108</v>
      </c>
      <c r="B1111" s="87">
        <v>0.25813000000000003</v>
      </c>
      <c r="C1111" s="88">
        <v>40.527999999999999</v>
      </c>
      <c r="D1111" s="88">
        <v>0.23121</v>
      </c>
      <c r="E1111" s="76">
        <v>0</v>
      </c>
      <c r="F1111" s="89" cm="1">
        <f t="array" ref="F1111">5*LOG10(((c_light/1000/H_0_SAM)*(B1111/60)*SUMPRODUCT($J$2:$AD$2,1/SQRT(Omega_m*(1+$J$1:$AD$1*B1111)^3+Omega_L)))*(1+B1111)*100000)</f>
        <v>40.660783951697262</v>
      </c>
      <c r="G1111" s="89">
        <f t="shared" si="17"/>
        <v>0.13278395169726309</v>
      </c>
    </row>
    <row r="1112" spans="1:7" x14ac:dyDescent="0.6">
      <c r="A1112" s="76">
        <v>550041</v>
      </c>
      <c r="B1112" s="87">
        <v>0.25858999999999999</v>
      </c>
      <c r="C1112" s="88">
        <v>40.466299999999997</v>
      </c>
      <c r="D1112" s="88">
        <v>0.20927999999999999</v>
      </c>
      <c r="E1112" s="76">
        <v>0</v>
      </c>
      <c r="F1112" s="89" cm="1">
        <f t="array" ref="F1112">5*LOG10(((c_light/1000/H_0_SAM)*(B1112/60)*SUMPRODUCT($J$2:$AD$2,1/SQRT(Omega_m*(1+$J$1:$AD$1*B1112)^3+Omega_L)))*(1+B1112)*100000)</f>
        <v>40.665177125196372</v>
      </c>
      <c r="G1112" s="89">
        <f t="shared" si="17"/>
        <v>0.19887712519637546</v>
      </c>
    </row>
    <row r="1113" spans="1:7" x14ac:dyDescent="0.6">
      <c r="A1113" s="76">
        <v>1297026</v>
      </c>
      <c r="B1113" s="87">
        <v>0.25864999999999999</v>
      </c>
      <c r="C1113" s="88">
        <v>40.51</v>
      </c>
      <c r="D1113" s="88">
        <v>0.14979000000000001</v>
      </c>
      <c r="E1113" s="76">
        <v>0</v>
      </c>
      <c r="F1113" s="89" cm="1">
        <f t="array" ref="F1113">5*LOG10(((c_light/1000/H_0_SAM)*(B1113/60)*SUMPRODUCT($J$2:$AD$2,1/SQRT(Omega_m*(1+$J$1:$AD$1*B1113)^3+Omega_L)))*(1+B1113)*100000)</f>
        <v>40.66574961683127</v>
      </c>
      <c r="G1113" s="89">
        <f t="shared" si="17"/>
        <v>0.15574961683127242</v>
      </c>
    </row>
    <row r="1114" spans="1:7" x14ac:dyDescent="0.6">
      <c r="A1114" s="76">
        <v>1303883</v>
      </c>
      <c r="B1114" s="87">
        <v>0.25903999999999999</v>
      </c>
      <c r="C1114" s="88">
        <v>40.541800000000002</v>
      </c>
      <c r="D1114" s="88">
        <v>0.16370000000000001</v>
      </c>
      <c r="E1114" s="76">
        <v>0</v>
      </c>
      <c r="F1114" s="89" cm="1">
        <f t="array" ref="F1114">5*LOG10(((c_light/1000/H_0_SAM)*(B1114/60)*SUMPRODUCT($J$2:$AD$2,1/SQRT(Omega_m*(1+$J$1:$AD$1*B1114)^3+Omega_L)))*(1+B1114)*100000)</f>
        <v>40.669467832366344</v>
      </c>
      <c r="G1114" s="89">
        <f t="shared" si="17"/>
        <v>0.12766783236634183</v>
      </c>
    </row>
    <row r="1115" spans="1:7" x14ac:dyDescent="0.6">
      <c r="A1115" s="76">
        <v>1289664</v>
      </c>
      <c r="B1115" s="87">
        <v>0.25918999999999998</v>
      </c>
      <c r="C1115" s="88">
        <v>40.2879</v>
      </c>
      <c r="D1115" s="88">
        <v>0.17860000000000001</v>
      </c>
      <c r="E1115" s="76">
        <v>0</v>
      </c>
      <c r="F1115" s="89" cm="1">
        <f t="array" ref="F1115">5*LOG10(((c_light/1000/H_0_SAM)*(B1115/60)*SUMPRODUCT($J$2:$AD$2,1/SQRT(Omega_m*(1+$J$1:$AD$1*B1115)^3+Omega_L)))*(1+B1115)*100000)</f>
        <v>40.670896541887629</v>
      </c>
      <c r="G1115" s="89">
        <f t="shared" si="17"/>
        <v>0.38299654188762844</v>
      </c>
    </row>
    <row r="1116" spans="1:7" x14ac:dyDescent="0.6">
      <c r="A1116" s="76">
        <v>1335694</v>
      </c>
      <c r="B1116" s="87">
        <v>0.25923000000000002</v>
      </c>
      <c r="C1116" s="88">
        <v>40.4255</v>
      </c>
      <c r="D1116" s="88">
        <v>0.16294</v>
      </c>
      <c r="E1116" s="76">
        <v>0</v>
      </c>
      <c r="F1116" s="89" cm="1">
        <f t="array" ref="F1116">5*LOG10(((c_light/1000/H_0_SAM)*(B1116/60)*SUMPRODUCT($J$2:$AD$2,1/SQRT(Omega_m*(1+$J$1:$AD$1*B1116)^3+Omega_L)))*(1+B1116)*100000)</f>
        <v>40.671277402418866</v>
      </c>
      <c r="G1116" s="89">
        <f t="shared" si="17"/>
        <v>0.24577740241886659</v>
      </c>
    </row>
    <row r="1117" spans="1:7" x14ac:dyDescent="0.6">
      <c r="A1117" s="76">
        <v>12972</v>
      </c>
      <c r="B1117" s="87">
        <v>0.25947999999999999</v>
      </c>
      <c r="C1117" s="88">
        <v>40.523800000000001</v>
      </c>
      <c r="D1117" s="88">
        <v>0.23383999999999999</v>
      </c>
      <c r="E1117" s="76">
        <v>0</v>
      </c>
      <c r="F1117" s="89" cm="1">
        <f t="array" ref="F1117">5*LOG10(((c_light/1000/H_0_SAM)*(B1117/60)*SUMPRODUCT($J$2:$AD$2,1/SQRT(Omega_m*(1+$J$1:$AD$1*B1117)^3+Omega_L)))*(1+B1117)*100000)</f>
        <v>40.67365655459264</v>
      </c>
      <c r="G1117" s="89">
        <f t="shared" si="17"/>
        <v>0.14985655459263825</v>
      </c>
    </row>
    <row r="1118" spans="1:7" x14ac:dyDescent="0.6">
      <c r="A1118" s="76">
        <v>1330426</v>
      </c>
      <c r="B1118" s="87">
        <v>0.25951999999999997</v>
      </c>
      <c r="C1118" s="88">
        <v>40.442</v>
      </c>
      <c r="D1118" s="88">
        <v>0.16997999999999999</v>
      </c>
      <c r="E1118" s="76">
        <v>0</v>
      </c>
      <c r="F1118" s="89" cm="1">
        <f t="array" ref="F1118">5*LOG10(((c_light/1000/H_0_SAM)*(B1118/60)*SUMPRODUCT($J$2:$AD$2,1/SQRT(Omega_m*(1+$J$1:$AD$1*B1118)^3+Omega_L)))*(1+B1118)*100000)</f>
        <v>40.674037022917595</v>
      </c>
      <c r="G1118" s="89">
        <f t="shared" si="17"/>
        <v>0.23203702291759498</v>
      </c>
    </row>
    <row r="1119" spans="1:7" x14ac:dyDescent="0.6">
      <c r="A1119" s="76">
        <v>20176</v>
      </c>
      <c r="B1119" s="87">
        <v>0.26062000000000002</v>
      </c>
      <c r="C1119" s="88">
        <v>40.503300000000003</v>
      </c>
      <c r="D1119" s="88">
        <v>0.17129</v>
      </c>
      <c r="E1119" s="76">
        <v>0</v>
      </c>
      <c r="F1119" s="89" cm="1">
        <f t="array" ref="F1119">5*LOG10(((c_light/1000/H_0_SAM)*(B1119/60)*SUMPRODUCT($J$2:$AD$2,1/SQRT(Omega_m*(1+$J$1:$AD$1*B1119)^3+Omega_L)))*(1+B1119)*100000)</f>
        <v>40.684478783927915</v>
      </c>
      <c r="G1119" s="89">
        <f t="shared" si="17"/>
        <v>0.18117878392791198</v>
      </c>
    </row>
    <row r="1120" spans="1:7" x14ac:dyDescent="0.6">
      <c r="A1120" s="76">
        <v>370498</v>
      </c>
      <c r="B1120" s="87">
        <v>0.26094000000000001</v>
      </c>
      <c r="C1120" s="88">
        <v>40.6128</v>
      </c>
      <c r="D1120" s="88">
        <v>0.18593000000000001</v>
      </c>
      <c r="E1120" s="76">
        <v>0</v>
      </c>
      <c r="F1120" s="89" cm="1">
        <f t="array" ref="F1120">5*LOG10(((c_light/1000/H_0_SAM)*(B1120/60)*SUMPRODUCT($J$2:$AD$2,1/SQRT(Omega_m*(1+$J$1:$AD$1*B1120)^3+Omega_L)))*(1+B1120)*100000)</f>
        <v>40.687508762410815</v>
      </c>
      <c r="G1120" s="89">
        <f t="shared" si="17"/>
        <v>7.47087624108147E-2</v>
      </c>
    </row>
    <row r="1121" spans="1:7" x14ac:dyDescent="0.6">
      <c r="A1121" s="76">
        <v>15440</v>
      </c>
      <c r="B1121" s="87">
        <v>0.26140999999999998</v>
      </c>
      <c r="C1121" s="88">
        <v>40.447000000000003</v>
      </c>
      <c r="D1121" s="88">
        <v>0.20752999999999999</v>
      </c>
      <c r="E1121" s="76">
        <v>0</v>
      </c>
      <c r="F1121" s="89" cm="1">
        <f t="array" ref="F1121">5*LOG10(((c_light/1000/H_0_SAM)*(B1121/60)*SUMPRODUCT($J$2:$AD$2,1/SQRT(Omega_m*(1+$J$1:$AD$1*B1121)^3+Omega_L)))*(1+B1121)*100000)</f>
        <v>40.691952841999345</v>
      </c>
      <c r="G1121" s="89">
        <f t="shared" si="17"/>
        <v>0.24495284199934275</v>
      </c>
    </row>
    <row r="1122" spans="1:7" x14ac:dyDescent="0.6">
      <c r="A1122" s="76">
        <v>1337649</v>
      </c>
      <c r="B1122" s="87">
        <v>0.26162000000000002</v>
      </c>
      <c r="C1122" s="88">
        <v>40.418199999999999</v>
      </c>
      <c r="D1122" s="88">
        <v>0.22553999999999999</v>
      </c>
      <c r="E1122" s="76">
        <v>0</v>
      </c>
      <c r="F1122" s="89" cm="1">
        <f t="array" ref="F1122">5*LOG10(((c_light/1000/H_0_SAM)*(B1122/60)*SUMPRODUCT($J$2:$AD$2,1/SQRT(Omega_m*(1+$J$1:$AD$1*B1122)^3+Omega_L)))*(1+B1122)*100000)</f>
        <v>40.693936115460232</v>
      </c>
      <c r="G1122" s="89">
        <f t="shared" si="17"/>
        <v>0.27573611546023358</v>
      </c>
    </row>
    <row r="1123" spans="1:7" x14ac:dyDescent="0.6">
      <c r="A1123" s="76">
        <v>2017</v>
      </c>
      <c r="B1123" s="87">
        <v>0.26172000000000001</v>
      </c>
      <c r="C1123" s="88">
        <v>40.687399999999997</v>
      </c>
      <c r="D1123" s="88">
        <v>0.25894</v>
      </c>
      <c r="E1123" s="76">
        <v>0</v>
      </c>
      <c r="F1123" s="89" cm="1">
        <f t="array" ref="F1123">5*LOG10(((c_light/1000/H_0_SAM)*(B1123/60)*SUMPRODUCT($J$2:$AD$2,1/SQRT(Omega_m*(1+$J$1:$AD$1*B1123)^3+Omega_L)))*(1+B1123)*100000)</f>
        <v>40.694880015908758</v>
      </c>
      <c r="G1123" s="89">
        <f t="shared" si="17"/>
        <v>7.4800159087615725E-3</v>
      </c>
    </row>
    <row r="1124" spans="1:7" x14ac:dyDescent="0.6">
      <c r="A1124" s="76">
        <v>19702</v>
      </c>
      <c r="B1124" s="87">
        <v>0.26173000000000002</v>
      </c>
      <c r="C1124" s="88">
        <v>40.680999999999997</v>
      </c>
      <c r="D1124" s="88">
        <v>0.23329</v>
      </c>
      <c r="E1124" s="76">
        <v>0</v>
      </c>
      <c r="F1124" s="89" cm="1">
        <f t="array" ref="F1124">5*LOG10(((c_light/1000/H_0_SAM)*(B1124/60)*SUMPRODUCT($J$2:$AD$2,1/SQRT(Omega_m*(1+$J$1:$AD$1*B1124)^3+Omega_L)))*(1+B1124)*100000)</f>
        <v>40.694974387676588</v>
      </c>
      <c r="G1124" s="89">
        <f t="shared" si="17"/>
        <v>1.3974387676590538E-2</v>
      </c>
    </row>
    <row r="1125" spans="1:7" x14ac:dyDescent="0.6">
      <c r="A1125" s="76">
        <v>1253</v>
      </c>
      <c r="B1125" s="87">
        <v>0.26174999999999998</v>
      </c>
      <c r="C1125" s="88">
        <v>40.392000000000003</v>
      </c>
      <c r="D1125" s="88">
        <v>0.22603000000000001</v>
      </c>
      <c r="E1125" s="76">
        <v>0</v>
      </c>
      <c r="F1125" s="89" cm="1">
        <f t="array" ref="F1125">5*LOG10(((c_light/1000/H_0_SAM)*(B1125/60)*SUMPRODUCT($J$2:$AD$2,1/SQRT(Omega_m*(1+$J$1:$AD$1*B1125)^3+Omega_L)))*(1+B1125)*100000)</f>
        <v>40.695163121246139</v>
      </c>
      <c r="G1125" s="89">
        <f t="shared" si="17"/>
        <v>0.30316312124613631</v>
      </c>
    </row>
    <row r="1126" spans="1:7" x14ac:dyDescent="0.6">
      <c r="A1126" s="76">
        <v>13655</v>
      </c>
      <c r="B1126" s="87">
        <v>0.26184000000000002</v>
      </c>
      <c r="C1126" s="88">
        <v>40.6935</v>
      </c>
      <c r="D1126" s="88">
        <v>0.24912999999999999</v>
      </c>
      <c r="E1126" s="76">
        <v>0</v>
      </c>
      <c r="F1126" s="89" cm="1">
        <f t="array" ref="F1126">5*LOG10(((c_light/1000/H_0_SAM)*(B1126/60)*SUMPRODUCT($J$2:$AD$2,1/SQRT(Omega_m*(1+$J$1:$AD$1*B1126)^3+Omega_L)))*(1+B1126)*100000)</f>
        <v>40.696012257916998</v>
      </c>
      <c r="G1126" s="89">
        <f t="shared" si="17"/>
        <v>2.5122579169973847E-3</v>
      </c>
    </row>
    <row r="1127" spans="1:7" x14ac:dyDescent="0.6">
      <c r="A1127" s="76">
        <v>18945</v>
      </c>
      <c r="B1127" s="87">
        <v>0.26200000000000001</v>
      </c>
      <c r="C1127" s="88">
        <v>40.721600000000002</v>
      </c>
      <c r="D1127" s="88">
        <v>0.21689</v>
      </c>
      <c r="E1127" s="76">
        <v>0</v>
      </c>
      <c r="F1127" s="89" cm="1">
        <f t="array" ref="F1127">5*LOG10(((c_light/1000/H_0_SAM)*(B1127/60)*SUMPRODUCT($J$2:$AD$2,1/SQRT(Omega_m*(1+$J$1:$AD$1*B1127)^3+Omega_L)))*(1+B1127)*100000)</f>
        <v>40.697521170450429</v>
      </c>
      <c r="G1127" s="89">
        <f t="shared" si="17"/>
        <v>-2.40788295495733E-2</v>
      </c>
    </row>
    <row r="1128" spans="1:7" x14ac:dyDescent="0.6">
      <c r="A1128" s="76">
        <v>13956</v>
      </c>
      <c r="B1128" s="87">
        <v>0.26302999999999999</v>
      </c>
      <c r="C1128" s="88">
        <v>41.264099999999999</v>
      </c>
      <c r="D1128" s="88">
        <v>0.51463000000000003</v>
      </c>
      <c r="E1128" s="76">
        <v>0</v>
      </c>
      <c r="F1128" s="89" cm="1">
        <f t="array" ref="F1128">5*LOG10(((c_light/1000/H_0_SAM)*(B1128/60)*SUMPRODUCT($J$2:$AD$2,1/SQRT(Omega_m*(1+$J$1:$AD$1*B1128)^3+Omega_L)))*(1+B1128)*100000)</f>
        <v>40.707214519048101</v>
      </c>
      <c r="G1128" s="89">
        <f t="shared" si="17"/>
        <v>-0.55688548095189816</v>
      </c>
    </row>
    <row r="1129" spans="1:7" x14ac:dyDescent="0.6">
      <c r="A1129" s="76">
        <v>520019</v>
      </c>
      <c r="B1129" s="87">
        <v>0.26323000000000002</v>
      </c>
      <c r="C1129" s="88">
        <v>40.638800000000003</v>
      </c>
      <c r="D1129" s="88">
        <v>0.17008999999999999</v>
      </c>
      <c r="E1129" s="76">
        <v>0</v>
      </c>
      <c r="F1129" s="89" cm="1">
        <f t="array" ref="F1129">5*LOG10(((c_light/1000/H_0_SAM)*(B1129/60)*SUMPRODUCT($J$2:$AD$2,1/SQRT(Omega_m*(1+$J$1:$AD$1*B1129)^3+Omega_L)))*(1+B1129)*100000)</f>
        <v>40.709092667100897</v>
      </c>
      <c r="G1129" s="89">
        <f t="shared" si="17"/>
        <v>7.029266710089388E-2</v>
      </c>
    </row>
    <row r="1130" spans="1:7" x14ac:dyDescent="0.6">
      <c r="A1130" s="76" t="s">
        <v>1375</v>
      </c>
      <c r="B1130" s="87">
        <v>0.2636</v>
      </c>
      <c r="C1130" s="88">
        <v>40.399700000000003</v>
      </c>
      <c r="D1130" s="88">
        <v>0.17735000000000001</v>
      </c>
      <c r="E1130" s="76">
        <v>0</v>
      </c>
      <c r="F1130" s="89" cm="1">
        <f t="array" ref="F1130">5*LOG10(((c_light/1000/H_0_SAM)*(B1130/60)*SUMPRODUCT($J$2:$AD$2,1/SQRT(Omega_m*(1+$J$1:$AD$1*B1130)^3+Omega_L)))*(1+B1130)*100000)</f>
        <v>40.712563777684409</v>
      </c>
      <c r="G1130" s="89">
        <f t="shared" si="17"/>
        <v>0.31286377768440587</v>
      </c>
    </row>
    <row r="1131" spans="1:7" x14ac:dyDescent="0.6">
      <c r="A1131" s="76">
        <v>350235</v>
      </c>
      <c r="B1131" s="87">
        <v>0.26393</v>
      </c>
      <c r="C1131" s="88">
        <v>40.558799999999998</v>
      </c>
      <c r="D1131" s="88">
        <v>0.16769999999999999</v>
      </c>
      <c r="E1131" s="76">
        <v>0</v>
      </c>
      <c r="F1131" s="89" cm="1">
        <f t="array" ref="F1131">5*LOG10(((c_light/1000/H_0_SAM)*(B1131/60)*SUMPRODUCT($J$2:$AD$2,1/SQRT(Omega_m*(1+$J$1:$AD$1*B1131)^3+Omega_L)))*(1+B1131)*100000)</f>
        <v>40.715655848006037</v>
      </c>
      <c r="G1131" s="89">
        <f t="shared" si="17"/>
        <v>0.15685584800603891</v>
      </c>
    </row>
    <row r="1132" spans="1:7" x14ac:dyDescent="0.6">
      <c r="A1132" s="76">
        <v>330022</v>
      </c>
      <c r="B1132" s="87">
        <v>0.26396999999999998</v>
      </c>
      <c r="C1132" s="88">
        <v>40.3035</v>
      </c>
      <c r="D1132" s="88">
        <v>0.20584</v>
      </c>
      <c r="E1132" s="76">
        <v>0</v>
      </c>
      <c r="F1132" s="89" cm="1">
        <f t="array" ref="F1132">5*LOG10(((c_light/1000/H_0_SAM)*(B1132/60)*SUMPRODUCT($J$2:$AD$2,1/SQRT(Omega_m*(1+$J$1:$AD$1*B1132)^3+Omega_L)))*(1+B1132)*100000)</f>
        <v>40.716030402339783</v>
      </c>
      <c r="G1132" s="89">
        <f t="shared" si="17"/>
        <v>0.41253040233978311</v>
      </c>
    </row>
    <row r="1133" spans="1:7" x14ac:dyDescent="0.6">
      <c r="A1133" s="76">
        <v>12983</v>
      </c>
      <c r="B1133" s="87">
        <v>0.26407999999999998</v>
      </c>
      <c r="C1133" s="88">
        <v>40.6342</v>
      </c>
      <c r="D1133" s="88">
        <v>0.38105</v>
      </c>
      <c r="E1133" s="76">
        <v>0</v>
      </c>
      <c r="F1133" s="89" cm="1">
        <f t="array" ref="F1133">5*LOG10(((c_light/1000/H_0_SAM)*(B1133/60)*SUMPRODUCT($J$2:$AD$2,1/SQRT(Omega_m*(1+$J$1:$AD$1*B1133)^3+Omega_L)))*(1+B1133)*100000)</f>
        <v>40.717060157199036</v>
      </c>
      <c r="G1133" s="89">
        <f t="shared" si="17"/>
        <v>8.2860157199036166E-2</v>
      </c>
    </row>
    <row r="1134" spans="1:7" x14ac:dyDescent="0.6">
      <c r="A1134" s="76">
        <v>2943</v>
      </c>
      <c r="B1134" s="87">
        <v>0.26418999999999998</v>
      </c>
      <c r="C1134" s="88">
        <v>40.507399999999997</v>
      </c>
      <c r="D1134" s="88">
        <v>0.23846000000000001</v>
      </c>
      <c r="E1134" s="76">
        <v>0</v>
      </c>
      <c r="F1134" s="89" cm="1">
        <f t="array" ref="F1134">5*LOG10(((c_light/1000/H_0_SAM)*(B1134/60)*SUMPRODUCT($J$2:$AD$2,1/SQRT(Omega_m*(1+$J$1:$AD$1*B1134)^3+Omega_L)))*(1+B1134)*100000)</f>
        <v>40.718089516955999</v>
      </c>
      <c r="G1134" s="89">
        <f t="shared" si="17"/>
        <v>0.21068951695600191</v>
      </c>
    </row>
    <row r="1135" spans="1:7" x14ac:dyDescent="0.6">
      <c r="A1135" s="76">
        <v>110478</v>
      </c>
      <c r="B1135" s="87">
        <v>0.2646</v>
      </c>
      <c r="C1135" s="88">
        <v>40.515300000000003</v>
      </c>
      <c r="D1135" s="88">
        <v>0.19797000000000001</v>
      </c>
      <c r="E1135" s="76">
        <v>0</v>
      </c>
      <c r="F1135" s="89" cm="1">
        <f t="array" ref="F1135">5*LOG10(((c_light/1000/H_0_SAM)*(B1135/60)*SUMPRODUCT($J$2:$AD$2,1/SQRT(Omega_m*(1+$J$1:$AD$1*B1135)^3+Omega_L)))*(1+B1135)*100000)</f>
        <v>40.721922746018251</v>
      </c>
      <c r="G1135" s="89">
        <f t="shared" si="17"/>
        <v>0.20662274601824748</v>
      </c>
    </row>
    <row r="1136" spans="1:7" x14ac:dyDescent="0.6">
      <c r="A1136" s="76">
        <v>13099</v>
      </c>
      <c r="B1136" s="87">
        <v>0.26462999999999998</v>
      </c>
      <c r="C1136" s="88">
        <v>40.671900000000001</v>
      </c>
      <c r="D1136" s="88">
        <v>0.25646999999999998</v>
      </c>
      <c r="E1136" s="76">
        <v>0</v>
      </c>
      <c r="F1136" s="89" cm="1">
        <f t="array" ref="F1136">5*LOG10(((c_light/1000/H_0_SAM)*(B1136/60)*SUMPRODUCT($J$2:$AD$2,1/SQRT(Omega_m*(1+$J$1:$AD$1*B1136)^3+Omega_L)))*(1+B1136)*100000)</f>
        <v>40.722203011301005</v>
      </c>
      <c r="G1136" s="89">
        <f t="shared" si="17"/>
        <v>5.0303011301004119E-2</v>
      </c>
    </row>
    <row r="1137" spans="1:7" x14ac:dyDescent="0.6">
      <c r="A1137" s="76">
        <v>2422</v>
      </c>
      <c r="B1137" s="87">
        <v>0.26582</v>
      </c>
      <c r="C1137" s="88">
        <v>40.608699999999999</v>
      </c>
      <c r="D1137" s="88">
        <v>0.21973000000000001</v>
      </c>
      <c r="E1137" s="76">
        <v>0</v>
      </c>
      <c r="F1137" s="89" cm="1">
        <f t="array" ref="F1137">5*LOG10(((c_light/1000/H_0_SAM)*(B1137/60)*SUMPRODUCT($J$2:$AD$2,1/SQRT(Omega_m*(1+$J$1:$AD$1*B1137)^3+Omega_L)))*(1+B1137)*100000)</f>
        <v>40.73329665924085</v>
      </c>
      <c r="G1137" s="89">
        <f t="shared" si="17"/>
        <v>0.12459665924085073</v>
      </c>
    </row>
    <row r="1138" spans="1:7" x14ac:dyDescent="0.6">
      <c r="A1138" s="76">
        <v>6315</v>
      </c>
      <c r="B1138" s="87">
        <v>0.26583000000000001</v>
      </c>
      <c r="C1138" s="88">
        <v>40.324399999999997</v>
      </c>
      <c r="D1138" s="88">
        <v>0.20610999999999999</v>
      </c>
      <c r="E1138" s="76">
        <v>0</v>
      </c>
      <c r="F1138" s="89" cm="1">
        <f t="array" ref="F1138">5*LOG10(((c_light/1000/H_0_SAM)*(B1138/60)*SUMPRODUCT($J$2:$AD$2,1/SQRT(Omega_m*(1+$J$1:$AD$1*B1138)^3+Omega_L)))*(1+B1138)*100000)</f>
        <v>40.733389689166906</v>
      </c>
      <c r="G1138" s="89">
        <f t="shared" si="17"/>
        <v>0.40898968916690848</v>
      </c>
    </row>
    <row r="1139" spans="1:7" x14ac:dyDescent="0.6">
      <c r="A1139" s="76">
        <v>1334087</v>
      </c>
      <c r="B1139" s="87">
        <v>0.26640000000000003</v>
      </c>
      <c r="C1139" s="88">
        <v>40.290100000000002</v>
      </c>
      <c r="D1139" s="88">
        <v>0.26497999999999999</v>
      </c>
      <c r="E1139" s="76">
        <v>0</v>
      </c>
      <c r="F1139" s="89" cm="1">
        <f t="array" ref="F1139">5*LOG10(((c_light/1000/H_0_SAM)*(B1139/60)*SUMPRODUCT($J$2:$AD$2,1/SQRT(Omega_m*(1+$J$1:$AD$1*B1139)^3+Omega_L)))*(1+B1139)*100000)</f>
        <v>40.738687072933793</v>
      </c>
      <c r="G1139" s="89">
        <f t="shared" si="17"/>
        <v>0.44858707293379041</v>
      </c>
    </row>
    <row r="1140" spans="1:7" x14ac:dyDescent="0.6">
      <c r="A1140" s="76">
        <v>18463</v>
      </c>
      <c r="B1140" s="87">
        <v>0.26700000000000002</v>
      </c>
      <c r="C1140" s="88">
        <v>40.546300000000002</v>
      </c>
      <c r="D1140" s="88">
        <v>0.2049</v>
      </c>
      <c r="E1140" s="76">
        <v>0</v>
      </c>
      <c r="F1140" s="89" cm="1">
        <f t="array" ref="F1140">5*LOG10(((c_light/1000/H_0_SAM)*(B1140/60)*SUMPRODUCT($J$2:$AD$2,1/SQRT(Omega_m*(1+$J$1:$AD$1*B1140)^3+Omega_L)))*(1+B1140)*100000)</f>
        <v>40.74425199767235</v>
      </c>
      <c r="G1140" s="89">
        <f t="shared" si="17"/>
        <v>0.19795199767234806</v>
      </c>
    </row>
    <row r="1141" spans="1:7" x14ac:dyDescent="0.6">
      <c r="A1141" s="76">
        <v>1309288</v>
      </c>
      <c r="B1141" s="87">
        <v>0.26790999999999998</v>
      </c>
      <c r="C1141" s="88">
        <v>40.510300000000001</v>
      </c>
      <c r="D1141" s="88">
        <v>0.20205999999999999</v>
      </c>
      <c r="E1141" s="76">
        <v>0</v>
      </c>
      <c r="F1141" s="89" cm="1">
        <f t="array" ref="F1141">5*LOG10(((c_light/1000/H_0_SAM)*(B1141/60)*SUMPRODUCT($J$2:$AD$2,1/SQRT(Omega_m*(1+$J$1:$AD$1*B1141)^3+Omega_L)))*(1+B1141)*100000)</f>
        <v>40.752670186329155</v>
      </c>
      <c r="G1141" s="89">
        <f t="shared" si="17"/>
        <v>0.24237018632915408</v>
      </c>
    </row>
    <row r="1142" spans="1:7" x14ac:dyDescent="0.6">
      <c r="A1142" s="76">
        <v>520023</v>
      </c>
      <c r="B1142" s="87">
        <v>0.26817999999999997</v>
      </c>
      <c r="C1142" s="88">
        <v>40.462299999999999</v>
      </c>
      <c r="D1142" s="88">
        <v>0.23204</v>
      </c>
      <c r="E1142" s="76">
        <v>0</v>
      </c>
      <c r="F1142" s="89" cm="1">
        <f t="array" ref="F1142">5*LOG10(((c_light/1000/H_0_SAM)*(B1142/60)*SUMPRODUCT($J$2:$AD$2,1/SQRT(Omega_m*(1+$J$1:$AD$1*B1142)^3+Omega_L)))*(1+B1142)*100000)</f>
        <v>40.755162823691499</v>
      </c>
      <c r="G1142" s="89">
        <f t="shared" si="17"/>
        <v>0.2928628236915003</v>
      </c>
    </row>
    <row r="1143" spans="1:7" x14ac:dyDescent="0.6">
      <c r="A1143" s="76">
        <v>530037</v>
      </c>
      <c r="B1143" s="87">
        <v>0.26859</v>
      </c>
      <c r="C1143" s="88">
        <v>40.579000000000001</v>
      </c>
      <c r="D1143" s="88">
        <v>0.19114</v>
      </c>
      <c r="E1143" s="76">
        <v>0</v>
      </c>
      <c r="F1143" s="89" cm="1">
        <f t="array" ref="F1143">5*LOG10(((c_light/1000/H_0_SAM)*(B1143/60)*SUMPRODUCT($J$2:$AD$2,1/SQRT(Omega_m*(1+$J$1:$AD$1*B1143)^3+Omega_L)))*(1+B1143)*100000)</f>
        <v>40.758943522578491</v>
      </c>
      <c r="G1143" s="89">
        <f t="shared" si="17"/>
        <v>0.17994352257849044</v>
      </c>
    </row>
    <row r="1144" spans="1:7" x14ac:dyDescent="0.6">
      <c r="A1144" s="76" t="s">
        <v>1376</v>
      </c>
      <c r="B1144" s="87">
        <v>0.26860000000000001</v>
      </c>
      <c r="C1144" s="88">
        <v>40.455300000000001</v>
      </c>
      <c r="D1144" s="88">
        <v>0.2404</v>
      </c>
      <c r="E1144" s="76">
        <v>0</v>
      </c>
      <c r="F1144" s="89" cm="1">
        <f t="array" ref="F1144">5*LOG10(((c_light/1000/H_0_SAM)*(B1144/60)*SUMPRODUCT($J$2:$AD$2,1/SQRT(Omega_m*(1+$J$1:$AD$1*B1144)^3+Omega_L)))*(1+B1144)*100000)</f>
        <v>40.75903566831456</v>
      </c>
      <c r="G1144" s="89">
        <f t="shared" si="17"/>
        <v>0.30373566831455889</v>
      </c>
    </row>
    <row r="1145" spans="1:7" x14ac:dyDescent="0.6">
      <c r="A1145" s="76">
        <v>14298</v>
      </c>
      <c r="B1145" s="87">
        <v>0.26887</v>
      </c>
      <c r="C1145" s="88">
        <v>40.603900000000003</v>
      </c>
      <c r="D1145" s="88">
        <v>0.21715999999999999</v>
      </c>
      <c r="E1145" s="76">
        <v>0</v>
      </c>
      <c r="F1145" s="89" cm="1">
        <f t="array" ref="F1145">5*LOG10(((c_light/1000/H_0_SAM)*(B1145/60)*SUMPRODUCT($J$2:$AD$2,1/SQRT(Omega_m*(1+$J$1:$AD$1*B1145)^3+Omega_L)))*(1+B1145)*100000)</f>
        <v>40.761522409386892</v>
      </c>
      <c r="G1145" s="89">
        <f t="shared" si="17"/>
        <v>0.15762240938688876</v>
      </c>
    </row>
    <row r="1146" spans="1:7" x14ac:dyDescent="0.6">
      <c r="A1146" s="76">
        <v>510638</v>
      </c>
      <c r="B1146" s="87">
        <v>0.2702</v>
      </c>
      <c r="C1146" s="88">
        <v>40.636299999999999</v>
      </c>
      <c r="D1146" s="88">
        <v>0.19700000000000001</v>
      </c>
      <c r="E1146" s="76">
        <v>0</v>
      </c>
      <c r="F1146" s="89" cm="1">
        <f t="array" ref="F1146">5*LOG10(((c_light/1000/H_0_SAM)*(B1146/60)*SUMPRODUCT($J$2:$AD$2,1/SQRT(Omega_m*(1+$J$1:$AD$1*B1146)^3+Omega_L)))*(1+B1146)*100000)</f>
        <v>40.773738437250458</v>
      </c>
      <c r="G1146" s="89">
        <f t="shared" si="17"/>
        <v>0.13743843725045934</v>
      </c>
    </row>
    <row r="1147" spans="1:7" x14ac:dyDescent="0.6">
      <c r="A1147" s="76">
        <v>19002</v>
      </c>
      <c r="B1147" s="87">
        <v>0.27021000000000001</v>
      </c>
      <c r="C1147" s="88">
        <v>40.508899999999997</v>
      </c>
      <c r="D1147" s="88">
        <v>0.16486999999999999</v>
      </c>
      <c r="E1147" s="76">
        <v>0</v>
      </c>
      <c r="F1147" s="89" cm="1">
        <f t="array" ref="F1147">5*LOG10(((c_light/1000/H_0_SAM)*(B1147/60)*SUMPRODUCT($J$2:$AD$2,1/SQRT(Omega_m*(1+$J$1:$AD$1*B1147)^3+Omega_L)))*(1+B1147)*100000)</f>
        <v>40.773830077103355</v>
      </c>
      <c r="G1147" s="89">
        <f t="shared" si="17"/>
        <v>0.26493007710335803</v>
      </c>
    </row>
    <row r="1148" spans="1:7" x14ac:dyDescent="0.6">
      <c r="A1148" s="76">
        <v>310051</v>
      </c>
      <c r="B1148" s="87">
        <v>0.27056999999999998</v>
      </c>
      <c r="C1148" s="88">
        <v>40.5139</v>
      </c>
      <c r="D1148" s="88">
        <v>0.20931</v>
      </c>
      <c r="E1148" s="76">
        <v>0</v>
      </c>
      <c r="F1148" s="89" cm="1">
        <f t="array" ref="F1148">5*LOG10(((c_light/1000/H_0_SAM)*(B1148/60)*SUMPRODUCT($J$2:$AD$2,1/SQRT(Omega_m*(1+$J$1:$AD$1*B1148)^3+Omega_L)))*(1+B1148)*100000)</f>
        <v>40.777127032969403</v>
      </c>
      <c r="G1148" s="89">
        <f t="shared" si="17"/>
        <v>0.26322703296940375</v>
      </c>
    </row>
    <row r="1149" spans="1:7" x14ac:dyDescent="0.6">
      <c r="A1149" s="76">
        <v>160039</v>
      </c>
      <c r="B1149" s="87">
        <v>0.27094000000000001</v>
      </c>
      <c r="C1149" s="88">
        <v>40.488700000000001</v>
      </c>
      <c r="D1149" s="88">
        <v>0.16611999999999999</v>
      </c>
      <c r="E1149" s="76">
        <v>0</v>
      </c>
      <c r="F1149" s="89" cm="1">
        <f t="array" ref="F1149">5*LOG10(((c_light/1000/H_0_SAM)*(B1149/60)*SUMPRODUCT($J$2:$AD$2,1/SQRT(Omega_m*(1+$J$1:$AD$1*B1149)^3+Omega_L)))*(1+B1149)*100000)</f>
        <v>40.780511362921182</v>
      </c>
      <c r="G1149" s="89">
        <f t="shared" si="17"/>
        <v>0.29181136292118026</v>
      </c>
    </row>
    <row r="1150" spans="1:7" x14ac:dyDescent="0.6">
      <c r="A1150" s="76">
        <v>380378</v>
      </c>
      <c r="B1150" s="87">
        <v>0.27140999999999998</v>
      </c>
      <c r="C1150" s="88">
        <v>40.567700000000002</v>
      </c>
      <c r="D1150" s="88">
        <v>0.1234</v>
      </c>
      <c r="E1150" s="76">
        <v>0</v>
      </c>
      <c r="F1150" s="89" cm="1">
        <f t="array" ref="F1150">5*LOG10(((c_light/1000/H_0_SAM)*(B1150/60)*SUMPRODUCT($J$2:$AD$2,1/SQRT(Omega_m*(1+$J$1:$AD$1*B1150)^3+Omega_L)))*(1+B1150)*100000)</f>
        <v>40.784804243342371</v>
      </c>
      <c r="G1150" s="89">
        <f t="shared" si="17"/>
        <v>0.21710424334236933</v>
      </c>
    </row>
    <row r="1151" spans="1:7" x14ac:dyDescent="0.6">
      <c r="A1151" s="76">
        <v>1292332</v>
      </c>
      <c r="B1151" s="87">
        <v>0.27276</v>
      </c>
      <c r="C1151" s="88">
        <v>40.541499999999999</v>
      </c>
      <c r="D1151" s="88">
        <v>0.17319999999999999</v>
      </c>
      <c r="E1151" s="76">
        <v>0</v>
      </c>
      <c r="F1151" s="89" cm="1">
        <f t="array" ref="F1151">5*LOG10(((c_light/1000/H_0_SAM)*(B1151/60)*SUMPRODUCT($J$2:$AD$2,1/SQRT(Omega_m*(1+$J$1:$AD$1*B1151)^3+Omega_L)))*(1+B1151)*100000)</f>
        <v>40.797096884495232</v>
      </c>
      <c r="G1151" s="89">
        <f t="shared" si="17"/>
        <v>0.25559688449523321</v>
      </c>
    </row>
    <row r="1152" spans="1:7" x14ac:dyDescent="0.6">
      <c r="A1152" s="76">
        <v>15356</v>
      </c>
      <c r="B1152" s="87">
        <v>0.27350999999999998</v>
      </c>
      <c r="C1152" s="88">
        <v>40.472099999999998</v>
      </c>
      <c r="D1152" s="88">
        <v>0.20868999999999999</v>
      </c>
      <c r="E1152" s="76">
        <v>0</v>
      </c>
      <c r="F1152" s="89" cm="1">
        <f t="array" ref="F1152">5*LOG10(((c_light/1000/H_0_SAM)*(B1152/60)*SUMPRODUCT($J$2:$AD$2,1/SQRT(Omega_m*(1+$J$1:$AD$1*B1152)^3+Omega_L)))*(1+B1152)*100000)</f>
        <v>40.803901935178608</v>
      </c>
      <c r="G1152" s="89">
        <f t="shared" si="17"/>
        <v>0.33180193517861056</v>
      </c>
    </row>
    <row r="1153" spans="1:7" x14ac:dyDescent="0.6">
      <c r="A1153" s="76">
        <v>420258</v>
      </c>
      <c r="B1153" s="87">
        <v>0.27456000000000003</v>
      </c>
      <c r="C1153" s="88">
        <v>40.739899999999999</v>
      </c>
      <c r="D1153" s="88">
        <v>0.29307</v>
      </c>
      <c r="E1153" s="76">
        <v>0</v>
      </c>
      <c r="F1153" s="89" cm="1">
        <f t="array" ref="F1153">5*LOG10(((c_light/1000/H_0_SAM)*(B1153/60)*SUMPRODUCT($J$2:$AD$2,1/SQRT(Omega_m*(1+$J$1:$AD$1*B1153)^3+Omega_L)))*(1+B1153)*100000)</f>
        <v>40.813400187163857</v>
      </c>
      <c r="G1153" s="89">
        <f t="shared" si="17"/>
        <v>7.3500187163858755E-2</v>
      </c>
    </row>
    <row r="1154" spans="1:7" x14ac:dyDescent="0.6">
      <c r="A1154" s="76">
        <v>100213</v>
      </c>
      <c r="B1154" s="87">
        <v>0.27509</v>
      </c>
      <c r="C1154" s="88">
        <v>40.776899999999998</v>
      </c>
      <c r="D1154" s="88">
        <v>0.23941999999999999</v>
      </c>
      <c r="E1154" s="76">
        <v>0</v>
      </c>
      <c r="F1154" s="89" cm="1">
        <f t="array" ref="F1154">5*LOG10(((c_light/1000/H_0_SAM)*(B1154/60)*SUMPRODUCT($J$2:$AD$2,1/SQRT(Omega_m*(1+$J$1:$AD$1*B1154)^3+Omega_L)))*(1+B1154)*100000)</f>
        <v>40.818181843678538</v>
      </c>
      <c r="G1154" s="89">
        <f t="shared" si="17"/>
        <v>4.1281843678540042E-2</v>
      </c>
    </row>
    <row r="1155" spans="1:7" x14ac:dyDescent="0.6">
      <c r="A1155" s="76">
        <v>150254</v>
      </c>
      <c r="B1155" s="87">
        <v>0.27516000000000002</v>
      </c>
      <c r="C1155" s="88">
        <v>40.528599999999997</v>
      </c>
      <c r="D1155" s="88">
        <v>0.24185999999999999</v>
      </c>
      <c r="E1155" s="76">
        <v>0</v>
      </c>
      <c r="F1155" s="89" cm="1">
        <f t="array" ref="F1155">5*LOG10(((c_light/1000/H_0_SAM)*(B1155/60)*SUMPRODUCT($J$2:$AD$2,1/SQRT(Omega_m*(1+$J$1:$AD$1*B1155)^3+Omega_L)))*(1+B1155)*100000)</f>
        <v>40.818812748738083</v>
      </c>
      <c r="G1155" s="89">
        <f t="shared" si="17"/>
        <v>0.29021274873808522</v>
      </c>
    </row>
    <row r="1156" spans="1:7" x14ac:dyDescent="0.6">
      <c r="A1156" s="76">
        <v>20227</v>
      </c>
      <c r="B1156" s="87">
        <v>0.27584999999999998</v>
      </c>
      <c r="C1156" s="88">
        <v>40.6631</v>
      </c>
      <c r="D1156" s="88">
        <v>0.21357999999999999</v>
      </c>
      <c r="E1156" s="76">
        <v>0</v>
      </c>
      <c r="F1156" s="89" cm="1">
        <f t="array" ref="F1156">5*LOG10(((c_light/1000/H_0_SAM)*(B1156/60)*SUMPRODUCT($J$2:$AD$2,1/SQRT(Omega_m*(1+$J$1:$AD$1*B1156)^3+Omega_L)))*(1+B1156)*100000)</f>
        <v>40.825023771903531</v>
      </c>
      <c r="G1156" s="89">
        <f t="shared" si="17"/>
        <v>0.16192377190353113</v>
      </c>
    </row>
    <row r="1157" spans="1:7" x14ac:dyDescent="0.6">
      <c r="A1157" s="76">
        <v>19051</v>
      </c>
      <c r="B1157" s="87">
        <v>0.27631</v>
      </c>
      <c r="C1157" s="88">
        <v>40.674900000000001</v>
      </c>
      <c r="D1157" s="88">
        <v>0.18006</v>
      </c>
      <c r="E1157" s="76">
        <v>0</v>
      </c>
      <c r="F1157" s="89" cm="1">
        <f t="array" ref="F1157">5*LOG10(((c_light/1000/H_0_SAM)*(B1157/60)*SUMPRODUCT($J$2:$AD$2,1/SQRT(Omega_m*(1+$J$1:$AD$1*B1157)^3+Omega_L)))*(1+B1157)*100000)</f>
        <v>40.829156509197098</v>
      </c>
      <c r="G1157" s="89">
        <f t="shared" si="17"/>
        <v>0.1542565091970971</v>
      </c>
    </row>
    <row r="1158" spans="1:7" x14ac:dyDescent="0.6">
      <c r="A1158" s="76">
        <v>4000</v>
      </c>
      <c r="B1158" s="87">
        <v>0.27667999999999998</v>
      </c>
      <c r="C1158" s="88">
        <v>40.8504</v>
      </c>
      <c r="D1158" s="88">
        <v>0.27223999999999998</v>
      </c>
      <c r="E1158" s="76">
        <v>0</v>
      </c>
      <c r="F1158" s="89" cm="1">
        <f t="array" ref="F1158">5*LOG10(((c_light/1000/H_0_SAM)*(B1158/60)*SUMPRODUCT($J$2:$AD$2,1/SQRT(Omega_m*(1+$J$1:$AD$1*B1158)^3+Omega_L)))*(1+B1158)*100000)</f>
        <v>40.832476071533108</v>
      </c>
      <c r="G1158" s="89">
        <f t="shared" ref="G1158:G1221" si="18">F1158-C1158</f>
        <v>-1.7923928466892391E-2</v>
      </c>
    </row>
    <row r="1159" spans="1:7" x14ac:dyDescent="0.6">
      <c r="A1159" s="76">
        <v>4046</v>
      </c>
      <c r="B1159" s="87">
        <v>0.27776000000000001</v>
      </c>
      <c r="C1159" s="88">
        <v>40.618600000000001</v>
      </c>
      <c r="D1159" s="88">
        <v>0.24474000000000001</v>
      </c>
      <c r="E1159" s="76">
        <v>0</v>
      </c>
      <c r="F1159" s="89" cm="1">
        <f t="array" ref="F1159">5*LOG10(((c_light/1000/H_0_SAM)*(B1159/60)*SUMPRODUCT($J$2:$AD$2,1/SQRT(Omega_m*(1+$J$1:$AD$1*B1159)^3+Omega_L)))*(1+B1159)*100000)</f>
        <v>40.842142272352234</v>
      </c>
      <c r="G1159" s="89">
        <f t="shared" si="18"/>
        <v>0.22354227235223334</v>
      </c>
    </row>
    <row r="1160" spans="1:7" x14ac:dyDescent="0.6">
      <c r="A1160" s="76">
        <v>1297465</v>
      </c>
      <c r="B1160" s="87">
        <v>0.27782000000000001</v>
      </c>
      <c r="C1160" s="88">
        <v>40.918700000000001</v>
      </c>
      <c r="D1160" s="88">
        <v>0.17802999999999999</v>
      </c>
      <c r="E1160" s="76">
        <v>0</v>
      </c>
      <c r="F1160" s="89" cm="1">
        <f t="array" ref="F1160">5*LOG10(((c_light/1000/H_0_SAM)*(B1160/60)*SUMPRODUCT($J$2:$AD$2,1/SQRT(Omega_m*(1+$J$1:$AD$1*B1160)^3+Omega_L)))*(1+B1160)*100000)</f>
        <v>40.842678267946397</v>
      </c>
      <c r="G1160" s="89">
        <f t="shared" si="18"/>
        <v>-7.6021732053604296E-2</v>
      </c>
    </row>
    <row r="1161" spans="1:7" x14ac:dyDescent="0.6">
      <c r="A1161" s="76">
        <v>5957</v>
      </c>
      <c r="B1161" s="87">
        <v>0.27934999999999999</v>
      </c>
      <c r="C1161" s="88">
        <v>40.703699999999998</v>
      </c>
      <c r="D1161" s="88">
        <v>0.16434000000000001</v>
      </c>
      <c r="E1161" s="76">
        <v>0</v>
      </c>
      <c r="F1161" s="89" cm="1">
        <f t="array" ref="F1161">5*LOG10(((c_light/1000/H_0_SAM)*(B1161/60)*SUMPRODUCT($J$2:$AD$2,1/SQRT(Omega_m*(1+$J$1:$AD$1*B1161)^3+Omega_L)))*(1+B1161)*100000)</f>
        <v>40.856310258237784</v>
      </c>
      <c r="G1161" s="89">
        <f t="shared" si="18"/>
        <v>0.15261025823778596</v>
      </c>
    </row>
    <row r="1162" spans="1:7" x14ac:dyDescent="0.6">
      <c r="A1162" s="76">
        <v>6196</v>
      </c>
      <c r="B1162" s="87">
        <v>0.27989999999999998</v>
      </c>
      <c r="C1162" s="88">
        <v>40.505600000000001</v>
      </c>
      <c r="D1162" s="88">
        <v>0.19932</v>
      </c>
      <c r="E1162" s="76">
        <v>0</v>
      </c>
      <c r="F1162" s="89" cm="1">
        <f t="array" ref="F1162">5*LOG10(((c_light/1000/H_0_SAM)*(B1162/60)*SUMPRODUCT($J$2:$AD$2,1/SQRT(Omega_m*(1+$J$1:$AD$1*B1162)^3+Omega_L)))*(1+B1162)*100000)</f>
        <v>40.861193848763889</v>
      </c>
      <c r="G1162" s="89">
        <f t="shared" si="18"/>
        <v>0.35559384876388833</v>
      </c>
    </row>
    <row r="1163" spans="1:7" x14ac:dyDescent="0.6">
      <c r="A1163" s="76">
        <v>40201</v>
      </c>
      <c r="B1163" s="87">
        <v>0.27994999999999998</v>
      </c>
      <c r="C1163" s="88">
        <v>40.566400000000002</v>
      </c>
      <c r="D1163" s="88">
        <v>0.15332999999999999</v>
      </c>
      <c r="E1163" s="76">
        <v>0</v>
      </c>
      <c r="F1163" s="89" cm="1">
        <f t="array" ref="F1163">5*LOG10(((c_light/1000/H_0_SAM)*(B1163/60)*SUMPRODUCT($J$2:$AD$2,1/SQRT(Omega_m*(1+$J$1:$AD$1*B1163)^3+Omega_L)))*(1+B1163)*100000)</f>
        <v>40.86163737318028</v>
      </c>
      <c r="G1163" s="89">
        <f t="shared" si="18"/>
        <v>0.29523737318027798</v>
      </c>
    </row>
    <row r="1164" spans="1:7" x14ac:dyDescent="0.6">
      <c r="A1164" s="76">
        <v>520188</v>
      </c>
      <c r="B1164" s="87">
        <v>0.28060000000000002</v>
      </c>
      <c r="C1164" s="88">
        <v>40.6663</v>
      </c>
      <c r="D1164" s="88">
        <v>0.15310000000000001</v>
      </c>
      <c r="E1164" s="76">
        <v>0</v>
      </c>
      <c r="F1164" s="89" cm="1">
        <f t="array" ref="F1164">5*LOG10(((c_light/1000/H_0_SAM)*(B1164/60)*SUMPRODUCT($J$2:$AD$2,1/SQRT(Omega_m*(1+$J$1:$AD$1*B1164)^3+Omega_L)))*(1+B1164)*100000)</f>
        <v>40.867396561166217</v>
      </c>
      <c r="G1164" s="89">
        <f t="shared" si="18"/>
        <v>0.20109656116621721</v>
      </c>
    </row>
    <row r="1165" spans="1:7" x14ac:dyDescent="0.6">
      <c r="A1165" s="76">
        <v>18485</v>
      </c>
      <c r="B1165" s="87">
        <v>0.28132000000000001</v>
      </c>
      <c r="C1165" s="88">
        <v>40.622399999999999</v>
      </c>
      <c r="D1165" s="88">
        <v>0.17476</v>
      </c>
      <c r="E1165" s="76">
        <v>0</v>
      </c>
      <c r="F1165" s="89" cm="1">
        <f t="array" ref="F1165">5*LOG10(((c_light/1000/H_0_SAM)*(B1165/60)*SUMPRODUCT($J$2:$AD$2,1/SQRT(Omega_m*(1+$J$1:$AD$1*B1165)^3+Omega_L)))*(1+B1165)*100000)</f>
        <v>40.873761643962055</v>
      </c>
      <c r="G1165" s="89">
        <f t="shared" si="18"/>
        <v>0.25136164396205629</v>
      </c>
    </row>
    <row r="1166" spans="1:7" x14ac:dyDescent="0.6">
      <c r="A1166" s="76">
        <v>1317286</v>
      </c>
      <c r="B1166" s="87">
        <v>0.28206999999999999</v>
      </c>
      <c r="C1166" s="88">
        <v>40.598599999999998</v>
      </c>
      <c r="D1166" s="88">
        <v>0.16663</v>
      </c>
      <c r="E1166" s="76">
        <v>0</v>
      </c>
      <c r="F1166" s="89" cm="1">
        <f t="array" ref="F1166">5*LOG10(((c_light/1000/H_0_SAM)*(B1166/60)*SUMPRODUCT($J$2:$AD$2,1/SQRT(Omega_m*(1+$J$1:$AD$1*B1166)^3+Omega_L)))*(1+B1166)*100000)</f>
        <v>40.880376004276329</v>
      </c>
      <c r="G1166" s="89">
        <f t="shared" si="18"/>
        <v>0.28177600427633109</v>
      </c>
    </row>
    <row r="1167" spans="1:7" x14ac:dyDescent="0.6">
      <c r="A1167" s="76" t="s">
        <v>1377</v>
      </c>
      <c r="B1167" s="87">
        <v>0.28266000000000002</v>
      </c>
      <c r="C1167" s="88">
        <v>40.744</v>
      </c>
      <c r="D1167" s="88">
        <v>0.29735</v>
      </c>
      <c r="E1167" s="76">
        <v>0</v>
      </c>
      <c r="F1167" s="89" cm="1">
        <f t="array" ref="F1167">5*LOG10(((c_light/1000/H_0_SAM)*(B1167/60)*SUMPRODUCT($J$2:$AD$2,1/SQRT(Omega_m*(1+$J$1:$AD$1*B1167)^3+Omega_L)))*(1+B1167)*100000)</f>
        <v>40.88556792810359</v>
      </c>
      <c r="G1167" s="89">
        <f t="shared" si="18"/>
        <v>0.14156792810359065</v>
      </c>
    </row>
    <row r="1168" spans="1:7" x14ac:dyDescent="0.6">
      <c r="A1168" s="76">
        <v>15584</v>
      </c>
      <c r="B1168" s="87">
        <v>0.28344000000000003</v>
      </c>
      <c r="C1168" s="88">
        <v>40.659599999999998</v>
      </c>
      <c r="D1168" s="88">
        <v>0.18437999999999999</v>
      </c>
      <c r="E1168" s="76">
        <v>0</v>
      </c>
      <c r="F1168" s="89" cm="1">
        <f t="array" ref="F1168">5*LOG10(((c_light/1000/H_0_SAM)*(B1168/60)*SUMPRODUCT($J$2:$AD$2,1/SQRT(Omega_m*(1+$J$1:$AD$1*B1168)^3+Omega_L)))*(1+B1168)*100000)</f>
        <v>40.892416529177389</v>
      </c>
      <c r="G1168" s="89">
        <f t="shared" si="18"/>
        <v>0.23281652917739137</v>
      </c>
    </row>
    <row r="1169" spans="1:7" x14ac:dyDescent="0.6">
      <c r="A1169" s="76">
        <v>310238</v>
      </c>
      <c r="B1169" s="87">
        <v>0.28405000000000002</v>
      </c>
      <c r="C1169" s="88">
        <v>40.573500000000003</v>
      </c>
      <c r="D1169" s="88">
        <v>0.15412999999999999</v>
      </c>
      <c r="E1169" s="76">
        <v>0</v>
      </c>
      <c r="F1169" s="89" cm="1">
        <f t="array" ref="F1169">5*LOG10(((c_light/1000/H_0_SAM)*(B1169/60)*SUMPRODUCT($J$2:$AD$2,1/SQRT(Omega_m*(1+$J$1:$AD$1*B1169)^3+Omega_L)))*(1+B1169)*100000)</f>
        <v>40.897760402091059</v>
      </c>
      <c r="G1169" s="89">
        <f t="shared" si="18"/>
        <v>0.32426040209105622</v>
      </c>
    </row>
    <row r="1170" spans="1:7" x14ac:dyDescent="0.6">
      <c r="A1170" s="76">
        <v>14261</v>
      </c>
      <c r="B1170" s="87">
        <v>0.28445999999999999</v>
      </c>
      <c r="C1170" s="88">
        <v>40.543100000000003</v>
      </c>
      <c r="D1170" s="88">
        <v>0.18656</v>
      </c>
      <c r="E1170" s="76">
        <v>0</v>
      </c>
      <c r="F1170" s="89" cm="1">
        <f t="array" ref="F1170">5*LOG10(((c_light/1000/H_0_SAM)*(B1170/60)*SUMPRODUCT($J$2:$AD$2,1/SQRT(Omega_m*(1+$J$1:$AD$1*B1170)^3+Omega_L)))*(1+B1170)*100000)</f>
        <v>40.901346249508222</v>
      </c>
      <c r="G1170" s="89">
        <f t="shared" si="18"/>
        <v>0.35824624950821971</v>
      </c>
    </row>
    <row r="1171" spans="1:7" x14ac:dyDescent="0.6">
      <c r="A1171" s="76">
        <v>16072</v>
      </c>
      <c r="B1171" s="87">
        <v>0.28445999999999999</v>
      </c>
      <c r="C1171" s="88">
        <v>40.691899999999997</v>
      </c>
      <c r="D1171" s="88">
        <v>0.20709</v>
      </c>
      <c r="E1171" s="76">
        <v>0</v>
      </c>
      <c r="F1171" s="89" cm="1">
        <f t="array" ref="F1171">5*LOG10(((c_light/1000/H_0_SAM)*(B1171/60)*SUMPRODUCT($J$2:$AD$2,1/SQRT(Omega_m*(1+$J$1:$AD$1*B1171)^3+Omega_L)))*(1+B1171)*100000)</f>
        <v>40.901346249508222</v>
      </c>
      <c r="G1171" s="89">
        <f t="shared" si="18"/>
        <v>0.20944624950822543</v>
      </c>
    </row>
    <row r="1172" spans="1:7" x14ac:dyDescent="0.6">
      <c r="A1172" s="76">
        <v>17791</v>
      </c>
      <c r="B1172" s="87">
        <v>0.28477999999999998</v>
      </c>
      <c r="C1172" s="88">
        <v>41.113500000000002</v>
      </c>
      <c r="D1172" s="88">
        <v>0.35132000000000002</v>
      </c>
      <c r="E1172" s="76">
        <v>0</v>
      </c>
      <c r="F1172" s="89" cm="1">
        <f t="array" ref="F1172">5*LOG10(((c_light/1000/H_0_SAM)*(B1172/60)*SUMPRODUCT($J$2:$AD$2,1/SQRT(Omega_m*(1+$J$1:$AD$1*B1172)^3+Omega_L)))*(1+B1172)*100000)</f>
        <v>40.904141653929614</v>
      </c>
      <c r="G1172" s="89">
        <f t="shared" si="18"/>
        <v>-0.20935834607038828</v>
      </c>
    </row>
    <row r="1173" spans="1:7" x14ac:dyDescent="0.6">
      <c r="A1173" s="76">
        <v>440050</v>
      </c>
      <c r="B1173" s="87">
        <v>0.28556999999999999</v>
      </c>
      <c r="C1173" s="88">
        <v>40.704599999999999</v>
      </c>
      <c r="D1173" s="88">
        <v>0.18598999999999999</v>
      </c>
      <c r="E1173" s="76">
        <v>0</v>
      </c>
      <c r="F1173" s="89" cm="1">
        <f t="array" ref="F1173">5*LOG10(((c_light/1000/H_0_SAM)*(B1173/60)*SUMPRODUCT($J$2:$AD$2,1/SQRT(Omega_m*(1+$J$1:$AD$1*B1173)^3+Omega_L)))*(1+B1173)*100000)</f>
        <v>40.911030441647718</v>
      </c>
      <c r="G1173" s="89">
        <f t="shared" si="18"/>
        <v>0.20643044164771851</v>
      </c>
    </row>
    <row r="1174" spans="1:7" x14ac:dyDescent="0.6">
      <c r="A1174" s="76">
        <v>350080</v>
      </c>
      <c r="B1174" s="87">
        <v>0.28588000000000002</v>
      </c>
      <c r="C1174" s="88">
        <v>40.670999999999999</v>
      </c>
      <c r="D1174" s="88">
        <v>0.17321</v>
      </c>
      <c r="E1174" s="76">
        <v>0</v>
      </c>
      <c r="F1174" s="89" cm="1">
        <f t="array" ref="F1174">5*LOG10(((c_light/1000/H_0_SAM)*(B1174/60)*SUMPRODUCT($J$2:$AD$2,1/SQRT(Omega_m*(1+$J$1:$AD$1*B1174)^3+Omega_L)))*(1+B1174)*100000)</f>
        <v>40.913728843018205</v>
      </c>
      <c r="G1174" s="89">
        <f t="shared" si="18"/>
        <v>0.24272884301820596</v>
      </c>
    </row>
    <row r="1175" spans="1:7" x14ac:dyDescent="0.6">
      <c r="A1175" s="76">
        <v>20040</v>
      </c>
      <c r="B1175" s="87">
        <v>0.28665000000000002</v>
      </c>
      <c r="C1175" s="88">
        <v>40.6389</v>
      </c>
      <c r="D1175" s="88">
        <v>0.21751000000000001</v>
      </c>
      <c r="E1175" s="76">
        <v>0</v>
      </c>
      <c r="F1175" s="89" cm="1">
        <f t="array" ref="F1175">5*LOG10(((c_light/1000/H_0_SAM)*(B1175/60)*SUMPRODUCT($J$2:$AD$2,1/SQRT(Omega_m*(1+$J$1:$AD$1*B1175)^3+Omega_L)))*(1+B1175)*100000)</f>
        <v>40.92041968206297</v>
      </c>
      <c r="G1175" s="89">
        <f t="shared" si="18"/>
        <v>0.28151968206297084</v>
      </c>
    </row>
    <row r="1176" spans="1:7" x14ac:dyDescent="0.6">
      <c r="A1176" s="76">
        <v>20245</v>
      </c>
      <c r="B1176" s="87">
        <v>0.28733999999999998</v>
      </c>
      <c r="C1176" s="88">
        <v>40.569099999999999</v>
      </c>
      <c r="D1176" s="88">
        <v>0.25040000000000001</v>
      </c>
      <c r="E1176" s="76">
        <v>0</v>
      </c>
      <c r="F1176" s="89" cm="1">
        <f t="array" ref="F1176">5*LOG10(((c_light/1000/H_0_SAM)*(B1176/60)*SUMPRODUCT($J$2:$AD$2,1/SQRT(Omega_m*(1+$J$1:$AD$1*B1176)^3+Omega_L)))*(1+B1176)*100000)</f>
        <v>40.926401321887163</v>
      </c>
      <c r="G1176" s="89">
        <f t="shared" si="18"/>
        <v>0.35730132188716368</v>
      </c>
    </row>
    <row r="1177" spans="1:7" x14ac:dyDescent="0.6">
      <c r="A1177" s="76">
        <v>17809</v>
      </c>
      <c r="B1177" s="87">
        <v>0.28758</v>
      </c>
      <c r="C1177" s="88">
        <v>40.5379</v>
      </c>
      <c r="D1177" s="88">
        <v>0.23888999999999999</v>
      </c>
      <c r="E1177" s="76">
        <v>0</v>
      </c>
      <c r="F1177" s="89" cm="1">
        <f t="array" ref="F1177">5*LOG10(((c_light/1000/H_0_SAM)*(B1177/60)*SUMPRODUCT($J$2:$AD$2,1/SQRT(Omega_m*(1+$J$1:$AD$1*B1177)^3+Omega_L)))*(1+B1177)*100000)</f>
        <v>40.928478791775149</v>
      </c>
      <c r="G1177" s="89">
        <f t="shared" si="18"/>
        <v>0.3905787917751482</v>
      </c>
    </row>
    <row r="1178" spans="1:7" x14ac:dyDescent="0.6">
      <c r="A1178" s="76">
        <v>19128</v>
      </c>
      <c r="B1178" s="87">
        <v>0.28775000000000001</v>
      </c>
      <c r="C1178" s="88">
        <v>40.875300000000003</v>
      </c>
      <c r="D1178" s="88">
        <v>0.22722000000000001</v>
      </c>
      <c r="E1178" s="76">
        <v>0</v>
      </c>
      <c r="F1178" s="89" cm="1">
        <f t="array" ref="F1178">5*LOG10(((c_light/1000/H_0_SAM)*(B1178/60)*SUMPRODUCT($J$2:$AD$2,1/SQRT(Omega_m*(1+$J$1:$AD$1*B1178)^3+Omega_L)))*(1+B1178)*100000)</f>
        <v>40.929949367111185</v>
      </c>
      <c r="G1178" s="89">
        <f t="shared" si="18"/>
        <v>5.4649367111181846E-2</v>
      </c>
    </row>
    <row r="1179" spans="1:7" x14ac:dyDescent="0.6">
      <c r="A1179" s="76">
        <v>1334644</v>
      </c>
      <c r="B1179" s="87">
        <v>0.28814000000000001</v>
      </c>
      <c r="C1179" s="88">
        <v>40.707500000000003</v>
      </c>
      <c r="D1179" s="88">
        <v>0.18801000000000001</v>
      </c>
      <c r="E1179" s="76">
        <v>0</v>
      </c>
      <c r="F1179" s="89" cm="1">
        <f t="array" ref="F1179">5*LOG10(((c_light/1000/H_0_SAM)*(B1179/60)*SUMPRODUCT($J$2:$AD$2,1/SQRT(Omega_m*(1+$J$1:$AD$1*B1179)^3+Omega_L)))*(1+B1179)*100000)</f>
        <v>40.933320018952742</v>
      </c>
      <c r="G1179" s="89">
        <f t="shared" si="18"/>
        <v>0.22582001895273862</v>
      </c>
    </row>
    <row r="1180" spans="1:7" x14ac:dyDescent="0.6">
      <c r="A1180" s="76">
        <v>1313594</v>
      </c>
      <c r="B1180" s="87">
        <v>0.28843999999999997</v>
      </c>
      <c r="C1180" s="88">
        <v>40.749000000000002</v>
      </c>
      <c r="D1180" s="88">
        <v>0.13785</v>
      </c>
      <c r="E1180" s="76">
        <v>0</v>
      </c>
      <c r="F1180" s="89" cm="1">
        <f t="array" ref="F1180">5*LOG10(((c_light/1000/H_0_SAM)*(B1180/60)*SUMPRODUCT($J$2:$AD$2,1/SQRT(Omega_m*(1+$J$1:$AD$1*B1180)^3+Omega_L)))*(1+B1180)*100000)</f>
        <v>40.935909970234675</v>
      </c>
      <c r="G1180" s="89">
        <f t="shared" si="18"/>
        <v>0.18690997023467304</v>
      </c>
    </row>
    <row r="1181" spans="1:7" x14ac:dyDescent="0.6">
      <c r="A1181" s="76">
        <v>91869</v>
      </c>
      <c r="B1181" s="87">
        <v>0.28854000000000002</v>
      </c>
      <c r="C1181" s="88">
        <v>40.745800000000003</v>
      </c>
      <c r="D1181" s="88">
        <v>0.16542000000000001</v>
      </c>
      <c r="E1181" s="76">
        <v>0</v>
      </c>
      <c r="F1181" s="89" cm="1">
        <f t="array" ref="F1181">5*LOG10(((c_light/1000/H_0_SAM)*(B1181/60)*SUMPRODUCT($J$2:$AD$2,1/SQRT(Omega_m*(1+$J$1:$AD$1*B1181)^3+Omega_L)))*(1+B1181)*100000)</f>
        <v>40.936772736060533</v>
      </c>
      <c r="G1181" s="89">
        <f t="shared" si="18"/>
        <v>0.19097273606053022</v>
      </c>
    </row>
    <row r="1182" spans="1:7" x14ac:dyDescent="0.6">
      <c r="A1182" s="76">
        <v>2165</v>
      </c>
      <c r="B1182" s="87">
        <v>0.28893999999999997</v>
      </c>
      <c r="C1182" s="88">
        <v>40.943300000000001</v>
      </c>
      <c r="D1182" s="88">
        <v>0.22603999999999999</v>
      </c>
      <c r="E1182" s="76">
        <v>0</v>
      </c>
      <c r="F1182" s="89" cm="1">
        <f t="array" ref="F1182">5*LOG10(((c_light/1000/H_0_SAM)*(B1182/60)*SUMPRODUCT($J$2:$AD$2,1/SQRT(Omega_m*(1+$J$1:$AD$1*B1182)^3+Omega_L)))*(1+B1182)*100000)</f>
        <v>40.940221047914498</v>
      </c>
      <c r="G1182" s="89">
        <f t="shared" si="18"/>
        <v>-3.0789520855023511E-3</v>
      </c>
    </row>
    <row r="1183" spans="1:7" x14ac:dyDescent="0.6">
      <c r="A1183" s="76">
        <v>2789</v>
      </c>
      <c r="B1183" s="87">
        <v>0.28900999999999999</v>
      </c>
      <c r="C1183" s="88">
        <v>40.742800000000003</v>
      </c>
      <c r="D1183" s="88">
        <v>0.22850000000000001</v>
      </c>
      <c r="E1183" s="76">
        <v>0</v>
      </c>
      <c r="F1183" s="89" cm="1">
        <f t="array" ref="F1183">5*LOG10(((c_light/1000/H_0_SAM)*(B1183/60)*SUMPRODUCT($J$2:$AD$2,1/SQRT(Omega_m*(1+$J$1:$AD$1*B1183)^3+Omega_L)))*(1+B1183)*100000)</f>
        <v>40.94082405044751</v>
      </c>
      <c r="G1183" s="89">
        <f t="shared" si="18"/>
        <v>0.1980240504475077</v>
      </c>
    </row>
    <row r="1184" spans="1:7" x14ac:dyDescent="0.6">
      <c r="A1184" s="76">
        <v>1334597</v>
      </c>
      <c r="B1184" s="87">
        <v>0.28904999999999997</v>
      </c>
      <c r="C1184" s="88">
        <v>40.676299999999998</v>
      </c>
      <c r="D1184" s="88">
        <v>0.16805</v>
      </c>
      <c r="E1184" s="76">
        <v>0</v>
      </c>
      <c r="F1184" s="89" cm="1">
        <f t="array" ref="F1184">5*LOG10(((c_light/1000/H_0_SAM)*(B1184/60)*SUMPRODUCT($J$2:$AD$2,1/SQRT(Omega_m*(1+$J$1:$AD$1*B1184)^3+Omega_L)))*(1+B1184)*100000)</f>
        <v>40.941168562936461</v>
      </c>
      <c r="G1184" s="89">
        <f t="shared" si="18"/>
        <v>0.26486856293646355</v>
      </c>
    </row>
    <row r="1185" spans="1:7" x14ac:dyDescent="0.6">
      <c r="A1185" s="76">
        <v>1310395</v>
      </c>
      <c r="B1185" s="87">
        <v>0.28906999999999999</v>
      </c>
      <c r="C1185" s="88">
        <v>40.701999999999998</v>
      </c>
      <c r="D1185" s="88">
        <v>0.27722000000000002</v>
      </c>
      <c r="E1185" s="76">
        <v>0</v>
      </c>
      <c r="F1185" s="89" cm="1">
        <f t="array" ref="F1185">5*LOG10(((c_light/1000/H_0_SAM)*(B1185/60)*SUMPRODUCT($J$2:$AD$2,1/SQRT(Omega_m*(1+$J$1:$AD$1*B1185)^3+Omega_L)))*(1+B1185)*100000)</f>
        <v>40.941340802716496</v>
      </c>
      <c r="G1185" s="89">
        <f t="shared" si="18"/>
        <v>0.23934080271649805</v>
      </c>
    </row>
    <row r="1186" spans="1:7" x14ac:dyDescent="0.6">
      <c r="A1186" s="76">
        <v>350180</v>
      </c>
      <c r="B1186" s="87">
        <v>0.28949000000000003</v>
      </c>
      <c r="C1186" s="88">
        <v>40.976500000000001</v>
      </c>
      <c r="D1186" s="88">
        <v>0.25611</v>
      </c>
      <c r="E1186" s="76">
        <v>0</v>
      </c>
      <c r="F1186" s="89" cm="1">
        <f t="array" ref="F1186">5*LOG10(((c_light/1000/H_0_SAM)*(B1186/60)*SUMPRODUCT($J$2:$AD$2,1/SQRT(Omega_m*(1+$J$1:$AD$1*B1186)^3+Omega_L)))*(1+B1186)*100000)</f>
        <v>40.944955305265445</v>
      </c>
      <c r="G1186" s="89">
        <f t="shared" si="18"/>
        <v>-3.1544694734556344E-2</v>
      </c>
    </row>
    <row r="1187" spans="1:7" x14ac:dyDescent="0.6">
      <c r="A1187" s="76">
        <v>1289288</v>
      </c>
      <c r="B1187" s="87">
        <v>0.28994999999999999</v>
      </c>
      <c r="C1187" s="88">
        <v>40.7393</v>
      </c>
      <c r="D1187" s="88">
        <v>0.27144000000000001</v>
      </c>
      <c r="E1187" s="76">
        <v>0</v>
      </c>
      <c r="F1187" s="89" cm="1">
        <f t="array" ref="F1187">5*LOG10(((c_light/1000/H_0_SAM)*(B1187/60)*SUMPRODUCT($J$2:$AD$2,1/SQRT(Omega_m*(1+$J$1:$AD$1*B1187)^3+Omega_L)))*(1+B1187)*100000)</f>
        <v>40.948908509082756</v>
      </c>
      <c r="G1187" s="89">
        <f t="shared" si="18"/>
        <v>0.20960850908275575</v>
      </c>
    </row>
    <row r="1188" spans="1:7" x14ac:dyDescent="0.6">
      <c r="A1188" s="76">
        <v>570056</v>
      </c>
      <c r="B1188" s="87">
        <v>0.29008</v>
      </c>
      <c r="C1188" s="88">
        <v>40.729799999999997</v>
      </c>
      <c r="D1188" s="88">
        <v>0.23449</v>
      </c>
      <c r="E1188" s="76">
        <v>0</v>
      </c>
      <c r="F1188" s="89" cm="1">
        <f t="array" ref="F1188">5*LOG10(((c_light/1000/H_0_SAM)*(B1188/60)*SUMPRODUCT($J$2:$AD$2,1/SQRT(Omega_m*(1+$J$1:$AD$1*B1188)^3+Omega_L)))*(1+B1188)*100000)</f>
        <v>40.950024672054639</v>
      </c>
      <c r="G1188" s="89">
        <f t="shared" si="18"/>
        <v>0.22022467205464125</v>
      </c>
    </row>
    <row r="1189" spans="1:7" x14ac:dyDescent="0.6">
      <c r="A1189" s="76">
        <v>19596</v>
      </c>
      <c r="B1189" s="87">
        <v>0.29044999999999999</v>
      </c>
      <c r="C1189" s="88">
        <v>40.786099999999998</v>
      </c>
      <c r="D1189" s="88">
        <v>0.23085</v>
      </c>
      <c r="E1189" s="76">
        <v>0</v>
      </c>
      <c r="F1189" s="89" cm="1">
        <f t="array" ref="F1189">5*LOG10(((c_light/1000/H_0_SAM)*(B1189/60)*SUMPRODUCT($J$2:$AD$2,1/SQRT(Omega_m*(1+$J$1:$AD$1*B1189)^3+Omega_L)))*(1+B1189)*100000)</f>
        <v>40.953198924055215</v>
      </c>
      <c r="G1189" s="89">
        <f t="shared" si="18"/>
        <v>0.16709892405521742</v>
      </c>
    </row>
    <row r="1190" spans="1:7" x14ac:dyDescent="0.6">
      <c r="A1190" s="76">
        <v>19027</v>
      </c>
      <c r="B1190" s="87">
        <v>0.29122999999999999</v>
      </c>
      <c r="C1190" s="88">
        <v>40.484000000000002</v>
      </c>
      <c r="D1190" s="88">
        <v>0.21915000000000001</v>
      </c>
      <c r="E1190" s="76">
        <v>0</v>
      </c>
      <c r="F1190" s="89" cm="1">
        <f t="array" ref="F1190">5*LOG10(((c_light/1000/H_0_SAM)*(B1190/60)*SUMPRODUCT($J$2:$AD$2,1/SQRT(Omega_m*(1+$J$1:$AD$1*B1190)^3+Omega_L)))*(1+B1190)*100000)</f>
        <v>40.959878408514115</v>
      </c>
      <c r="G1190" s="89">
        <f t="shared" si="18"/>
        <v>0.475878408514113</v>
      </c>
    </row>
    <row r="1191" spans="1:7" x14ac:dyDescent="0.6">
      <c r="A1191" s="76">
        <v>1291090</v>
      </c>
      <c r="B1191" s="87">
        <v>0.29193000000000002</v>
      </c>
      <c r="C1191" s="88">
        <v>40.760599999999997</v>
      </c>
      <c r="D1191" s="88">
        <v>0.17771000000000001</v>
      </c>
      <c r="E1191" s="76">
        <v>0</v>
      </c>
      <c r="F1191" s="89" cm="1">
        <f t="array" ref="F1191">5*LOG10(((c_light/1000/H_0_SAM)*(B1191/60)*SUMPRODUCT($J$2:$AD$2,1/SQRT(Omega_m*(1+$J$1:$AD$1*B1191)^3+Omega_L)))*(1+B1191)*100000)</f>
        <v>40.965858805165112</v>
      </c>
      <c r="G1191" s="89">
        <f t="shared" si="18"/>
        <v>0.20525880516511563</v>
      </c>
    </row>
    <row r="1192" spans="1:7" x14ac:dyDescent="0.6">
      <c r="A1192" s="76">
        <v>1263715</v>
      </c>
      <c r="B1192" s="87">
        <v>0.29196</v>
      </c>
      <c r="C1192" s="88">
        <v>40.765300000000003</v>
      </c>
      <c r="D1192" s="88">
        <v>0.17219999999999999</v>
      </c>
      <c r="E1192" s="76">
        <v>0</v>
      </c>
      <c r="F1192" s="89" cm="1">
        <f t="array" ref="F1192">5*LOG10(((c_light/1000/H_0_SAM)*(B1192/60)*SUMPRODUCT($J$2:$AD$2,1/SQRT(Omega_m*(1+$J$1:$AD$1*B1192)^3+Omega_L)))*(1+B1192)*100000)</f>
        <v>40.966114812650588</v>
      </c>
      <c r="G1192" s="89">
        <f t="shared" si="18"/>
        <v>0.20081481265058443</v>
      </c>
    </row>
    <row r="1193" spans="1:7" x14ac:dyDescent="0.6">
      <c r="A1193" s="76">
        <v>12841</v>
      </c>
      <c r="B1193" s="87">
        <v>0.29215000000000002</v>
      </c>
      <c r="C1193" s="88">
        <v>40.750500000000002</v>
      </c>
      <c r="D1193" s="88">
        <v>0.48372999999999999</v>
      </c>
      <c r="E1193" s="76">
        <v>0</v>
      </c>
      <c r="F1193" s="89" cm="1">
        <f t="array" ref="F1193">5*LOG10(((c_light/1000/H_0_SAM)*(B1193/60)*SUMPRODUCT($J$2:$AD$2,1/SQRT(Omega_m*(1+$J$1:$AD$1*B1193)^3+Omega_L)))*(1+B1193)*100000)</f>
        <v>40.967735631033754</v>
      </c>
      <c r="G1193" s="89">
        <f t="shared" si="18"/>
        <v>0.21723563103375199</v>
      </c>
    </row>
    <row r="1194" spans="1:7" x14ac:dyDescent="0.6">
      <c r="A1194" s="76">
        <v>390264</v>
      </c>
      <c r="B1194" s="87">
        <v>0.29221000000000003</v>
      </c>
      <c r="C1194" s="88">
        <v>40.422899999999998</v>
      </c>
      <c r="D1194" s="88">
        <v>0.29247000000000001</v>
      </c>
      <c r="E1194" s="76">
        <v>0</v>
      </c>
      <c r="F1194" s="89" cm="1">
        <f t="array" ref="F1194">5*LOG10(((c_light/1000/H_0_SAM)*(B1194/60)*SUMPRODUCT($J$2:$AD$2,1/SQRT(Omega_m*(1+$J$1:$AD$1*B1194)^3+Omega_L)))*(1+B1194)*100000)</f>
        <v>40.968247266738544</v>
      </c>
      <c r="G1194" s="89">
        <f t="shared" si="18"/>
        <v>0.5453472667385455</v>
      </c>
    </row>
    <row r="1195" spans="1:7" x14ac:dyDescent="0.6">
      <c r="A1195" s="76">
        <v>21006</v>
      </c>
      <c r="B1195" s="87">
        <v>0.29250999999999999</v>
      </c>
      <c r="C1195" s="88">
        <v>40.637799999999999</v>
      </c>
      <c r="D1195" s="88">
        <v>0.22883000000000001</v>
      </c>
      <c r="E1195" s="76">
        <v>0</v>
      </c>
      <c r="F1195" s="89" cm="1">
        <f t="array" ref="F1195">5*LOG10(((c_light/1000/H_0_SAM)*(B1195/60)*SUMPRODUCT($J$2:$AD$2,1/SQRT(Omega_m*(1+$J$1:$AD$1*B1195)^3+Omega_L)))*(1+B1195)*100000)</f>
        <v>40.970803994919713</v>
      </c>
      <c r="G1195" s="89">
        <f t="shared" si="18"/>
        <v>0.33300399491971433</v>
      </c>
    </row>
    <row r="1196" spans="1:7" x14ac:dyDescent="0.6">
      <c r="A1196" s="76">
        <v>420414</v>
      </c>
      <c r="B1196" s="87">
        <v>0.29255999999999999</v>
      </c>
      <c r="C1196" s="88">
        <v>40.6952</v>
      </c>
      <c r="D1196" s="88">
        <v>0.22484000000000001</v>
      </c>
      <c r="E1196" s="76">
        <v>0</v>
      </c>
      <c r="F1196" s="89" cm="1">
        <f t="array" ref="F1196">5*LOG10(((c_light/1000/H_0_SAM)*(B1196/60)*SUMPRODUCT($J$2:$AD$2,1/SQRT(Omega_m*(1+$J$1:$AD$1*B1196)^3+Omega_L)))*(1+B1196)*100000)</f>
        <v>40.971229881484902</v>
      </c>
      <c r="G1196" s="89">
        <f t="shared" si="18"/>
        <v>0.27602988148490226</v>
      </c>
    </row>
    <row r="1197" spans="1:7" x14ac:dyDescent="0.6">
      <c r="A1197" s="76">
        <v>150509</v>
      </c>
      <c r="B1197" s="87">
        <v>0.29293000000000002</v>
      </c>
      <c r="C1197" s="88">
        <v>40.745800000000003</v>
      </c>
      <c r="D1197" s="88">
        <v>0.17430000000000001</v>
      </c>
      <c r="E1197" s="76">
        <v>0</v>
      </c>
      <c r="F1197" s="89" cm="1">
        <f t="array" ref="F1197">5*LOG10(((c_light/1000/H_0_SAM)*(B1197/60)*SUMPRODUCT($J$2:$AD$2,1/SQRT(Omega_m*(1+$J$1:$AD$1*B1197)^3+Omega_L)))*(1+B1197)*100000)</f>
        <v>40.974379360340222</v>
      </c>
      <c r="G1197" s="89">
        <f t="shared" si="18"/>
        <v>0.22857936034021975</v>
      </c>
    </row>
    <row r="1198" spans="1:7" x14ac:dyDescent="0.6">
      <c r="A1198" s="76">
        <v>130755</v>
      </c>
      <c r="B1198" s="87">
        <v>0.29298000000000002</v>
      </c>
      <c r="C1198" s="88">
        <v>40.826799999999999</v>
      </c>
      <c r="D1198" s="88">
        <v>0.20355999999999999</v>
      </c>
      <c r="E1198" s="76">
        <v>0</v>
      </c>
      <c r="F1198" s="89" cm="1">
        <f t="array" ref="F1198">5*LOG10(((c_light/1000/H_0_SAM)*(B1198/60)*SUMPRODUCT($J$2:$AD$2,1/SQRT(Omega_m*(1+$J$1:$AD$1*B1198)^3+Omega_L)))*(1+B1198)*100000)</f>
        <v>40.974804684565456</v>
      </c>
      <c r="G1198" s="89">
        <f t="shared" si="18"/>
        <v>0.14800468456545701</v>
      </c>
    </row>
    <row r="1199" spans="1:7" x14ac:dyDescent="0.6">
      <c r="A1199" s="76">
        <v>6249</v>
      </c>
      <c r="B1199" s="87">
        <v>0.29365000000000002</v>
      </c>
      <c r="C1199" s="88">
        <v>40.856999999999999</v>
      </c>
      <c r="D1199" s="88">
        <v>0.20483000000000001</v>
      </c>
      <c r="E1199" s="76">
        <v>0</v>
      </c>
      <c r="F1199" s="89" cm="1">
        <f t="array" ref="F1199">5*LOG10(((c_light/1000/H_0_SAM)*(B1199/60)*SUMPRODUCT($J$2:$AD$2,1/SQRT(Omega_m*(1+$J$1:$AD$1*B1199)^3+Omega_L)))*(1+B1199)*100000)</f>
        <v>40.980497588977528</v>
      </c>
      <c r="G1199" s="89">
        <f t="shared" si="18"/>
        <v>0.12349758897752849</v>
      </c>
    </row>
    <row r="1200" spans="1:7" x14ac:dyDescent="0.6">
      <c r="A1200" s="76">
        <v>1303004</v>
      </c>
      <c r="B1200" s="87">
        <v>0.29504000000000002</v>
      </c>
      <c r="C1200" s="88">
        <v>40.762</v>
      </c>
      <c r="D1200" s="88">
        <v>0.17377999999999999</v>
      </c>
      <c r="E1200" s="76">
        <v>0</v>
      </c>
      <c r="F1200" s="89" cm="1">
        <f t="array" ref="F1200">5*LOG10(((c_light/1000/H_0_SAM)*(B1200/60)*SUMPRODUCT($J$2:$AD$2,1/SQRT(Omega_m*(1+$J$1:$AD$1*B1200)^3+Omega_L)))*(1+B1200)*100000)</f>
        <v>40.99227018932271</v>
      </c>
      <c r="G1200" s="89">
        <f t="shared" si="18"/>
        <v>0.23027018932270948</v>
      </c>
    </row>
    <row r="1201" spans="1:7" x14ac:dyDescent="0.6">
      <c r="A1201" s="76">
        <v>19794</v>
      </c>
      <c r="B1201" s="87">
        <v>0.29580000000000001</v>
      </c>
      <c r="C1201" s="88">
        <v>41.020899999999997</v>
      </c>
      <c r="D1201" s="88">
        <v>0.30791000000000002</v>
      </c>
      <c r="E1201" s="76">
        <v>0</v>
      </c>
      <c r="F1201" s="89" cm="1">
        <f t="array" ref="F1201">5*LOG10(((c_light/1000/H_0_SAM)*(B1201/60)*SUMPRODUCT($J$2:$AD$2,1/SQRT(Omega_m*(1+$J$1:$AD$1*B1201)^3+Omega_L)))*(1+B1201)*100000)</f>
        <v>40.998685425061922</v>
      </c>
      <c r="G1201" s="89">
        <f t="shared" si="18"/>
        <v>-2.2214574938075771E-2</v>
      </c>
    </row>
    <row r="1202" spans="1:7" x14ac:dyDescent="0.6">
      <c r="A1202" s="76">
        <v>580270</v>
      </c>
      <c r="B1202" s="87">
        <v>0.29587000000000002</v>
      </c>
      <c r="C1202" s="88">
        <v>40.998899999999999</v>
      </c>
      <c r="D1202" s="88">
        <v>0.16578000000000001</v>
      </c>
      <c r="E1202" s="76">
        <v>0</v>
      </c>
      <c r="F1202" s="89" cm="1">
        <f t="array" ref="F1202">5*LOG10(((c_light/1000/H_0_SAM)*(B1202/60)*SUMPRODUCT($J$2:$AD$2,1/SQRT(Omega_m*(1+$J$1:$AD$1*B1202)^3+Omega_L)))*(1+B1202)*100000)</f>
        <v>40.999275538346808</v>
      </c>
      <c r="G1202" s="89">
        <f t="shared" si="18"/>
        <v>3.7553834680892351E-4</v>
      </c>
    </row>
    <row r="1203" spans="1:7" x14ac:dyDescent="0.6">
      <c r="A1203" s="76">
        <v>1119</v>
      </c>
      <c r="B1203" s="87">
        <v>0.29647000000000001</v>
      </c>
      <c r="C1203" s="88">
        <v>40.9938</v>
      </c>
      <c r="D1203" s="88">
        <v>0.36604999999999999</v>
      </c>
      <c r="E1203" s="76">
        <v>0</v>
      </c>
      <c r="F1203" s="89" cm="1">
        <f t="array" ref="F1203">5*LOG10(((c_light/1000/H_0_SAM)*(B1203/60)*SUMPRODUCT($J$2:$AD$2,1/SQRT(Omega_m*(1+$J$1:$AD$1*B1203)^3+Omega_L)))*(1+B1203)*100000)</f>
        <v>41.004328384480175</v>
      </c>
      <c r="G1203" s="89">
        <f t="shared" si="18"/>
        <v>1.052838448017468E-2</v>
      </c>
    </row>
    <row r="1204" spans="1:7" x14ac:dyDescent="0.6">
      <c r="A1204" s="76">
        <v>13610</v>
      </c>
      <c r="B1204" s="87">
        <v>0.29692000000000002</v>
      </c>
      <c r="C1204" s="88">
        <v>40.659500000000001</v>
      </c>
      <c r="D1204" s="88">
        <v>0.20261999999999999</v>
      </c>
      <c r="E1204" s="76">
        <v>0</v>
      </c>
      <c r="F1204" s="89" cm="1">
        <f t="array" ref="F1204">5*LOG10(((c_light/1000/H_0_SAM)*(B1204/60)*SUMPRODUCT($J$2:$AD$2,1/SQRT(Omega_m*(1+$J$1:$AD$1*B1204)^3+Omega_L)))*(1+B1204)*100000)</f>
        <v>41.008111842478314</v>
      </c>
      <c r="G1204" s="89">
        <f t="shared" si="18"/>
        <v>0.34861184247831289</v>
      </c>
    </row>
    <row r="1205" spans="1:7" x14ac:dyDescent="0.6">
      <c r="A1205" s="76">
        <v>1293319</v>
      </c>
      <c r="B1205" s="87">
        <v>0.29694999999999999</v>
      </c>
      <c r="C1205" s="88">
        <v>40.750500000000002</v>
      </c>
      <c r="D1205" s="88">
        <v>0.21049999999999999</v>
      </c>
      <c r="E1205" s="76">
        <v>0</v>
      </c>
      <c r="F1205" s="89" cm="1">
        <f t="array" ref="F1205">5*LOG10(((c_light/1000/H_0_SAM)*(B1205/60)*SUMPRODUCT($J$2:$AD$2,1/SQRT(Omega_m*(1+$J$1:$AD$1*B1205)^3+Omega_L)))*(1+B1205)*100000)</f>
        <v>41.00836388521045</v>
      </c>
      <c r="G1205" s="89">
        <f t="shared" si="18"/>
        <v>0.25786388521044756</v>
      </c>
    </row>
    <row r="1206" spans="1:7" x14ac:dyDescent="0.6">
      <c r="A1206" s="76">
        <v>420196</v>
      </c>
      <c r="B1206" s="87">
        <v>0.29853000000000002</v>
      </c>
      <c r="C1206" s="88">
        <v>41.270499999999998</v>
      </c>
      <c r="D1206" s="88">
        <v>0.23272999999999999</v>
      </c>
      <c r="E1206" s="76">
        <v>0</v>
      </c>
      <c r="F1206" s="89" cm="1">
        <f t="array" ref="F1206">5*LOG10(((c_light/1000/H_0_SAM)*(B1206/60)*SUMPRODUCT($J$2:$AD$2,1/SQRT(Omega_m*(1+$J$1:$AD$1*B1206)^3+Omega_L)))*(1+B1206)*100000)</f>
        <v>41.021605106872357</v>
      </c>
      <c r="G1206" s="89">
        <f t="shared" si="18"/>
        <v>-0.24889489312764113</v>
      </c>
    </row>
    <row r="1207" spans="1:7" x14ac:dyDescent="0.6">
      <c r="A1207" s="76">
        <v>570025</v>
      </c>
      <c r="B1207" s="87">
        <v>0.29854999999999998</v>
      </c>
      <c r="C1207" s="88">
        <v>40.6539</v>
      </c>
      <c r="D1207" s="88">
        <v>0.27288000000000001</v>
      </c>
      <c r="E1207" s="76">
        <v>0</v>
      </c>
      <c r="F1207" s="89" cm="1">
        <f t="array" ref="F1207">5*LOG10(((c_light/1000/H_0_SAM)*(B1207/60)*SUMPRODUCT($J$2:$AD$2,1/SQRT(Omega_m*(1+$J$1:$AD$1*B1207)^3+Omega_L)))*(1+B1207)*100000)</f>
        <v>41.02177230323516</v>
      </c>
      <c r="G1207" s="89">
        <f t="shared" si="18"/>
        <v>0.36787230323515985</v>
      </c>
    </row>
    <row r="1208" spans="1:7" x14ac:dyDescent="0.6">
      <c r="A1208" s="76">
        <v>6137</v>
      </c>
      <c r="B1208" s="87">
        <v>0.29892999999999997</v>
      </c>
      <c r="C1208" s="88">
        <v>40.919499999999999</v>
      </c>
      <c r="D1208" s="88">
        <v>0.25505</v>
      </c>
      <c r="E1208" s="76">
        <v>0</v>
      </c>
      <c r="F1208" s="89" cm="1">
        <f t="array" ref="F1208">5*LOG10(((c_light/1000/H_0_SAM)*(B1208/60)*SUMPRODUCT($J$2:$AD$2,1/SQRT(Omega_m*(1+$J$1:$AD$1*B1208)^3+Omega_L)))*(1+B1208)*100000)</f>
        <v>41.024947075786955</v>
      </c>
      <c r="G1208" s="89">
        <f t="shared" si="18"/>
        <v>0.10544707578695522</v>
      </c>
    </row>
    <row r="1209" spans="1:7" x14ac:dyDescent="0.6">
      <c r="A1209" s="76">
        <v>10550</v>
      </c>
      <c r="B1209" s="87">
        <v>0.29932999999999998</v>
      </c>
      <c r="C1209" s="88">
        <v>41.011299999999999</v>
      </c>
      <c r="D1209" s="88">
        <v>0.34167999999999998</v>
      </c>
      <c r="E1209" s="76">
        <v>0</v>
      </c>
      <c r="F1209" s="89" cm="1">
        <f t="array" ref="F1209">5*LOG10(((c_light/1000/H_0_SAM)*(B1209/60)*SUMPRODUCT($J$2:$AD$2,1/SQRT(Omega_m*(1+$J$1:$AD$1*B1209)^3+Omega_L)))*(1+B1209)*100000)</f>
        <v>41.028284928752868</v>
      </c>
      <c r="G1209" s="89">
        <f t="shared" si="18"/>
        <v>1.6984928752869166E-2</v>
      </c>
    </row>
    <row r="1210" spans="1:7" x14ac:dyDescent="0.6">
      <c r="A1210" s="76">
        <v>120444</v>
      </c>
      <c r="B1210" s="87">
        <v>0.29944999999999999</v>
      </c>
      <c r="C1210" s="88">
        <v>41.021299999999997</v>
      </c>
      <c r="D1210" s="88">
        <v>0.19597999999999999</v>
      </c>
      <c r="E1210" s="76">
        <v>0</v>
      </c>
      <c r="F1210" s="89" cm="1">
        <f t="array" ref="F1210">5*LOG10(((c_light/1000/H_0_SAM)*(B1210/60)*SUMPRODUCT($J$2:$AD$2,1/SQRT(Omega_m*(1+$J$1:$AD$1*B1210)^3+Omega_L)))*(1+B1210)*100000)</f>
        <v>41.029285483610423</v>
      </c>
      <c r="G1210" s="89">
        <f t="shared" si="18"/>
        <v>7.9854836104260585E-3</v>
      </c>
    </row>
    <row r="1211" spans="1:7" x14ac:dyDescent="0.6">
      <c r="A1211" s="76">
        <v>14735</v>
      </c>
      <c r="B1211" s="87">
        <v>0.29947000000000001</v>
      </c>
      <c r="C1211" s="88">
        <v>40.733499999999999</v>
      </c>
      <c r="D1211" s="88">
        <v>0.18645999999999999</v>
      </c>
      <c r="E1211" s="76">
        <v>0</v>
      </c>
      <c r="F1211" s="89" cm="1">
        <f t="array" ref="F1211">5*LOG10(((c_light/1000/H_0_SAM)*(B1211/60)*SUMPRODUCT($J$2:$AD$2,1/SQRT(Omega_m*(1+$J$1:$AD$1*B1211)^3+Omega_L)))*(1+B1211)*100000)</f>
        <v>41.029452206851062</v>
      </c>
      <c r="G1211" s="89">
        <f t="shared" si="18"/>
        <v>0.29595220685106227</v>
      </c>
    </row>
    <row r="1212" spans="1:7" x14ac:dyDescent="0.6">
      <c r="A1212" s="76">
        <v>170428</v>
      </c>
      <c r="B1212" s="87">
        <v>0.30020000000000002</v>
      </c>
      <c r="C1212" s="88">
        <v>40.983699999999999</v>
      </c>
      <c r="D1212" s="88">
        <v>0.19816</v>
      </c>
      <c r="E1212" s="76">
        <v>0</v>
      </c>
      <c r="F1212" s="89" cm="1">
        <f t="array" ref="F1212">5*LOG10(((c_light/1000/H_0_SAM)*(B1212/60)*SUMPRODUCT($J$2:$AD$2,1/SQRT(Omega_m*(1+$J$1:$AD$1*B1212)^3+Omega_L)))*(1+B1212)*100000)</f>
        <v>41.035530597972986</v>
      </c>
      <c r="G1212" s="89">
        <f t="shared" si="18"/>
        <v>5.1830597972987391E-2</v>
      </c>
    </row>
    <row r="1213" spans="1:7" x14ac:dyDescent="0.6">
      <c r="A1213" s="76">
        <v>5391</v>
      </c>
      <c r="B1213" s="87">
        <v>0.30030000000000001</v>
      </c>
      <c r="C1213" s="88">
        <v>40.8795</v>
      </c>
      <c r="D1213" s="88">
        <v>0.24718999999999999</v>
      </c>
      <c r="E1213" s="76">
        <v>0</v>
      </c>
      <c r="F1213" s="89" cm="1">
        <f t="array" ref="F1213">5*LOG10(((c_light/1000/H_0_SAM)*(B1213/60)*SUMPRODUCT($J$2:$AD$2,1/SQRT(Omega_m*(1+$J$1:$AD$1*B1213)^3+Omega_L)))*(1+B1213)*100000)</f>
        <v>41.036362193942004</v>
      </c>
      <c r="G1213" s="89">
        <f t="shared" si="18"/>
        <v>0.15686219394200407</v>
      </c>
    </row>
    <row r="1214" spans="1:7" x14ac:dyDescent="0.6">
      <c r="A1214" s="76">
        <v>350078</v>
      </c>
      <c r="B1214" s="87">
        <v>0.30088999999999999</v>
      </c>
      <c r="C1214" s="88">
        <v>41.172899999999998</v>
      </c>
      <c r="D1214" s="88">
        <v>0.29472999999999999</v>
      </c>
      <c r="E1214" s="76">
        <v>0</v>
      </c>
      <c r="F1214" s="89" cm="1">
        <f t="array" ref="F1214">5*LOG10(((c_light/1000/H_0_SAM)*(B1214/60)*SUMPRODUCT($J$2:$AD$2,1/SQRT(Omega_m*(1+$J$1:$AD$1*B1214)^3+Omega_L)))*(1+B1214)*100000)</f>
        <v>41.041263425046033</v>
      </c>
      <c r="G1214" s="89">
        <f t="shared" si="18"/>
        <v>-0.13163657495396563</v>
      </c>
    </row>
    <row r="1215" spans="1:7" x14ac:dyDescent="0.6">
      <c r="A1215" s="76">
        <v>350192</v>
      </c>
      <c r="B1215" s="87">
        <v>0.30142000000000002</v>
      </c>
      <c r="C1215" s="88">
        <v>40.858499999999999</v>
      </c>
      <c r="D1215" s="88">
        <v>0.19170000000000001</v>
      </c>
      <c r="E1215" s="76">
        <v>0</v>
      </c>
      <c r="F1215" s="89" cm="1">
        <f t="array" ref="F1215">5*LOG10(((c_light/1000/H_0_SAM)*(B1215/60)*SUMPRODUCT($J$2:$AD$2,1/SQRT(Omega_m*(1+$J$1:$AD$1*B1215)^3+Omega_L)))*(1+B1215)*100000)</f>
        <v>41.045658684942403</v>
      </c>
      <c r="G1215" s="89">
        <f t="shared" si="18"/>
        <v>0.1871586849424034</v>
      </c>
    </row>
    <row r="1216" spans="1:7" x14ac:dyDescent="0.6">
      <c r="A1216" s="76">
        <v>570022</v>
      </c>
      <c r="B1216" s="87">
        <v>0.30152000000000001</v>
      </c>
      <c r="C1216" s="88">
        <v>41.108600000000003</v>
      </c>
      <c r="D1216" s="88">
        <v>0.20605000000000001</v>
      </c>
      <c r="E1216" s="76">
        <v>0</v>
      </c>
      <c r="F1216" s="89" cm="1">
        <f t="array" ref="F1216">5*LOG10(((c_light/1000/H_0_SAM)*(B1216/60)*SUMPRODUCT($J$2:$AD$2,1/SQRT(Omega_m*(1+$J$1:$AD$1*B1216)^3+Omega_L)))*(1+B1216)*100000)</f>
        <v>41.046487180999989</v>
      </c>
      <c r="G1216" s="89">
        <f t="shared" si="18"/>
        <v>-6.2112819000013531E-2</v>
      </c>
    </row>
    <row r="1217" spans="1:7" x14ac:dyDescent="0.6">
      <c r="A1217" s="76">
        <v>460037</v>
      </c>
      <c r="B1217" s="87">
        <v>0.30251</v>
      </c>
      <c r="C1217" s="88">
        <v>40.889400000000002</v>
      </c>
      <c r="D1217" s="88">
        <v>0.22475000000000001</v>
      </c>
      <c r="E1217" s="76">
        <v>0</v>
      </c>
      <c r="F1217" s="89" cm="1">
        <f t="array" ref="F1217">5*LOG10(((c_light/1000/H_0_SAM)*(B1217/60)*SUMPRODUCT($J$2:$AD$2,1/SQRT(Omega_m*(1+$J$1:$AD$1*B1217)^3+Omega_L)))*(1+B1217)*100000)</f>
        <v>41.054675665737399</v>
      </c>
      <c r="G1217" s="89">
        <f t="shared" si="18"/>
        <v>0.16527566573739705</v>
      </c>
    </row>
    <row r="1218" spans="1:7" x14ac:dyDescent="0.6">
      <c r="A1218" s="76">
        <v>1339002</v>
      </c>
      <c r="B1218" s="87">
        <v>0.30303999999999998</v>
      </c>
      <c r="C1218" s="88">
        <v>40.820399999999999</v>
      </c>
      <c r="D1218" s="88">
        <v>0.2747</v>
      </c>
      <c r="E1218" s="76">
        <v>0</v>
      </c>
      <c r="F1218" s="89" cm="1">
        <f t="array" ref="F1218">5*LOG10(((c_light/1000/H_0_SAM)*(B1218/60)*SUMPRODUCT($J$2:$AD$2,1/SQRT(Omega_m*(1+$J$1:$AD$1*B1218)^3+Omega_L)))*(1+B1218)*100000)</f>
        <v>41.059049262154865</v>
      </c>
      <c r="G1218" s="89">
        <f t="shared" si="18"/>
        <v>0.23864926215486548</v>
      </c>
    </row>
    <row r="1219" spans="1:7" x14ac:dyDescent="0.6">
      <c r="A1219" s="76">
        <v>150457</v>
      </c>
      <c r="B1219" s="87">
        <v>0.30352000000000001</v>
      </c>
      <c r="C1219" s="88">
        <v>40.920400000000001</v>
      </c>
      <c r="D1219" s="88">
        <v>0.14252000000000001</v>
      </c>
      <c r="E1219" s="76">
        <v>0</v>
      </c>
      <c r="F1219" s="89" cm="1">
        <f t="array" ref="F1219">5*LOG10(((c_light/1000/H_0_SAM)*(B1219/60)*SUMPRODUCT($J$2:$AD$2,1/SQRT(Omega_m*(1+$J$1:$AD$1*B1219)^3+Omega_L)))*(1+B1219)*100000)</f>
        <v>41.063004180037041</v>
      </c>
      <c r="G1219" s="89">
        <f t="shared" si="18"/>
        <v>0.1426041800370399</v>
      </c>
    </row>
    <row r="1220" spans="1:7" x14ac:dyDescent="0.6">
      <c r="A1220" s="76">
        <v>7143</v>
      </c>
      <c r="B1220" s="87">
        <v>0.30364999999999998</v>
      </c>
      <c r="C1220" s="88">
        <v>41.077800000000003</v>
      </c>
      <c r="D1220" s="88">
        <v>0.19753000000000001</v>
      </c>
      <c r="E1220" s="76">
        <v>0</v>
      </c>
      <c r="F1220" s="89" cm="1">
        <f t="array" ref="F1220">5*LOG10(((c_light/1000/H_0_SAM)*(B1220/60)*SUMPRODUCT($J$2:$AD$2,1/SQRT(Omega_m*(1+$J$1:$AD$1*B1220)^3+Omega_L)))*(1+B1220)*100000)</f>
        <v>41.064074312296093</v>
      </c>
      <c r="G1220" s="89">
        <f t="shared" si="18"/>
        <v>-1.3725687703910694E-2</v>
      </c>
    </row>
    <row r="1221" spans="1:7" x14ac:dyDescent="0.6">
      <c r="A1221" s="76">
        <v>1287626</v>
      </c>
      <c r="B1221" s="87">
        <v>0.30403999999999998</v>
      </c>
      <c r="C1221" s="88">
        <v>40.719000000000001</v>
      </c>
      <c r="D1221" s="88">
        <v>0.22209000000000001</v>
      </c>
      <c r="E1221" s="76">
        <v>0</v>
      </c>
      <c r="F1221" s="89" cm="1">
        <f t="array" ref="F1221">5*LOG10(((c_light/1000/H_0_SAM)*(B1221/60)*SUMPRODUCT($J$2:$AD$2,1/SQRT(Omega_m*(1+$J$1:$AD$1*B1221)^3+Omega_L)))*(1+B1221)*100000)</f>
        <v>41.067282179190634</v>
      </c>
      <c r="G1221" s="89">
        <f t="shared" si="18"/>
        <v>0.3482821791906332</v>
      </c>
    </row>
    <row r="1222" spans="1:7" x14ac:dyDescent="0.6">
      <c r="A1222" s="76">
        <v>19818</v>
      </c>
      <c r="B1222" s="87">
        <v>0.30406</v>
      </c>
      <c r="C1222" s="88">
        <v>40.705199999999998</v>
      </c>
      <c r="D1222" s="88">
        <v>0.18251999999999999</v>
      </c>
      <c r="E1222" s="76">
        <v>0</v>
      </c>
      <c r="F1222" s="89" cm="1">
        <f t="array" ref="F1222">5*LOG10(((c_light/1000/H_0_SAM)*(B1222/60)*SUMPRODUCT($J$2:$AD$2,1/SQRT(Omega_m*(1+$J$1:$AD$1*B1222)^3+Omega_L)))*(1+B1222)*100000)</f>
        <v>41.067446583008277</v>
      </c>
      <c r="G1222" s="89">
        <f t="shared" ref="G1222:G1285" si="19">F1222-C1222</f>
        <v>0.36224658300827883</v>
      </c>
    </row>
    <row r="1223" spans="1:7" x14ac:dyDescent="0.6">
      <c r="A1223" s="76">
        <v>1335717</v>
      </c>
      <c r="B1223" s="87">
        <v>0.30475999999999998</v>
      </c>
      <c r="C1223" s="88">
        <v>41.0411</v>
      </c>
      <c r="D1223" s="88">
        <v>0.24279999999999999</v>
      </c>
      <c r="E1223" s="76">
        <v>0</v>
      </c>
      <c r="F1223" s="89" cm="1">
        <f t="array" ref="F1223">5*LOG10(((c_light/1000/H_0_SAM)*(B1223/60)*SUMPRODUCT($J$2:$AD$2,1/SQRT(Omega_m*(1+$J$1:$AD$1*B1223)^3+Omega_L)))*(1+B1223)*100000)</f>
        <v>41.073194451110496</v>
      </c>
      <c r="G1223" s="89">
        <f t="shared" si="19"/>
        <v>3.209445111049547E-2</v>
      </c>
    </row>
    <row r="1224" spans="1:7" x14ac:dyDescent="0.6">
      <c r="A1224" s="76">
        <v>1259412</v>
      </c>
      <c r="B1224" s="87">
        <v>0.30486000000000002</v>
      </c>
      <c r="C1224" s="88">
        <v>40.901800000000001</v>
      </c>
      <c r="D1224" s="88">
        <v>0.14011000000000001</v>
      </c>
      <c r="E1224" s="76">
        <v>0</v>
      </c>
      <c r="F1224" s="89" cm="1">
        <f t="array" ref="F1224">5*LOG10(((c_light/1000/H_0_SAM)*(B1224/60)*SUMPRODUCT($J$2:$AD$2,1/SQRT(Omega_m*(1+$J$1:$AD$1*B1224)^3+Omega_L)))*(1+B1224)*100000)</f>
        <v>41.074014582309175</v>
      </c>
      <c r="G1224" s="89">
        <f t="shared" si="19"/>
        <v>0.17221458230917364</v>
      </c>
    </row>
    <row r="1225" spans="1:7" x14ac:dyDescent="0.6">
      <c r="A1225" s="76">
        <v>12883</v>
      </c>
      <c r="B1225" s="87">
        <v>0.30525999999999998</v>
      </c>
      <c r="C1225" s="88">
        <v>40.592399999999998</v>
      </c>
      <c r="D1225" s="88">
        <v>0.30670999999999998</v>
      </c>
      <c r="E1225" s="76">
        <v>0</v>
      </c>
      <c r="F1225" s="89" cm="1">
        <f t="array" ref="F1225">5*LOG10(((c_light/1000/H_0_SAM)*(B1225/60)*SUMPRODUCT($J$2:$AD$2,1/SQRT(Omega_m*(1+$J$1:$AD$1*B1225)^3+Omega_L)))*(1+B1225)*100000)</f>
        <v>41.077292631302804</v>
      </c>
      <c r="G1225" s="89">
        <f t="shared" si="19"/>
        <v>0.48489263130280591</v>
      </c>
    </row>
    <row r="1226" spans="1:7" x14ac:dyDescent="0.6">
      <c r="A1226" s="76">
        <v>350630</v>
      </c>
      <c r="B1226" s="87">
        <v>0.30537999999999998</v>
      </c>
      <c r="C1226" s="88">
        <v>40.9054</v>
      </c>
      <c r="D1226" s="88">
        <v>0.13383999999999999</v>
      </c>
      <c r="E1226" s="76">
        <v>0</v>
      </c>
      <c r="F1226" s="89" cm="1">
        <f t="array" ref="F1226">5*LOG10(((c_light/1000/H_0_SAM)*(B1226/60)*SUMPRODUCT($J$2:$AD$2,1/SQRT(Omega_m*(1+$J$1:$AD$1*B1226)^3+Omega_L)))*(1+B1226)*100000)</f>
        <v>41.07827527455342</v>
      </c>
      <c r="G1226" s="89">
        <f t="shared" si="19"/>
        <v>0.17287527455341944</v>
      </c>
    </row>
    <row r="1227" spans="1:7" x14ac:dyDescent="0.6">
      <c r="A1227" s="76">
        <v>440005</v>
      </c>
      <c r="B1227" s="87">
        <v>0.30547999999999997</v>
      </c>
      <c r="C1227" s="88">
        <v>41.004100000000001</v>
      </c>
      <c r="D1227" s="88">
        <v>0.22622999999999999</v>
      </c>
      <c r="E1227" s="76">
        <v>0</v>
      </c>
      <c r="F1227" s="89" cm="1">
        <f t="array" ref="F1227">5*LOG10(((c_light/1000/H_0_SAM)*(B1227/60)*SUMPRODUCT($J$2:$AD$2,1/SQRT(Omega_m*(1+$J$1:$AD$1*B1227)^3+Omega_L)))*(1+B1227)*100000)</f>
        <v>41.079093872297072</v>
      </c>
      <c r="G1227" s="89">
        <f t="shared" si="19"/>
        <v>7.4993872297071107E-2</v>
      </c>
    </row>
    <row r="1228" spans="1:7" x14ac:dyDescent="0.6">
      <c r="A1228" s="76">
        <v>350027</v>
      </c>
      <c r="B1228" s="87">
        <v>0.30581000000000003</v>
      </c>
      <c r="C1228" s="88">
        <v>40.945099999999996</v>
      </c>
      <c r="D1228" s="88">
        <v>0.16549</v>
      </c>
      <c r="E1228" s="76">
        <v>0</v>
      </c>
      <c r="F1228" s="89" cm="1">
        <f t="array" ref="F1228">5*LOG10(((c_light/1000/H_0_SAM)*(B1228/60)*SUMPRODUCT($J$2:$AD$2,1/SQRT(Omega_m*(1+$J$1:$AD$1*B1228)^3+Omega_L)))*(1+B1228)*100000)</f>
        <v>41.081793494839644</v>
      </c>
      <c r="G1228" s="89">
        <f t="shared" si="19"/>
        <v>0.13669349483964766</v>
      </c>
    </row>
    <row r="1229" spans="1:7" x14ac:dyDescent="0.6">
      <c r="A1229" s="76">
        <v>560087</v>
      </c>
      <c r="B1229" s="87">
        <v>0.30652000000000001</v>
      </c>
      <c r="C1229" s="88">
        <v>40.895899999999997</v>
      </c>
      <c r="D1229" s="88">
        <v>0.20155999999999999</v>
      </c>
      <c r="E1229" s="76">
        <v>0</v>
      </c>
      <c r="F1229" s="89" cm="1">
        <f t="array" ref="F1229">5*LOG10(((c_light/1000/H_0_SAM)*(B1229/60)*SUMPRODUCT($J$2:$AD$2,1/SQRT(Omega_m*(1+$J$1:$AD$1*B1229)^3+Omega_L)))*(1+B1229)*100000)</f>
        <v>41.087592688828074</v>
      </c>
      <c r="G1229" s="89">
        <f t="shared" si="19"/>
        <v>0.191692688828077</v>
      </c>
    </row>
    <row r="1230" spans="1:7" x14ac:dyDescent="0.6">
      <c r="A1230" s="76">
        <v>340334</v>
      </c>
      <c r="B1230" s="87">
        <v>0.30681000000000003</v>
      </c>
      <c r="C1230" s="88">
        <v>41.16</v>
      </c>
      <c r="D1230" s="88">
        <v>0.23910000000000001</v>
      </c>
      <c r="E1230" s="76">
        <v>0</v>
      </c>
      <c r="F1230" s="89" cm="1">
        <f t="array" ref="F1230">5*LOG10(((c_light/1000/H_0_SAM)*(B1230/60)*SUMPRODUCT($J$2:$AD$2,1/SQRT(Omega_m*(1+$J$1:$AD$1*B1230)^3+Omega_L)))*(1+B1230)*100000)</f>
        <v>41.089957815605672</v>
      </c>
      <c r="G1230" s="89">
        <f t="shared" si="19"/>
        <v>-7.0042184394324636E-2</v>
      </c>
    </row>
    <row r="1231" spans="1:7" x14ac:dyDescent="0.6">
      <c r="A1231" s="76">
        <v>1281668</v>
      </c>
      <c r="B1231" s="87">
        <v>0.30691000000000002</v>
      </c>
      <c r="C1231" s="88">
        <v>40.957299999999996</v>
      </c>
      <c r="D1231" s="88">
        <v>0.15006</v>
      </c>
      <c r="E1231" s="76">
        <v>0</v>
      </c>
      <c r="F1231" s="89" cm="1">
        <f t="array" ref="F1231">5*LOG10(((c_light/1000/H_0_SAM)*(B1231/60)*SUMPRODUCT($J$2:$AD$2,1/SQRT(Omega_m*(1+$J$1:$AD$1*B1231)^3+Omega_L)))*(1+B1231)*100000)</f>
        <v>41.090772899157727</v>
      </c>
      <c r="G1231" s="89">
        <f t="shared" si="19"/>
        <v>0.13347289915773075</v>
      </c>
    </row>
    <row r="1232" spans="1:7" x14ac:dyDescent="0.6">
      <c r="A1232" s="76">
        <v>520062</v>
      </c>
      <c r="B1232" s="87">
        <v>0.30818000000000001</v>
      </c>
      <c r="C1232" s="88">
        <v>41.201799999999999</v>
      </c>
      <c r="D1232" s="88">
        <v>0.13965</v>
      </c>
      <c r="E1232" s="76">
        <v>0</v>
      </c>
      <c r="F1232" s="89" cm="1">
        <f t="array" ref="F1232">5*LOG10(((c_light/1000/H_0_SAM)*(B1232/60)*SUMPRODUCT($J$2:$AD$2,1/SQRT(Omega_m*(1+$J$1:$AD$1*B1232)^3+Omega_L)))*(1+B1232)*100000)</f>
        <v>41.101103235227619</v>
      </c>
      <c r="G1232" s="89">
        <f t="shared" si="19"/>
        <v>-0.10069676477237977</v>
      </c>
    </row>
    <row r="1233" spans="1:7" x14ac:dyDescent="0.6">
      <c r="A1233" s="76">
        <v>5966</v>
      </c>
      <c r="B1233" s="87">
        <v>0.30834</v>
      </c>
      <c r="C1233" s="88">
        <v>40.953299999999999</v>
      </c>
      <c r="D1233" s="88">
        <v>0.25406000000000001</v>
      </c>
      <c r="E1233" s="76">
        <v>0</v>
      </c>
      <c r="F1233" s="89" cm="1">
        <f t="array" ref="F1233">5*LOG10(((c_light/1000/H_0_SAM)*(B1233/60)*SUMPRODUCT($J$2:$AD$2,1/SQRT(Omega_m*(1+$J$1:$AD$1*B1233)^3+Omega_L)))*(1+B1233)*100000)</f>
        <v>41.102401912613196</v>
      </c>
      <c r="G1233" s="89">
        <f t="shared" si="19"/>
        <v>0.14910191261319738</v>
      </c>
    </row>
    <row r="1234" spans="1:7" x14ac:dyDescent="0.6">
      <c r="A1234" s="76">
        <v>1319821</v>
      </c>
      <c r="B1234" s="87">
        <v>0.30878</v>
      </c>
      <c r="C1234" s="88">
        <v>40.995399999999997</v>
      </c>
      <c r="D1234" s="88">
        <v>0.15242</v>
      </c>
      <c r="E1234" s="76">
        <v>0</v>
      </c>
      <c r="F1234" s="89" cm="1">
        <f t="array" ref="F1234">5*LOG10(((c_light/1000/H_0_SAM)*(B1234/60)*SUMPRODUCT($J$2:$AD$2,1/SQRT(Omega_m*(1+$J$1:$AD$1*B1234)^3+Omega_L)))*(1+B1234)*100000)</f>
        <v>41.105970077532312</v>
      </c>
      <c r="G1234" s="89">
        <f t="shared" si="19"/>
        <v>0.11057007753231574</v>
      </c>
    </row>
    <row r="1235" spans="1:7" x14ac:dyDescent="0.6">
      <c r="A1235" s="76">
        <v>6699</v>
      </c>
      <c r="B1235" s="87">
        <v>0.30921999999999999</v>
      </c>
      <c r="C1235" s="88">
        <v>41.045999999999999</v>
      </c>
      <c r="D1235" s="88">
        <v>0.25063999999999997</v>
      </c>
      <c r="E1235" s="76">
        <v>0</v>
      </c>
      <c r="F1235" s="89" cm="1">
        <f t="array" ref="F1235">5*LOG10(((c_light/1000/H_0_SAM)*(B1235/60)*SUMPRODUCT($J$2:$AD$2,1/SQRT(Omega_m*(1+$J$1:$AD$1*B1235)^3+Omega_L)))*(1+B1235)*100000)</f>
        <v>41.109533562292349</v>
      </c>
      <c r="G1235" s="89">
        <f t="shared" si="19"/>
        <v>6.3533562292349188E-2</v>
      </c>
    </row>
    <row r="1236" spans="1:7" x14ac:dyDescent="0.6">
      <c r="A1236" s="76">
        <v>5844</v>
      </c>
      <c r="B1236" s="87">
        <v>0.30937999999999999</v>
      </c>
      <c r="C1236" s="88">
        <v>40.975700000000003</v>
      </c>
      <c r="D1236" s="88">
        <v>0.27038000000000001</v>
      </c>
      <c r="E1236" s="76">
        <v>0</v>
      </c>
      <c r="F1236" s="89" cm="1">
        <f t="array" ref="F1236">5*LOG10(((c_light/1000/H_0_SAM)*(B1236/60)*SUMPRODUCT($J$2:$AD$2,1/SQRT(Omega_m*(1+$J$1:$AD$1*B1236)^3+Omega_L)))*(1+B1236)*100000)</f>
        <v>41.110828217054674</v>
      </c>
      <c r="G1236" s="89">
        <f t="shared" si="19"/>
        <v>0.13512821705467104</v>
      </c>
    </row>
    <row r="1237" spans="1:7" x14ac:dyDescent="0.6">
      <c r="A1237" s="76">
        <v>16211</v>
      </c>
      <c r="B1237" s="87">
        <v>0.30948999999999999</v>
      </c>
      <c r="C1237" s="88">
        <v>41.017699999999998</v>
      </c>
      <c r="D1237" s="88">
        <v>0.30042999999999997</v>
      </c>
      <c r="E1237" s="76">
        <v>0</v>
      </c>
      <c r="F1237" s="89" cm="1">
        <f t="array" ref="F1237">5*LOG10(((c_light/1000/H_0_SAM)*(B1237/60)*SUMPRODUCT($J$2:$AD$2,1/SQRT(Omega_m*(1+$J$1:$AD$1*B1237)^3+Omega_L)))*(1+B1237)*100000)</f>
        <v>41.111717934510317</v>
      </c>
      <c r="G1237" s="89">
        <f t="shared" si="19"/>
        <v>9.4017934510318923E-2</v>
      </c>
    </row>
    <row r="1238" spans="1:7" x14ac:dyDescent="0.6">
      <c r="A1238" s="76">
        <v>21042</v>
      </c>
      <c r="B1238" s="87">
        <v>0.30962000000000001</v>
      </c>
      <c r="C1238" s="88">
        <v>40.72</v>
      </c>
      <c r="D1238" s="88">
        <v>0.25718000000000002</v>
      </c>
      <c r="E1238" s="76">
        <v>0</v>
      </c>
      <c r="F1238" s="89" cm="1">
        <f t="array" ref="F1238">5*LOG10(((c_light/1000/H_0_SAM)*(B1238/60)*SUMPRODUCT($J$2:$AD$2,1/SQRT(Omega_m*(1+$J$1:$AD$1*B1238)^3+Omega_L)))*(1+B1238)*100000)</f>
        <v>41.112769043327347</v>
      </c>
      <c r="G1238" s="89">
        <f t="shared" si="19"/>
        <v>0.3927690433273483</v>
      </c>
    </row>
    <row r="1239" spans="1:7" x14ac:dyDescent="0.6">
      <c r="A1239" s="76">
        <v>1300516</v>
      </c>
      <c r="B1239" s="87">
        <v>0.31052000000000002</v>
      </c>
      <c r="C1239" s="88">
        <v>40.619700000000002</v>
      </c>
      <c r="D1239" s="88">
        <v>0.33642</v>
      </c>
      <c r="E1239" s="76">
        <v>0</v>
      </c>
      <c r="F1239" s="89" cm="1">
        <f t="array" ref="F1239">5*LOG10(((c_light/1000/H_0_SAM)*(B1239/60)*SUMPRODUCT($J$2:$AD$2,1/SQRT(Omega_m*(1+$J$1:$AD$1*B1239)^3+Omega_L)))*(1+B1239)*100000)</f>
        <v>41.120034821536862</v>
      </c>
      <c r="G1239" s="89">
        <f t="shared" si="19"/>
        <v>0.50033482153686037</v>
      </c>
    </row>
    <row r="1240" spans="1:7" x14ac:dyDescent="0.6">
      <c r="A1240" s="76">
        <v>15213</v>
      </c>
      <c r="B1240" s="87">
        <v>0.31061</v>
      </c>
      <c r="C1240" s="88">
        <v>40.996200000000002</v>
      </c>
      <c r="D1240" s="88">
        <v>0.22139</v>
      </c>
      <c r="E1240" s="76">
        <v>0</v>
      </c>
      <c r="F1240" s="89" cm="1">
        <f t="array" ref="F1240">5*LOG10(((c_light/1000/H_0_SAM)*(B1240/60)*SUMPRODUCT($J$2:$AD$2,1/SQRT(Omega_m*(1+$J$1:$AD$1*B1240)^3+Omega_L)))*(1+B1240)*100000)</f>
        <v>41.120760332143</v>
      </c>
      <c r="G1240" s="89">
        <f t="shared" si="19"/>
        <v>0.12456033214299822</v>
      </c>
    </row>
    <row r="1241" spans="1:7" x14ac:dyDescent="0.6">
      <c r="A1241" s="76">
        <v>500100</v>
      </c>
      <c r="B1241" s="87">
        <v>0.31087999999999999</v>
      </c>
      <c r="C1241" s="88">
        <v>41.045999999999999</v>
      </c>
      <c r="D1241" s="88">
        <v>0.18264</v>
      </c>
      <c r="E1241" s="76">
        <v>0</v>
      </c>
      <c r="F1241" s="89" cm="1">
        <f t="array" ref="F1241">5*LOG10(((c_light/1000/H_0_SAM)*(B1241/60)*SUMPRODUCT($J$2:$AD$2,1/SQRT(Omega_m*(1+$J$1:$AD$1*B1241)^3+Omega_L)))*(1+B1241)*100000)</f>
        <v>41.122935702741444</v>
      </c>
      <c r="G1241" s="89">
        <f t="shared" si="19"/>
        <v>7.6935702741444345E-2</v>
      </c>
    </row>
    <row r="1242" spans="1:7" x14ac:dyDescent="0.6">
      <c r="A1242" s="76">
        <v>420</v>
      </c>
      <c r="B1242" s="87">
        <v>0.31143999999999999</v>
      </c>
      <c r="C1242" s="88">
        <v>41.012300000000003</v>
      </c>
      <c r="D1242" s="88">
        <v>0.14174</v>
      </c>
      <c r="E1242" s="76">
        <v>0</v>
      </c>
      <c r="F1242" s="89" cm="1">
        <f t="array" ref="F1242">5*LOG10(((c_light/1000/H_0_SAM)*(B1242/60)*SUMPRODUCT($J$2:$AD$2,1/SQRT(Omega_m*(1+$J$1:$AD$1*B1242)^3+Omega_L)))*(1+B1242)*100000)</f>
        <v>41.127442040151145</v>
      </c>
      <c r="G1242" s="89">
        <f t="shared" si="19"/>
        <v>0.1151420401511416</v>
      </c>
    </row>
    <row r="1243" spans="1:7" x14ac:dyDescent="0.6">
      <c r="A1243" s="76">
        <v>1338128</v>
      </c>
      <c r="B1243" s="87">
        <v>0.31179000000000001</v>
      </c>
      <c r="C1243" s="88">
        <v>41.037700000000001</v>
      </c>
      <c r="D1243" s="88">
        <v>0.21093000000000001</v>
      </c>
      <c r="E1243" s="76">
        <v>0</v>
      </c>
      <c r="F1243" s="89" cm="1">
        <f t="array" ref="F1243">5*LOG10(((c_light/1000/H_0_SAM)*(B1243/60)*SUMPRODUCT($J$2:$AD$2,1/SQRT(Omega_m*(1+$J$1:$AD$1*B1243)^3+Omega_L)))*(1+B1243)*100000)</f>
        <v>41.130254712369435</v>
      </c>
      <c r="G1243" s="89">
        <f t="shared" si="19"/>
        <v>9.2554712369434355E-2</v>
      </c>
    </row>
    <row r="1244" spans="1:7" x14ac:dyDescent="0.6">
      <c r="A1244" s="76">
        <v>1337838</v>
      </c>
      <c r="B1244" s="87">
        <v>0.31202999999999997</v>
      </c>
      <c r="C1244" s="88">
        <v>40.950299999999999</v>
      </c>
      <c r="D1244" s="88">
        <v>0.16045000000000001</v>
      </c>
      <c r="E1244" s="76">
        <v>0</v>
      </c>
      <c r="F1244" s="89" cm="1">
        <f t="array" ref="F1244">5*LOG10(((c_light/1000/H_0_SAM)*(B1244/60)*SUMPRODUCT($J$2:$AD$2,1/SQRT(Omega_m*(1+$J$1:$AD$1*B1244)^3+Omega_L)))*(1+B1244)*100000)</f>
        <v>41.132181721476954</v>
      </c>
      <c r="G1244" s="89">
        <f t="shared" si="19"/>
        <v>0.18188172147695525</v>
      </c>
    </row>
    <row r="1245" spans="1:7" x14ac:dyDescent="0.6">
      <c r="A1245" s="76">
        <v>1263369</v>
      </c>
      <c r="B1245" s="87">
        <v>0.31262000000000001</v>
      </c>
      <c r="C1245" s="88">
        <v>40.956499999999998</v>
      </c>
      <c r="D1245" s="88">
        <v>0.14971000000000001</v>
      </c>
      <c r="E1245" s="76">
        <v>0</v>
      </c>
      <c r="F1245" s="89" cm="1">
        <f t="array" ref="F1245">5*LOG10(((c_light/1000/H_0_SAM)*(B1245/60)*SUMPRODUCT($J$2:$AD$2,1/SQRT(Omega_m*(1+$J$1:$AD$1*B1245)^3+Omega_L)))*(1+B1245)*100000)</f>
        <v>41.136913154782029</v>
      </c>
      <c r="G1245" s="89">
        <f t="shared" si="19"/>
        <v>0.18041315478203046</v>
      </c>
    </row>
    <row r="1246" spans="1:7" x14ac:dyDescent="0.6">
      <c r="A1246" s="76">
        <v>1294743</v>
      </c>
      <c r="B1246" s="87">
        <v>0.31267</v>
      </c>
      <c r="C1246" s="88">
        <v>41.035200000000003</v>
      </c>
      <c r="D1246" s="88">
        <v>0.27947</v>
      </c>
      <c r="E1246" s="76">
        <v>0</v>
      </c>
      <c r="F1246" s="89" cm="1">
        <f t="array" ref="F1246">5*LOG10(((c_light/1000/H_0_SAM)*(B1246/60)*SUMPRODUCT($J$2:$AD$2,1/SQRT(Omega_m*(1+$J$1:$AD$1*B1246)^3+Omega_L)))*(1+B1246)*100000)</f>
        <v>41.137313745548276</v>
      </c>
      <c r="G1246" s="89">
        <f t="shared" si="19"/>
        <v>0.10211374554827302</v>
      </c>
    </row>
    <row r="1247" spans="1:7" x14ac:dyDescent="0.6">
      <c r="A1247" s="76">
        <v>20142</v>
      </c>
      <c r="B1247" s="87">
        <v>0.31269999999999998</v>
      </c>
      <c r="C1247" s="88">
        <v>40.623899999999999</v>
      </c>
      <c r="D1247" s="88">
        <v>0.20619999999999999</v>
      </c>
      <c r="E1247" s="76">
        <v>0</v>
      </c>
      <c r="F1247" s="89" cm="1">
        <f t="array" ref="F1247">5*LOG10(((c_light/1000/H_0_SAM)*(B1247/60)*SUMPRODUCT($J$2:$AD$2,1/SQRT(Omega_m*(1+$J$1:$AD$1*B1247)^3+Omega_L)))*(1+B1247)*100000)</f>
        <v>41.137554071684974</v>
      </c>
      <c r="G1247" s="89">
        <f t="shared" si="19"/>
        <v>0.51365407168497512</v>
      </c>
    </row>
    <row r="1248" spans="1:7" x14ac:dyDescent="0.6">
      <c r="A1248" s="76">
        <v>1283878</v>
      </c>
      <c r="B1248" s="87">
        <v>0.31296000000000002</v>
      </c>
      <c r="C1248" s="88">
        <v>41.019500000000001</v>
      </c>
      <c r="D1248" s="88">
        <v>0.20349999999999999</v>
      </c>
      <c r="E1248" s="76">
        <v>0</v>
      </c>
      <c r="F1248" s="89" cm="1">
        <f t="array" ref="F1248">5*LOG10(((c_light/1000/H_0_SAM)*(B1248/60)*SUMPRODUCT($J$2:$AD$2,1/SQRT(Omega_m*(1+$J$1:$AD$1*B1248)^3+Omega_L)))*(1+B1248)*100000)</f>
        <v>41.139636009004484</v>
      </c>
      <c r="G1248" s="89">
        <f t="shared" si="19"/>
        <v>0.12013600900448296</v>
      </c>
    </row>
    <row r="1249" spans="1:7" x14ac:dyDescent="0.6">
      <c r="A1249" s="76">
        <v>1341894</v>
      </c>
      <c r="B1249" s="87">
        <v>0.31302999999999997</v>
      </c>
      <c r="C1249" s="88">
        <v>41.006100000000004</v>
      </c>
      <c r="D1249" s="88">
        <v>0.17679</v>
      </c>
      <c r="E1249" s="76">
        <v>0</v>
      </c>
      <c r="F1249" s="89" cm="1">
        <f t="array" ref="F1249">5*LOG10(((c_light/1000/H_0_SAM)*(B1249/60)*SUMPRODUCT($J$2:$AD$2,1/SQRT(Omega_m*(1+$J$1:$AD$1*B1249)^3+Omega_L)))*(1+B1249)*100000)</f>
        <v>41.140196258370267</v>
      </c>
      <c r="G1249" s="89">
        <f t="shared" si="19"/>
        <v>0.1340962583702634</v>
      </c>
    </row>
    <row r="1250" spans="1:7" x14ac:dyDescent="0.6">
      <c r="A1250" s="76">
        <v>19632</v>
      </c>
      <c r="B1250" s="87">
        <v>0.31386999999999998</v>
      </c>
      <c r="C1250" s="88">
        <v>41.022799999999997</v>
      </c>
      <c r="D1250" s="88">
        <v>0.21443000000000001</v>
      </c>
      <c r="E1250" s="76">
        <v>0</v>
      </c>
      <c r="F1250" s="89" cm="1">
        <f t="array" ref="F1250">5*LOG10(((c_light/1000/H_0_SAM)*(B1250/60)*SUMPRODUCT($J$2:$AD$2,1/SQRT(Omega_m*(1+$J$1:$AD$1*B1250)^3+Omega_L)))*(1+B1250)*100000)</f>
        <v>41.146910264193295</v>
      </c>
      <c r="G1250" s="89">
        <f t="shared" si="19"/>
        <v>0.12411026419329829</v>
      </c>
    </row>
    <row r="1251" spans="1:7" x14ac:dyDescent="0.6">
      <c r="A1251" s="76">
        <v>530112</v>
      </c>
      <c r="B1251" s="87">
        <v>0.31452999999999998</v>
      </c>
      <c r="C1251" s="88">
        <v>41.125100000000003</v>
      </c>
      <c r="D1251" s="88">
        <v>0.15570999999999999</v>
      </c>
      <c r="E1251" s="76">
        <v>0</v>
      </c>
      <c r="F1251" s="89" cm="1">
        <f t="array" ref="F1251">5*LOG10(((c_light/1000/H_0_SAM)*(B1251/60)*SUMPRODUCT($J$2:$AD$2,1/SQRT(Omega_m*(1+$J$1:$AD$1*B1251)^3+Omega_L)))*(1+B1251)*100000)</f>
        <v>41.152173952796069</v>
      </c>
      <c r="G1251" s="89">
        <f t="shared" si="19"/>
        <v>2.7073952796065726E-2</v>
      </c>
    </row>
    <row r="1252" spans="1:7" x14ac:dyDescent="0.6">
      <c r="A1252" s="76">
        <v>15383</v>
      </c>
      <c r="B1252" s="87">
        <v>0.31506000000000001</v>
      </c>
      <c r="C1252" s="88">
        <v>41.019399999999997</v>
      </c>
      <c r="D1252" s="88">
        <v>0.2278</v>
      </c>
      <c r="E1252" s="76">
        <v>0</v>
      </c>
      <c r="F1252" s="89" cm="1">
        <f t="array" ref="F1252">5*LOG10(((c_light/1000/H_0_SAM)*(B1252/60)*SUMPRODUCT($J$2:$AD$2,1/SQRT(Omega_m*(1+$J$1:$AD$1*B1252)^3+Omega_L)))*(1+B1252)*100000)</f>
        <v>41.156393493577433</v>
      </c>
      <c r="G1252" s="89">
        <f t="shared" si="19"/>
        <v>0.13699349357743529</v>
      </c>
    </row>
    <row r="1253" spans="1:7" x14ac:dyDescent="0.6">
      <c r="A1253" s="76">
        <v>6649</v>
      </c>
      <c r="B1253" s="87">
        <v>0.31519999999999998</v>
      </c>
      <c r="C1253" s="88">
        <v>40.883699999999997</v>
      </c>
      <c r="D1253" s="88">
        <v>0.21995999999999999</v>
      </c>
      <c r="E1253" s="76">
        <v>0</v>
      </c>
      <c r="F1253" s="89" cm="1">
        <f t="array" ref="F1253">5*LOG10(((c_light/1000/H_0_SAM)*(B1253/60)*SUMPRODUCT($J$2:$AD$2,1/SQRT(Omega_m*(1+$J$1:$AD$1*B1253)^3+Omega_L)))*(1+B1253)*100000)</f>
        <v>41.157506997498778</v>
      </c>
      <c r="G1253" s="89">
        <f t="shared" si="19"/>
        <v>0.2738069974987809</v>
      </c>
    </row>
    <row r="1254" spans="1:7" x14ac:dyDescent="0.6">
      <c r="A1254" s="76">
        <v>110716</v>
      </c>
      <c r="B1254" s="87">
        <v>0.31587999999999999</v>
      </c>
      <c r="C1254" s="88">
        <v>41.203299999999999</v>
      </c>
      <c r="D1254" s="88">
        <v>0.23330000000000001</v>
      </c>
      <c r="E1254" s="76">
        <v>0</v>
      </c>
      <c r="F1254" s="89" cm="1">
        <f t="array" ref="F1254">5*LOG10(((c_light/1000/H_0_SAM)*(B1254/60)*SUMPRODUCT($J$2:$AD$2,1/SQRT(Omega_m*(1+$J$1:$AD$1*B1254)^3+Omega_L)))*(1+B1254)*100000)</f>
        <v>41.162908972811756</v>
      </c>
      <c r="G1254" s="89">
        <f t="shared" si="19"/>
        <v>-4.039102718824239E-2</v>
      </c>
    </row>
    <row r="1255" spans="1:7" x14ac:dyDescent="0.6">
      <c r="A1255" s="76">
        <v>15776</v>
      </c>
      <c r="B1255" s="87">
        <v>0.31592999999999999</v>
      </c>
      <c r="C1255" s="88">
        <v>40.933</v>
      </c>
      <c r="D1255" s="88">
        <v>0.22764000000000001</v>
      </c>
      <c r="E1255" s="76">
        <v>0</v>
      </c>
      <c r="F1255" s="89" cm="1">
        <f t="array" ref="F1255">5*LOG10(((c_light/1000/H_0_SAM)*(B1255/60)*SUMPRODUCT($J$2:$AD$2,1/SQRT(Omega_m*(1+$J$1:$AD$1*B1255)^3+Omega_L)))*(1+B1255)*100000)</f>
        <v>41.16330575395228</v>
      </c>
      <c r="G1255" s="89">
        <f t="shared" si="19"/>
        <v>0.2303057539522797</v>
      </c>
    </row>
    <row r="1256" spans="1:7" x14ac:dyDescent="0.6">
      <c r="A1256" s="76">
        <v>6100</v>
      </c>
      <c r="B1256" s="87">
        <v>0.31623000000000001</v>
      </c>
      <c r="C1256" s="88">
        <v>41.197899999999997</v>
      </c>
      <c r="D1256" s="88">
        <v>0.27409</v>
      </c>
      <c r="E1256" s="76">
        <v>0</v>
      </c>
      <c r="F1256" s="89" cm="1">
        <f t="array" ref="F1256">5*LOG10(((c_light/1000/H_0_SAM)*(B1256/60)*SUMPRODUCT($J$2:$AD$2,1/SQRT(Omega_m*(1+$J$1:$AD$1*B1256)^3+Omega_L)))*(1+B1256)*100000)</f>
        <v>41.16568522668657</v>
      </c>
      <c r="G1256" s="89">
        <f t="shared" si="19"/>
        <v>-3.2214773313427258E-2</v>
      </c>
    </row>
    <row r="1257" spans="1:7" x14ac:dyDescent="0.6">
      <c r="A1257" s="76">
        <v>100163</v>
      </c>
      <c r="B1257" s="87">
        <v>0.31781999999999999</v>
      </c>
      <c r="C1257" s="88">
        <v>41.073799999999999</v>
      </c>
      <c r="D1257" s="88">
        <v>0.19592000000000001</v>
      </c>
      <c r="E1257" s="76">
        <v>0</v>
      </c>
      <c r="F1257" s="89" cm="1">
        <f t="array" ref="F1257">5*LOG10(((c_light/1000/H_0_SAM)*(B1257/60)*SUMPRODUCT($J$2:$AD$2,1/SQRT(Omega_m*(1+$J$1:$AD$1*B1257)^3+Omega_L)))*(1+B1257)*100000)</f>
        <v>41.178261819898708</v>
      </c>
      <c r="G1257" s="89">
        <f t="shared" si="19"/>
        <v>0.10446181989870951</v>
      </c>
    </row>
    <row r="1258" spans="1:7" x14ac:dyDescent="0.6">
      <c r="A1258" s="76">
        <v>1345553</v>
      </c>
      <c r="B1258" s="87">
        <v>0.31803999999999999</v>
      </c>
      <c r="C1258" s="88">
        <v>41.077199999999998</v>
      </c>
      <c r="D1258" s="88">
        <v>0.16721</v>
      </c>
      <c r="E1258" s="76">
        <v>0</v>
      </c>
      <c r="F1258" s="89" cm="1">
        <f t="array" ref="F1258">5*LOG10(((c_light/1000/H_0_SAM)*(B1258/60)*SUMPRODUCT($J$2:$AD$2,1/SQRT(Omega_m*(1+$J$1:$AD$1*B1258)^3+Omega_L)))*(1+B1258)*100000)</f>
        <v>41.17999741047587</v>
      </c>
      <c r="G1258" s="89">
        <f t="shared" si="19"/>
        <v>0.10279741047587265</v>
      </c>
    </row>
    <row r="1259" spans="1:7" x14ac:dyDescent="0.6">
      <c r="A1259" s="76">
        <v>80646</v>
      </c>
      <c r="B1259" s="87">
        <v>0.31822</v>
      </c>
      <c r="C1259" s="88">
        <v>41.0199</v>
      </c>
      <c r="D1259" s="88">
        <v>0.15348999999999999</v>
      </c>
      <c r="E1259" s="76">
        <v>0</v>
      </c>
      <c r="F1259" s="89" cm="1">
        <f t="array" ref="F1259">5*LOG10(((c_light/1000/H_0_SAM)*(B1259/60)*SUMPRODUCT($J$2:$AD$2,1/SQRT(Omega_m*(1+$J$1:$AD$1*B1259)^3+Omega_L)))*(1+B1259)*100000)</f>
        <v>41.181416616654694</v>
      </c>
      <c r="G1259" s="89">
        <f t="shared" si="19"/>
        <v>0.16151661665469419</v>
      </c>
    </row>
    <row r="1260" spans="1:7" x14ac:dyDescent="0.6">
      <c r="A1260" s="76">
        <v>550059</v>
      </c>
      <c r="B1260" s="87">
        <v>0.31850000000000001</v>
      </c>
      <c r="C1260" s="88">
        <v>41.334499999999998</v>
      </c>
      <c r="D1260" s="88">
        <v>0.32793</v>
      </c>
      <c r="E1260" s="76">
        <v>0</v>
      </c>
      <c r="F1260" s="89" cm="1">
        <f t="array" ref="F1260">5*LOG10(((c_light/1000/H_0_SAM)*(B1260/60)*SUMPRODUCT($J$2:$AD$2,1/SQRT(Omega_m*(1+$J$1:$AD$1*B1260)^3+Omega_L)))*(1+B1260)*100000)</f>
        <v>41.183622801398116</v>
      </c>
      <c r="G1260" s="89">
        <f t="shared" si="19"/>
        <v>-0.15087719860188287</v>
      </c>
    </row>
    <row r="1261" spans="1:7" x14ac:dyDescent="0.6">
      <c r="A1261" s="76">
        <v>310188</v>
      </c>
      <c r="B1261" s="87">
        <v>0.31901000000000002</v>
      </c>
      <c r="C1261" s="88">
        <v>41.140999999999998</v>
      </c>
      <c r="D1261" s="88">
        <v>0.17766999999999999</v>
      </c>
      <c r="E1261" s="76">
        <v>0</v>
      </c>
      <c r="F1261" s="89" cm="1">
        <f t="array" ref="F1261">5*LOG10(((c_light/1000/H_0_SAM)*(B1261/60)*SUMPRODUCT($J$2:$AD$2,1/SQRT(Omega_m*(1+$J$1:$AD$1*B1261)^3+Omega_L)))*(1+B1261)*100000)</f>
        <v>41.187636622077271</v>
      </c>
      <c r="G1261" s="89">
        <f t="shared" si="19"/>
        <v>4.6636622077272705E-2</v>
      </c>
    </row>
    <row r="1262" spans="1:7" x14ac:dyDescent="0.6">
      <c r="A1262" s="76">
        <v>440509</v>
      </c>
      <c r="B1262" s="87">
        <v>0.31901000000000002</v>
      </c>
      <c r="C1262" s="88">
        <v>40.894100000000002</v>
      </c>
      <c r="D1262" s="88">
        <v>0.20388000000000001</v>
      </c>
      <c r="E1262" s="76">
        <v>0</v>
      </c>
      <c r="F1262" s="89" cm="1">
        <f t="array" ref="F1262">5*LOG10(((c_light/1000/H_0_SAM)*(B1262/60)*SUMPRODUCT($J$2:$AD$2,1/SQRT(Omega_m*(1+$J$1:$AD$1*B1262)^3+Omega_L)))*(1+B1262)*100000)</f>
        <v>41.187636622077271</v>
      </c>
      <c r="G1262" s="89">
        <f t="shared" si="19"/>
        <v>0.29353662207726927</v>
      </c>
    </row>
    <row r="1263" spans="1:7" x14ac:dyDescent="0.6">
      <c r="A1263" s="76">
        <v>170078</v>
      </c>
      <c r="B1263" s="87">
        <v>0.32096000000000002</v>
      </c>
      <c r="C1263" s="88">
        <v>41.231499999999997</v>
      </c>
      <c r="D1263" s="88">
        <v>0.20730000000000001</v>
      </c>
      <c r="E1263" s="76">
        <v>0</v>
      </c>
      <c r="F1263" s="89" cm="1">
        <f t="array" ref="F1263">5*LOG10(((c_light/1000/H_0_SAM)*(B1263/60)*SUMPRODUCT($J$2:$AD$2,1/SQRT(Omega_m*(1+$J$1:$AD$1*B1263)^3+Omega_L)))*(1+B1263)*100000)</f>
        <v>41.202929264838744</v>
      </c>
      <c r="G1263" s="89">
        <f t="shared" si="19"/>
        <v>-2.8570735161252969E-2</v>
      </c>
    </row>
    <row r="1264" spans="1:7" x14ac:dyDescent="0.6">
      <c r="A1264" s="76">
        <v>330128</v>
      </c>
      <c r="B1264" s="87">
        <v>0.32103999999999999</v>
      </c>
      <c r="C1264" s="88">
        <v>40.954599999999999</v>
      </c>
      <c r="D1264" s="88">
        <v>0.15637000000000001</v>
      </c>
      <c r="E1264" s="76">
        <v>0</v>
      </c>
      <c r="F1264" s="89" cm="1">
        <f t="array" ref="F1264">5*LOG10(((c_light/1000/H_0_SAM)*(B1264/60)*SUMPRODUCT($J$2:$AD$2,1/SQRT(Omega_m*(1+$J$1:$AD$1*B1264)^3+Omega_L)))*(1+B1264)*100000)</f>
        <v>41.203554825669393</v>
      </c>
      <c r="G1264" s="89">
        <f t="shared" si="19"/>
        <v>0.24895482566939364</v>
      </c>
    </row>
    <row r="1265" spans="1:7" x14ac:dyDescent="0.6">
      <c r="A1265" s="76">
        <v>1266657</v>
      </c>
      <c r="B1265" s="87">
        <v>0.32118000000000002</v>
      </c>
      <c r="C1265" s="88">
        <v>41.192100000000003</v>
      </c>
      <c r="D1265" s="88">
        <v>0.29343999999999998</v>
      </c>
      <c r="E1265" s="76">
        <v>0</v>
      </c>
      <c r="F1265" s="89" cm="1">
        <f t="array" ref="F1265">5*LOG10(((c_light/1000/H_0_SAM)*(B1265/60)*SUMPRODUCT($J$2:$AD$2,1/SQRT(Omega_m*(1+$J$1:$AD$1*B1265)^3+Omega_L)))*(1+B1265)*100000)</f>
        <v>41.20464921161782</v>
      </c>
      <c r="G1265" s="89">
        <f t="shared" si="19"/>
        <v>1.2549211617816525E-2</v>
      </c>
    </row>
    <row r="1266" spans="1:7" x14ac:dyDescent="0.6">
      <c r="A1266" s="76">
        <v>120085</v>
      </c>
      <c r="B1266" s="87">
        <v>0.32206000000000001</v>
      </c>
      <c r="C1266" s="88">
        <v>40.7271</v>
      </c>
      <c r="D1266" s="88">
        <v>0.19925999999999999</v>
      </c>
      <c r="E1266" s="76">
        <v>0</v>
      </c>
      <c r="F1266" s="89" cm="1">
        <f t="array" ref="F1266">5*LOG10(((c_light/1000/H_0_SAM)*(B1266/60)*SUMPRODUCT($J$2:$AD$2,1/SQRT(Omega_m*(1+$J$1:$AD$1*B1266)^3+Omega_L)))*(1+B1266)*100000)</f>
        <v>41.211518161941108</v>
      </c>
      <c r="G1266" s="89">
        <f t="shared" si="19"/>
        <v>0.48441816194110743</v>
      </c>
    </row>
    <row r="1267" spans="1:7" x14ac:dyDescent="0.6">
      <c r="A1267" s="76">
        <v>580104</v>
      </c>
      <c r="B1267" s="87">
        <v>0.32223000000000002</v>
      </c>
      <c r="C1267" s="88">
        <v>40.8628</v>
      </c>
      <c r="D1267" s="88">
        <v>0.15819</v>
      </c>
      <c r="E1267" s="76">
        <v>0</v>
      </c>
      <c r="F1267" s="89" cm="1">
        <f t="array" ref="F1267">5*LOG10(((c_light/1000/H_0_SAM)*(B1267/60)*SUMPRODUCT($J$2:$AD$2,1/SQRT(Omega_m*(1+$J$1:$AD$1*B1267)^3+Omega_L)))*(1+B1267)*100000)</f>
        <v>41.212843124964074</v>
      </c>
      <c r="G1267" s="89">
        <f t="shared" si="19"/>
        <v>0.35004312496407408</v>
      </c>
    </row>
    <row r="1268" spans="1:7" x14ac:dyDescent="0.6">
      <c r="A1268" s="76">
        <v>1261579</v>
      </c>
      <c r="B1268" s="87">
        <v>0.32223000000000002</v>
      </c>
      <c r="C1268" s="88">
        <v>40.877400000000002</v>
      </c>
      <c r="D1268" s="88">
        <v>0.13877</v>
      </c>
      <c r="E1268" s="76">
        <v>0</v>
      </c>
      <c r="F1268" s="89" cm="1">
        <f t="array" ref="F1268">5*LOG10(((c_light/1000/H_0_SAM)*(B1268/60)*SUMPRODUCT($J$2:$AD$2,1/SQRT(Omega_m*(1+$J$1:$AD$1*B1268)^3+Omega_L)))*(1+B1268)*100000)</f>
        <v>41.212843124964074</v>
      </c>
      <c r="G1268" s="89">
        <f t="shared" si="19"/>
        <v>0.33544312496407258</v>
      </c>
    </row>
    <row r="1269" spans="1:7" x14ac:dyDescent="0.6">
      <c r="A1269" s="76">
        <v>7475</v>
      </c>
      <c r="B1269" s="87">
        <v>0.32275999999999999</v>
      </c>
      <c r="C1269" s="88">
        <v>40.931600000000003</v>
      </c>
      <c r="D1269" s="88">
        <v>0.21190000000000001</v>
      </c>
      <c r="E1269" s="76">
        <v>0</v>
      </c>
      <c r="F1269" s="89" cm="1">
        <f t="array" ref="F1269">5*LOG10(((c_light/1000/H_0_SAM)*(B1269/60)*SUMPRODUCT($J$2:$AD$2,1/SQRT(Omega_m*(1+$J$1:$AD$1*B1269)^3+Omega_L)))*(1+B1269)*100000)</f>
        <v>41.216969762057801</v>
      </c>
      <c r="G1269" s="89">
        <f t="shared" si="19"/>
        <v>0.28536976205779752</v>
      </c>
    </row>
    <row r="1270" spans="1:7" x14ac:dyDescent="0.6">
      <c r="A1270" s="76" t="s">
        <v>1378</v>
      </c>
      <c r="B1270" s="87">
        <v>0.32446000000000003</v>
      </c>
      <c r="C1270" s="88">
        <v>41.069899999999997</v>
      </c>
      <c r="D1270" s="88">
        <v>0.12647</v>
      </c>
      <c r="E1270" s="76">
        <v>0</v>
      </c>
      <c r="F1270" s="89" cm="1">
        <f t="array" ref="F1270">5*LOG10(((c_light/1000/H_0_SAM)*(B1270/60)*SUMPRODUCT($J$2:$AD$2,1/SQRT(Omega_m*(1+$J$1:$AD$1*B1270)^3+Omega_L)))*(1+B1270)*100000)</f>
        <v>41.23016414302338</v>
      </c>
      <c r="G1270" s="89">
        <f t="shared" si="19"/>
        <v>0.1602641430233831</v>
      </c>
    </row>
    <row r="1271" spans="1:7" x14ac:dyDescent="0.6">
      <c r="A1271" s="76">
        <v>50291</v>
      </c>
      <c r="B1271" s="87">
        <v>0.32547999999999999</v>
      </c>
      <c r="C1271" s="88">
        <v>41.2273</v>
      </c>
      <c r="D1271" s="88">
        <v>0.19325999999999999</v>
      </c>
      <c r="E1271" s="76">
        <v>0</v>
      </c>
      <c r="F1271" s="89" cm="1">
        <f t="array" ref="F1271">5*LOG10(((c_light/1000/H_0_SAM)*(B1271/60)*SUMPRODUCT($J$2:$AD$2,1/SQRT(Omega_m*(1+$J$1:$AD$1*B1271)^3+Omega_L)))*(1+B1271)*100000)</f>
        <v>41.238050228780878</v>
      </c>
      <c r="G1271" s="89">
        <f t="shared" si="19"/>
        <v>1.0750228780878501E-2</v>
      </c>
    </row>
    <row r="1272" spans="1:7" x14ac:dyDescent="0.6">
      <c r="A1272" s="76">
        <v>500301</v>
      </c>
      <c r="B1272" s="87">
        <v>0.3256</v>
      </c>
      <c r="C1272" s="88">
        <v>41.262500000000003</v>
      </c>
      <c r="D1272" s="88">
        <v>0.25529000000000002</v>
      </c>
      <c r="E1272" s="76">
        <v>0</v>
      </c>
      <c r="F1272" s="89" cm="1">
        <f t="array" ref="F1272">5*LOG10(((c_light/1000/H_0_SAM)*(B1272/60)*SUMPRODUCT($J$2:$AD$2,1/SQRT(Omega_m*(1+$J$1:$AD$1*B1272)^3+Omega_L)))*(1+B1272)*100000)</f>
        <v>41.238976505951406</v>
      </c>
      <c r="G1272" s="89">
        <f t="shared" si="19"/>
        <v>-2.352349404859666E-2</v>
      </c>
    </row>
    <row r="1273" spans="1:7" x14ac:dyDescent="0.6">
      <c r="A1273" s="76">
        <v>18617</v>
      </c>
      <c r="B1273" s="87">
        <v>0.32579999999999998</v>
      </c>
      <c r="C1273" s="88">
        <v>41.163899999999998</v>
      </c>
      <c r="D1273" s="88">
        <v>0.27127000000000001</v>
      </c>
      <c r="E1273" s="76">
        <v>0</v>
      </c>
      <c r="F1273" s="89" cm="1">
        <f t="array" ref="F1273">5*LOG10(((c_light/1000/H_0_SAM)*(B1273/60)*SUMPRODUCT($J$2:$AD$2,1/SQRT(Omega_m*(1+$J$1:$AD$1*B1273)^3+Omega_L)))*(1+B1273)*100000)</f>
        <v>41.240519602429579</v>
      </c>
      <c r="G1273" s="89">
        <f t="shared" si="19"/>
        <v>7.661960242958088E-2</v>
      </c>
    </row>
    <row r="1274" spans="1:7" x14ac:dyDescent="0.6">
      <c r="A1274" s="76">
        <v>1305626</v>
      </c>
      <c r="B1274" s="87">
        <v>0.32580999999999999</v>
      </c>
      <c r="C1274" s="88">
        <v>41.047800000000002</v>
      </c>
      <c r="D1274" s="88">
        <v>0.14172000000000001</v>
      </c>
      <c r="E1274" s="76">
        <v>0</v>
      </c>
      <c r="F1274" s="89" cm="1">
        <f t="array" ref="F1274">5*LOG10(((c_light/1000/H_0_SAM)*(B1274/60)*SUMPRODUCT($J$2:$AD$2,1/SQRT(Omega_m*(1+$J$1:$AD$1*B1274)^3+Omega_L)))*(1+B1274)*100000)</f>
        <v>41.240596734338702</v>
      </c>
      <c r="G1274" s="89">
        <f t="shared" si="19"/>
        <v>0.19279673433869959</v>
      </c>
    </row>
    <row r="1275" spans="1:7" x14ac:dyDescent="0.6">
      <c r="A1275" s="76">
        <v>1308326</v>
      </c>
      <c r="B1275" s="87">
        <v>0.32632</v>
      </c>
      <c r="C1275" s="88">
        <v>41.050400000000003</v>
      </c>
      <c r="D1275" s="88">
        <v>0.15720000000000001</v>
      </c>
      <c r="E1275" s="76">
        <v>0</v>
      </c>
      <c r="F1275" s="89" cm="1">
        <f t="array" ref="F1275">5*LOG10(((c_light/1000/H_0_SAM)*(B1275/60)*SUMPRODUCT($J$2:$AD$2,1/SQRT(Omega_m*(1+$J$1:$AD$1*B1275)^3+Omega_L)))*(1+B1275)*100000)</f>
        <v>41.244527571965442</v>
      </c>
      <c r="G1275" s="89">
        <f t="shared" si="19"/>
        <v>0.19412757196543851</v>
      </c>
    </row>
    <row r="1276" spans="1:7" x14ac:dyDescent="0.6">
      <c r="A1276" s="76">
        <v>14456</v>
      </c>
      <c r="B1276" s="87">
        <v>0.32804</v>
      </c>
      <c r="C1276" s="88">
        <v>41.0002</v>
      </c>
      <c r="D1276" s="88">
        <v>0.17183000000000001</v>
      </c>
      <c r="E1276" s="76">
        <v>0</v>
      </c>
      <c r="F1276" s="89" cm="1">
        <f t="array" ref="F1276">5*LOG10(((c_light/1000/H_0_SAM)*(B1276/60)*SUMPRODUCT($J$2:$AD$2,1/SQRT(Omega_m*(1+$J$1:$AD$1*B1276)^3+Omega_L)))*(1+B1276)*100000)</f>
        <v>41.257742902231968</v>
      </c>
      <c r="G1276" s="89">
        <f t="shared" si="19"/>
        <v>0.25754290223196818</v>
      </c>
    </row>
    <row r="1277" spans="1:7" x14ac:dyDescent="0.6">
      <c r="A1277" s="76">
        <v>50303</v>
      </c>
      <c r="B1277" s="87">
        <v>0.32841999999999999</v>
      </c>
      <c r="C1277" s="88">
        <v>41.307899999999997</v>
      </c>
      <c r="D1277" s="88">
        <v>0.30842999999999998</v>
      </c>
      <c r="E1277" s="76">
        <v>0</v>
      </c>
      <c r="F1277" s="89" cm="1">
        <f t="array" ref="F1277">5*LOG10(((c_light/1000/H_0_SAM)*(B1277/60)*SUMPRODUCT($J$2:$AD$2,1/SQRT(Omega_m*(1+$J$1:$AD$1*B1277)^3+Omega_L)))*(1+B1277)*100000)</f>
        <v>41.260653954627891</v>
      </c>
      <c r="G1277" s="89">
        <f t="shared" si="19"/>
        <v>-4.7246045372105527E-2</v>
      </c>
    </row>
    <row r="1278" spans="1:7" x14ac:dyDescent="0.6">
      <c r="A1278" s="76">
        <v>530219</v>
      </c>
      <c r="B1278" s="87">
        <v>0.32847999999999999</v>
      </c>
      <c r="C1278" s="88">
        <v>41.350999999999999</v>
      </c>
      <c r="D1278" s="88">
        <v>0.2787</v>
      </c>
      <c r="E1278" s="76">
        <v>0</v>
      </c>
      <c r="F1278" s="89" cm="1">
        <f t="array" ref="F1278">5*LOG10(((c_light/1000/H_0_SAM)*(B1278/60)*SUMPRODUCT($J$2:$AD$2,1/SQRT(Omega_m*(1+$J$1:$AD$1*B1278)^3+Omega_L)))*(1+B1278)*100000)</f>
        <v>41.261113310713249</v>
      </c>
      <c r="G1278" s="89">
        <f t="shared" si="19"/>
        <v>-8.9886689286750254E-2</v>
      </c>
    </row>
    <row r="1279" spans="1:7" x14ac:dyDescent="0.6">
      <c r="A1279" s="76">
        <v>430003</v>
      </c>
      <c r="B1279" s="87">
        <v>0.32851000000000002</v>
      </c>
      <c r="C1279" s="88">
        <v>40.933999999999997</v>
      </c>
      <c r="D1279" s="88">
        <v>0.29565000000000002</v>
      </c>
      <c r="E1279" s="76">
        <v>0</v>
      </c>
      <c r="F1279" s="89" cm="1">
        <f t="array" ref="F1279">5*LOG10(((c_light/1000/H_0_SAM)*(B1279/60)*SUMPRODUCT($J$2:$AD$2,1/SQRT(Omega_m*(1+$J$1:$AD$1*B1279)^3+Omega_L)))*(1+B1279)*100000)</f>
        <v>41.261342959760782</v>
      </c>
      <c r="G1279" s="89">
        <f t="shared" si="19"/>
        <v>0.32734295976078442</v>
      </c>
    </row>
    <row r="1280" spans="1:7" x14ac:dyDescent="0.6">
      <c r="A1280" s="76">
        <v>1337687</v>
      </c>
      <c r="B1280" s="87">
        <v>0.32868000000000003</v>
      </c>
      <c r="C1280" s="88">
        <v>41.071599999999997</v>
      </c>
      <c r="D1280" s="88">
        <v>0.15049000000000001</v>
      </c>
      <c r="E1280" s="76">
        <v>0</v>
      </c>
      <c r="F1280" s="89" cm="1">
        <f t="array" ref="F1280">5*LOG10(((c_light/1000/H_0_SAM)*(B1280/60)*SUMPRODUCT($J$2:$AD$2,1/SQRT(Omega_m*(1+$J$1:$AD$1*B1280)^3+Omega_L)))*(1+B1280)*100000)</f>
        <v>41.262643939423462</v>
      </c>
      <c r="G1280" s="89">
        <f t="shared" si="19"/>
        <v>0.19104393942346576</v>
      </c>
    </row>
    <row r="1281" spans="1:7" x14ac:dyDescent="0.6">
      <c r="A1281" s="76">
        <v>1306073</v>
      </c>
      <c r="B1281" s="87">
        <v>0.32868000000000003</v>
      </c>
      <c r="C1281" s="88">
        <v>41.1</v>
      </c>
      <c r="D1281" s="88">
        <v>0.14416999999999999</v>
      </c>
      <c r="E1281" s="76">
        <v>0</v>
      </c>
      <c r="F1281" s="89" cm="1">
        <f t="array" ref="F1281">5*LOG10(((c_light/1000/H_0_SAM)*(B1281/60)*SUMPRODUCT($J$2:$AD$2,1/SQRT(Omega_m*(1+$J$1:$AD$1*B1281)^3+Omega_L)))*(1+B1281)*100000)</f>
        <v>41.262643939423462</v>
      </c>
      <c r="G1281" s="89">
        <f t="shared" si="19"/>
        <v>0.16264393942346089</v>
      </c>
    </row>
    <row r="1282" spans="1:7" x14ac:dyDescent="0.6">
      <c r="A1282" s="76">
        <v>6924</v>
      </c>
      <c r="B1282" s="87">
        <v>0.32871</v>
      </c>
      <c r="C1282" s="88">
        <v>40.927599999999998</v>
      </c>
      <c r="D1282" s="88">
        <v>0.22220000000000001</v>
      </c>
      <c r="E1282" s="76">
        <v>0</v>
      </c>
      <c r="F1282" s="89" cm="1">
        <f t="array" ref="F1282">5*LOG10(((c_light/1000/H_0_SAM)*(B1282/60)*SUMPRODUCT($J$2:$AD$2,1/SQRT(Omega_m*(1+$J$1:$AD$1*B1282)^3+Omega_L)))*(1+B1282)*100000)</f>
        <v>41.262873459697346</v>
      </c>
      <c r="G1282" s="89">
        <f t="shared" si="19"/>
        <v>0.33527345969734768</v>
      </c>
    </row>
    <row r="1283" spans="1:7" x14ac:dyDescent="0.6">
      <c r="A1283" s="76">
        <v>1316465</v>
      </c>
      <c r="B1283" s="87">
        <v>0.32906999999999997</v>
      </c>
      <c r="C1283" s="88">
        <v>41.056600000000003</v>
      </c>
      <c r="D1283" s="88">
        <v>0.16514999999999999</v>
      </c>
      <c r="E1283" s="76">
        <v>0</v>
      </c>
      <c r="F1283" s="89" cm="1">
        <f t="array" ref="F1283">5*LOG10(((c_light/1000/H_0_SAM)*(B1283/60)*SUMPRODUCT($J$2:$AD$2,1/SQRT(Omega_m*(1+$J$1:$AD$1*B1283)^3+Omega_L)))*(1+B1283)*100000)</f>
        <v>41.265626198300886</v>
      </c>
      <c r="G1283" s="89">
        <f t="shared" si="19"/>
        <v>0.20902619830088298</v>
      </c>
    </row>
    <row r="1284" spans="1:7" x14ac:dyDescent="0.6">
      <c r="A1284" s="76">
        <v>13934</v>
      </c>
      <c r="B1284" s="87">
        <v>0.32940999999999998</v>
      </c>
      <c r="C1284" s="88">
        <v>41.410899999999998</v>
      </c>
      <c r="D1284" s="88">
        <v>0.31057000000000001</v>
      </c>
      <c r="E1284" s="76">
        <v>0</v>
      </c>
      <c r="F1284" s="89" cm="1">
        <f t="array" ref="F1284">5*LOG10(((c_light/1000/H_0_SAM)*(B1284/60)*SUMPRODUCT($J$2:$AD$2,1/SQRT(Omega_m*(1+$J$1:$AD$1*B1284)^3+Omega_L)))*(1+B1284)*100000)</f>
        <v>41.268223459909919</v>
      </c>
      <c r="G1284" s="89">
        <f t="shared" si="19"/>
        <v>-0.14267654009007913</v>
      </c>
    </row>
    <row r="1285" spans="1:7" x14ac:dyDescent="0.6">
      <c r="A1285" s="76">
        <v>540163</v>
      </c>
      <c r="B1285" s="87">
        <v>0.32951999999999998</v>
      </c>
      <c r="C1285" s="88">
        <v>41.239100000000001</v>
      </c>
      <c r="D1285" s="88">
        <v>0.16250000000000001</v>
      </c>
      <c r="E1285" s="76">
        <v>0</v>
      </c>
      <c r="F1285" s="89" cm="1">
        <f t="array" ref="F1285">5*LOG10(((c_light/1000/H_0_SAM)*(B1285/60)*SUMPRODUCT($J$2:$AD$2,1/SQRT(Omega_m*(1+$J$1:$AD$1*B1285)^3+Omega_L)))*(1+B1285)*100000)</f>
        <v>41.269063221511843</v>
      </c>
      <c r="G1285" s="89">
        <f t="shared" si="19"/>
        <v>2.9963221511842164E-2</v>
      </c>
    </row>
    <row r="1286" spans="1:7" x14ac:dyDescent="0.6">
      <c r="A1286" s="76">
        <v>1301933</v>
      </c>
      <c r="B1286" s="87">
        <v>0.32967999999999997</v>
      </c>
      <c r="C1286" s="88">
        <v>41.103099999999998</v>
      </c>
      <c r="D1286" s="88">
        <v>0.1148</v>
      </c>
      <c r="E1286" s="76">
        <v>0</v>
      </c>
      <c r="F1286" s="89" cm="1">
        <f t="array" ref="F1286">5*LOG10(((c_light/1000/H_0_SAM)*(B1286/60)*SUMPRODUCT($J$2:$AD$2,1/SQRT(Omega_m*(1+$J$1:$AD$1*B1286)^3+Omega_L)))*(1+B1286)*100000)</f>
        <v>41.270284231875081</v>
      </c>
      <c r="G1286" s="89">
        <f t="shared" ref="G1286:G1349" si="20">F1286-C1286</f>
        <v>0.16718423187508336</v>
      </c>
    </row>
    <row r="1287" spans="1:7" x14ac:dyDescent="0.6">
      <c r="A1287" s="76">
        <v>13830</v>
      </c>
      <c r="B1287" s="87">
        <v>0.32995000000000002</v>
      </c>
      <c r="C1287" s="88">
        <v>40.8444</v>
      </c>
      <c r="D1287" s="88">
        <v>0.20981</v>
      </c>
      <c r="E1287" s="76">
        <v>0</v>
      </c>
      <c r="F1287" s="89" cm="1">
        <f t="array" ref="F1287">5*LOG10(((c_light/1000/H_0_SAM)*(B1287/60)*SUMPRODUCT($J$2:$AD$2,1/SQRT(Omega_m*(1+$J$1:$AD$1*B1287)^3+Omega_L)))*(1+B1287)*100000)</f>
        <v>41.272343449062141</v>
      </c>
      <c r="G1287" s="89">
        <f t="shared" si="20"/>
        <v>0.42794344906214121</v>
      </c>
    </row>
    <row r="1288" spans="1:7" x14ac:dyDescent="0.6">
      <c r="A1288" s="76">
        <v>120369</v>
      </c>
      <c r="B1288" s="87">
        <v>0.33046999999999999</v>
      </c>
      <c r="C1288" s="88">
        <v>41.230600000000003</v>
      </c>
      <c r="D1288" s="88">
        <v>0.13161</v>
      </c>
      <c r="E1288" s="76">
        <v>0</v>
      </c>
      <c r="F1288" s="89" cm="1">
        <f t="array" ref="F1288">5*LOG10(((c_light/1000/H_0_SAM)*(B1288/60)*SUMPRODUCT($J$2:$AD$2,1/SQRT(Omega_m*(1+$J$1:$AD$1*B1288)^3+Omega_L)))*(1+B1288)*100000)</f>
        <v>41.276304977104573</v>
      </c>
      <c r="G1288" s="89">
        <f t="shared" si="20"/>
        <v>4.5704977104570332E-2</v>
      </c>
    </row>
    <row r="1289" spans="1:7" x14ac:dyDescent="0.6">
      <c r="A1289" s="76">
        <v>1338675</v>
      </c>
      <c r="B1289" s="87">
        <v>0.33056000000000002</v>
      </c>
      <c r="C1289" s="88">
        <v>41.167400000000001</v>
      </c>
      <c r="D1289" s="88">
        <v>0.21443000000000001</v>
      </c>
      <c r="E1289" s="76">
        <v>0</v>
      </c>
      <c r="F1289" s="89" cm="1">
        <f t="array" ref="F1289">5*LOG10(((c_light/1000/H_0_SAM)*(B1289/60)*SUMPRODUCT($J$2:$AD$2,1/SQRT(Omega_m*(1+$J$1:$AD$1*B1289)^3+Omega_L)))*(1+B1289)*100000)</f>
        <v>41.276990042934891</v>
      </c>
      <c r="G1289" s="89">
        <f t="shared" si="20"/>
        <v>0.10959004293489016</v>
      </c>
    </row>
    <row r="1290" spans="1:7" x14ac:dyDescent="0.6">
      <c r="A1290" s="76">
        <v>4241</v>
      </c>
      <c r="B1290" s="87">
        <v>0.33062999999999998</v>
      </c>
      <c r="C1290" s="88">
        <v>41.168900000000001</v>
      </c>
      <c r="D1290" s="88">
        <v>0.23108999999999999</v>
      </c>
      <c r="E1290" s="76">
        <v>0</v>
      </c>
      <c r="F1290" s="89" cm="1">
        <f t="array" ref="F1290">5*LOG10(((c_light/1000/H_0_SAM)*(B1290/60)*SUMPRODUCT($J$2:$AD$2,1/SQRT(Omega_m*(1+$J$1:$AD$1*B1290)^3+Omega_L)))*(1+B1290)*100000)</f>
        <v>41.277522753081819</v>
      </c>
      <c r="G1290" s="89">
        <f t="shared" si="20"/>
        <v>0.10862275308181779</v>
      </c>
    </row>
    <row r="1291" spans="1:7" x14ac:dyDescent="0.6">
      <c r="A1291" s="76">
        <v>480184</v>
      </c>
      <c r="B1291" s="87">
        <v>0.33089000000000002</v>
      </c>
      <c r="C1291" s="88">
        <v>41.1586</v>
      </c>
      <c r="D1291" s="88">
        <v>0.23945</v>
      </c>
      <c r="E1291" s="76">
        <v>0</v>
      </c>
      <c r="F1291" s="89" cm="1">
        <f t="array" ref="F1291">5*LOG10(((c_light/1000/H_0_SAM)*(B1291/60)*SUMPRODUCT($J$2:$AD$2,1/SQRT(Omega_m*(1+$J$1:$AD$1*B1291)^3+Omega_L)))*(1+B1291)*100000)</f>
        <v>41.27950048116665</v>
      </c>
      <c r="G1291" s="89">
        <f t="shared" si="20"/>
        <v>0.12090048116665031</v>
      </c>
    </row>
    <row r="1292" spans="1:7" x14ac:dyDescent="0.6">
      <c r="A1292" s="76">
        <v>370394</v>
      </c>
      <c r="B1292" s="87">
        <v>0.33090000000000003</v>
      </c>
      <c r="C1292" s="88">
        <v>40.996000000000002</v>
      </c>
      <c r="D1292" s="88">
        <v>0.21204999999999999</v>
      </c>
      <c r="E1292" s="76">
        <v>0</v>
      </c>
      <c r="F1292" s="89" cm="1">
        <f t="array" ref="F1292">5*LOG10(((c_light/1000/H_0_SAM)*(B1292/60)*SUMPRODUCT($J$2:$AD$2,1/SQRT(Omega_m*(1+$J$1:$AD$1*B1292)^3+Omega_L)))*(1+B1292)*100000)</f>
        <v>41.279576519026278</v>
      </c>
      <c r="G1292" s="89">
        <f t="shared" si="20"/>
        <v>0.28357651902627623</v>
      </c>
    </row>
    <row r="1293" spans="1:7" x14ac:dyDescent="0.6">
      <c r="A1293" s="76" t="s">
        <v>1379</v>
      </c>
      <c r="B1293" s="87">
        <v>0.33102999999999999</v>
      </c>
      <c r="C1293" s="88">
        <v>41.009799999999998</v>
      </c>
      <c r="D1293" s="88">
        <v>0.13711999999999999</v>
      </c>
      <c r="E1293" s="76">
        <v>0</v>
      </c>
      <c r="F1293" s="89" cm="1">
        <f t="array" ref="F1293">5*LOG10(((c_light/1000/H_0_SAM)*(B1293/60)*SUMPRODUCT($J$2:$AD$2,1/SQRT(Omega_m*(1+$J$1:$AD$1*B1293)^3+Omega_L)))*(1+B1293)*100000)</f>
        <v>41.280564818529903</v>
      </c>
      <c r="G1293" s="89">
        <f t="shared" si="20"/>
        <v>0.27076481852990497</v>
      </c>
    </row>
    <row r="1294" spans="1:7" x14ac:dyDescent="0.6">
      <c r="A1294" s="76">
        <v>580235</v>
      </c>
      <c r="B1294" s="87">
        <v>0.33146999999999999</v>
      </c>
      <c r="C1294" s="88">
        <v>41.030099999999997</v>
      </c>
      <c r="D1294" s="88">
        <v>0.21869</v>
      </c>
      <c r="E1294" s="76">
        <v>0</v>
      </c>
      <c r="F1294" s="89" cm="1">
        <f t="array" ref="F1294">5*LOG10(((c_light/1000/H_0_SAM)*(B1294/60)*SUMPRODUCT($J$2:$AD$2,1/SQRT(Omega_m*(1+$J$1:$AD$1*B1294)^3+Omega_L)))*(1+B1294)*100000)</f>
        <v>41.283907180135742</v>
      </c>
      <c r="G1294" s="89">
        <f t="shared" si="20"/>
        <v>0.25380718013574466</v>
      </c>
    </row>
    <row r="1295" spans="1:7" x14ac:dyDescent="0.6">
      <c r="A1295" s="76">
        <v>20106</v>
      </c>
      <c r="B1295" s="87">
        <v>0.33146999999999999</v>
      </c>
      <c r="C1295" s="88">
        <v>41.233499999999999</v>
      </c>
      <c r="D1295" s="88">
        <v>0.28548000000000001</v>
      </c>
      <c r="E1295" s="76">
        <v>0</v>
      </c>
      <c r="F1295" s="89" cm="1">
        <f t="array" ref="F1295">5*LOG10(((c_light/1000/H_0_SAM)*(B1295/60)*SUMPRODUCT($J$2:$AD$2,1/SQRT(Omega_m*(1+$J$1:$AD$1*B1295)^3+Omega_L)))*(1+B1295)*100000)</f>
        <v>41.283907180135742</v>
      </c>
      <c r="G1295" s="89">
        <f t="shared" si="20"/>
        <v>5.0407180135742635E-2</v>
      </c>
    </row>
    <row r="1296" spans="1:7" x14ac:dyDescent="0.6">
      <c r="A1296" s="76">
        <v>370344</v>
      </c>
      <c r="B1296" s="87">
        <v>0.33146999999999999</v>
      </c>
      <c r="C1296" s="88">
        <v>41.101199999999999</v>
      </c>
      <c r="D1296" s="88">
        <v>0.16603999999999999</v>
      </c>
      <c r="E1296" s="76">
        <v>0</v>
      </c>
      <c r="F1296" s="89" cm="1">
        <f t="array" ref="F1296">5*LOG10(((c_light/1000/H_0_SAM)*(B1296/60)*SUMPRODUCT($J$2:$AD$2,1/SQRT(Omega_m*(1+$J$1:$AD$1*B1296)^3+Omega_L)))*(1+B1296)*100000)</f>
        <v>41.283907180135742</v>
      </c>
      <c r="G1296" s="89">
        <f t="shared" si="20"/>
        <v>0.18270718013574339</v>
      </c>
    </row>
    <row r="1297" spans="1:7" x14ac:dyDescent="0.6">
      <c r="A1297" s="76">
        <v>470041</v>
      </c>
      <c r="B1297" s="87">
        <v>0.33189000000000002</v>
      </c>
      <c r="C1297" s="88">
        <v>41.014899999999997</v>
      </c>
      <c r="D1297" s="88">
        <v>0.14399999999999999</v>
      </c>
      <c r="E1297" s="76">
        <v>0</v>
      </c>
      <c r="F1297" s="89" cm="1">
        <f t="array" ref="F1297">5*LOG10(((c_light/1000/H_0_SAM)*(B1297/60)*SUMPRODUCT($J$2:$AD$2,1/SQRT(Omega_m*(1+$J$1:$AD$1*B1297)^3+Omega_L)))*(1+B1297)*100000)</f>
        <v>41.287093803941879</v>
      </c>
      <c r="G1297" s="89">
        <f t="shared" si="20"/>
        <v>0.27219380394188164</v>
      </c>
    </row>
    <row r="1298" spans="1:7" x14ac:dyDescent="0.6">
      <c r="A1298" s="76">
        <v>1306141</v>
      </c>
      <c r="B1298" s="87">
        <v>0.33237</v>
      </c>
      <c r="C1298" s="88">
        <v>40.976999999999997</v>
      </c>
      <c r="D1298" s="88">
        <v>0.15923000000000001</v>
      </c>
      <c r="E1298" s="76">
        <v>0</v>
      </c>
      <c r="F1298" s="89" cm="1">
        <f t="array" ref="F1298">5*LOG10(((c_light/1000/H_0_SAM)*(B1298/60)*SUMPRODUCT($J$2:$AD$2,1/SQRT(Omega_m*(1+$J$1:$AD$1*B1298)^3+Omega_L)))*(1+B1298)*100000)</f>
        <v>41.290731111902595</v>
      </c>
      <c r="G1298" s="89">
        <f t="shared" si="20"/>
        <v>0.31373111190259806</v>
      </c>
    </row>
    <row r="1299" spans="1:7" x14ac:dyDescent="0.6">
      <c r="A1299" s="76">
        <v>130862</v>
      </c>
      <c r="B1299" s="87">
        <v>0.33298</v>
      </c>
      <c r="C1299" s="88">
        <v>41.329900000000002</v>
      </c>
      <c r="D1299" s="88">
        <v>0.20166999999999999</v>
      </c>
      <c r="E1299" s="76">
        <v>0</v>
      </c>
      <c r="F1299" s="89" cm="1">
        <f t="array" ref="F1299">5*LOG10(((c_light/1000/H_0_SAM)*(B1299/60)*SUMPRODUCT($J$2:$AD$2,1/SQRT(Omega_m*(1+$J$1:$AD$1*B1299)^3+Omega_L)))*(1+B1299)*100000)</f>
        <v>41.295346544686247</v>
      </c>
      <c r="G1299" s="89">
        <f t="shared" si="20"/>
        <v>-3.4553455313755421E-2</v>
      </c>
    </row>
    <row r="1300" spans="1:7" x14ac:dyDescent="0.6">
      <c r="A1300" s="76">
        <v>1309492</v>
      </c>
      <c r="B1300" s="87">
        <v>0.33350000000000002</v>
      </c>
      <c r="C1300" s="88">
        <v>41.002499999999998</v>
      </c>
      <c r="D1300" s="88">
        <v>0.1419</v>
      </c>
      <c r="E1300" s="76">
        <v>0</v>
      </c>
      <c r="F1300" s="89" cm="1">
        <f t="array" ref="F1300">5*LOG10(((c_light/1000/H_0_SAM)*(B1300/60)*SUMPRODUCT($J$2:$AD$2,1/SQRT(Omega_m*(1+$J$1:$AD$1*B1300)^3+Omega_L)))*(1+B1300)*100000)</f>
        <v>41.299274862943605</v>
      </c>
      <c r="G1300" s="89">
        <f t="shared" si="20"/>
        <v>0.29677486294360733</v>
      </c>
    </row>
    <row r="1301" spans="1:7" x14ac:dyDescent="0.6">
      <c r="A1301" s="76">
        <v>1346956</v>
      </c>
      <c r="B1301" s="87">
        <v>0.33350000000000002</v>
      </c>
      <c r="C1301" s="88">
        <v>41.0366</v>
      </c>
      <c r="D1301" s="88">
        <v>0.17612</v>
      </c>
      <c r="E1301" s="76">
        <v>0</v>
      </c>
      <c r="F1301" s="89" cm="1">
        <f t="array" ref="F1301">5*LOG10(((c_light/1000/H_0_SAM)*(B1301/60)*SUMPRODUCT($J$2:$AD$2,1/SQRT(Omega_m*(1+$J$1:$AD$1*B1301)^3+Omega_L)))*(1+B1301)*100000)</f>
        <v>41.299274862943605</v>
      </c>
      <c r="G1301" s="89">
        <f t="shared" si="20"/>
        <v>0.26267486294360509</v>
      </c>
    </row>
    <row r="1302" spans="1:7" x14ac:dyDescent="0.6">
      <c r="A1302" s="76">
        <v>16093</v>
      </c>
      <c r="B1302" s="87">
        <v>0.33450000000000002</v>
      </c>
      <c r="C1302" s="88">
        <v>41.120399999999997</v>
      </c>
      <c r="D1302" s="88">
        <v>0.23572000000000001</v>
      </c>
      <c r="E1302" s="76">
        <v>0</v>
      </c>
      <c r="F1302" s="89" cm="1">
        <f t="array" ref="F1302">5*LOG10(((c_light/1000/H_0_SAM)*(B1302/60)*SUMPRODUCT($J$2:$AD$2,1/SQRT(Omega_m*(1+$J$1:$AD$1*B1302)^3+Omega_L)))*(1+B1302)*100000)</f>
        <v>41.306813479392659</v>
      </c>
      <c r="G1302" s="89">
        <f t="shared" si="20"/>
        <v>0.1864134793926624</v>
      </c>
    </row>
    <row r="1303" spans="1:7" x14ac:dyDescent="0.6">
      <c r="A1303" s="76">
        <v>500511</v>
      </c>
      <c r="B1303" s="87">
        <v>0.33498</v>
      </c>
      <c r="C1303" s="88">
        <v>41.025100000000002</v>
      </c>
      <c r="D1303" s="88">
        <v>0.17186000000000001</v>
      </c>
      <c r="E1303" s="76">
        <v>0</v>
      </c>
      <c r="F1303" s="89" cm="1">
        <f t="array" ref="F1303">5*LOG10(((c_light/1000/H_0_SAM)*(B1303/60)*SUMPRODUCT($J$2:$AD$2,1/SQRT(Omega_m*(1+$J$1:$AD$1*B1303)^3+Omega_L)))*(1+B1303)*100000)</f>
        <v>41.310424639521372</v>
      </c>
      <c r="G1303" s="89">
        <f t="shared" si="20"/>
        <v>0.28532463952137022</v>
      </c>
    </row>
    <row r="1304" spans="1:7" x14ac:dyDescent="0.6">
      <c r="A1304" s="76">
        <v>1346966</v>
      </c>
      <c r="B1304" s="87">
        <v>0.33510000000000001</v>
      </c>
      <c r="C1304" s="88">
        <v>41.0242</v>
      </c>
      <c r="D1304" s="88">
        <v>0.17793</v>
      </c>
      <c r="E1304" s="76">
        <v>0</v>
      </c>
      <c r="F1304" s="89" cm="1">
        <f t="array" ref="F1304">5*LOG10(((c_light/1000/H_0_SAM)*(B1304/60)*SUMPRODUCT($J$2:$AD$2,1/SQRT(Omega_m*(1+$J$1:$AD$1*B1304)^3+Omega_L)))*(1+B1304)*100000)</f>
        <v>41.311326684282292</v>
      </c>
      <c r="G1304" s="89">
        <f t="shared" si="20"/>
        <v>0.28712668428229193</v>
      </c>
    </row>
    <row r="1305" spans="1:7" x14ac:dyDescent="0.6">
      <c r="A1305" s="76">
        <v>1314897</v>
      </c>
      <c r="B1305" s="87">
        <v>0.33671000000000001</v>
      </c>
      <c r="C1305" s="88">
        <v>41.036700000000003</v>
      </c>
      <c r="D1305" s="88">
        <v>0.18423999999999999</v>
      </c>
      <c r="E1305" s="76">
        <v>0</v>
      </c>
      <c r="F1305" s="89" cm="1">
        <f t="array" ref="F1305">5*LOG10(((c_light/1000/H_0_SAM)*(B1305/60)*SUMPRODUCT($J$2:$AD$2,1/SQRT(Omega_m*(1+$J$1:$AD$1*B1305)^3+Omega_L)))*(1+B1305)*100000)</f>
        <v>41.323400408126709</v>
      </c>
      <c r="G1305" s="89">
        <f t="shared" si="20"/>
        <v>0.2867004081267055</v>
      </c>
    </row>
    <row r="1306" spans="1:7" x14ac:dyDescent="0.6">
      <c r="A1306" s="76">
        <v>470015</v>
      </c>
      <c r="B1306" s="87">
        <v>0.33749000000000001</v>
      </c>
      <c r="C1306" s="88">
        <v>41.1678</v>
      </c>
      <c r="D1306" s="88">
        <v>0.27865000000000001</v>
      </c>
      <c r="E1306" s="76">
        <v>0</v>
      </c>
      <c r="F1306" s="89" cm="1">
        <f t="array" ref="F1306">5*LOG10(((c_light/1000/H_0_SAM)*(B1306/60)*SUMPRODUCT($J$2:$AD$2,1/SQRT(Omega_m*(1+$J$1:$AD$1*B1306)^3+Omega_L)))*(1+B1306)*100000)</f>
        <v>41.329230665313688</v>
      </c>
      <c r="G1306" s="89">
        <f t="shared" si="20"/>
        <v>0.16143066531368788</v>
      </c>
    </row>
    <row r="1307" spans="1:7" x14ac:dyDescent="0.6">
      <c r="A1307" s="76">
        <v>40782</v>
      </c>
      <c r="B1307" s="87">
        <v>0.33750999999999998</v>
      </c>
      <c r="C1307" s="88">
        <v>41.009799999999998</v>
      </c>
      <c r="D1307" s="88">
        <v>0.23724000000000001</v>
      </c>
      <c r="E1307" s="76">
        <v>0</v>
      </c>
      <c r="F1307" s="89" cm="1">
        <f t="array" ref="F1307">5*LOG10(((c_light/1000/H_0_SAM)*(B1307/60)*SUMPRODUCT($J$2:$AD$2,1/SQRT(Omega_m*(1+$J$1:$AD$1*B1307)^3+Omega_L)))*(1+B1307)*100000)</f>
        <v>41.329379995692335</v>
      </c>
      <c r="G1307" s="89">
        <f t="shared" si="20"/>
        <v>0.31957999569233664</v>
      </c>
    </row>
    <row r="1308" spans="1:7" x14ac:dyDescent="0.6">
      <c r="A1308" s="76" t="s">
        <v>1380</v>
      </c>
      <c r="B1308" s="87">
        <v>0.33761999999999998</v>
      </c>
      <c r="C1308" s="88">
        <v>41.1477</v>
      </c>
      <c r="D1308" s="88">
        <v>0.17610000000000001</v>
      </c>
      <c r="E1308" s="76">
        <v>0</v>
      </c>
      <c r="F1308" s="89" cm="1">
        <f t="array" ref="F1308">5*LOG10(((c_light/1000/H_0_SAM)*(B1308/60)*SUMPRODUCT($J$2:$AD$2,1/SQRT(Omega_m*(1+$J$1:$AD$1*B1308)^3+Omega_L)))*(1+B1308)*100000)</f>
        <v>41.330201166990719</v>
      </c>
      <c r="G1308" s="89">
        <f t="shared" si="20"/>
        <v>0.18250116699071839</v>
      </c>
    </row>
    <row r="1309" spans="1:7" x14ac:dyDescent="0.6">
      <c r="A1309" s="76">
        <v>1300912</v>
      </c>
      <c r="B1309" s="87">
        <v>0.33778000000000002</v>
      </c>
      <c r="C1309" s="88">
        <v>41.153700000000001</v>
      </c>
      <c r="D1309" s="88">
        <v>0.23386000000000001</v>
      </c>
      <c r="E1309" s="76">
        <v>0</v>
      </c>
      <c r="F1309" s="89" cm="1">
        <f t="array" ref="F1309">5*LOG10(((c_light/1000/H_0_SAM)*(B1309/60)*SUMPRODUCT($J$2:$AD$2,1/SQRT(Omega_m*(1+$J$1:$AD$1*B1309)^3+Omega_L)))*(1+B1309)*100000)</f>
        <v>41.331395157799804</v>
      </c>
      <c r="G1309" s="89">
        <f t="shared" si="20"/>
        <v>0.17769515779980338</v>
      </c>
    </row>
    <row r="1310" spans="1:7" x14ac:dyDescent="0.6">
      <c r="A1310" s="76">
        <v>380318</v>
      </c>
      <c r="B1310" s="87">
        <v>0.33817999999999998</v>
      </c>
      <c r="C1310" s="88">
        <v>41.145000000000003</v>
      </c>
      <c r="D1310" s="88">
        <v>0.21124000000000001</v>
      </c>
      <c r="E1310" s="76">
        <v>0</v>
      </c>
      <c r="F1310" s="89" cm="1">
        <f t="array" ref="F1310">5*LOG10(((c_light/1000/H_0_SAM)*(B1310/60)*SUMPRODUCT($J$2:$AD$2,1/SQRT(Omega_m*(1+$J$1:$AD$1*B1310)^3+Omega_L)))*(1+B1310)*100000)</f>
        <v>41.334377855335021</v>
      </c>
      <c r="G1310" s="89">
        <f t="shared" si="20"/>
        <v>0.18937785533501739</v>
      </c>
    </row>
    <row r="1311" spans="1:7" x14ac:dyDescent="0.6">
      <c r="A1311" s="76">
        <v>580276</v>
      </c>
      <c r="B1311" s="87">
        <v>0.33848</v>
      </c>
      <c r="C1311" s="88">
        <v>41.113100000000003</v>
      </c>
      <c r="D1311" s="88">
        <v>0.20041</v>
      </c>
      <c r="E1311" s="76">
        <v>0</v>
      </c>
      <c r="F1311" s="89" cm="1">
        <f t="array" ref="F1311">5*LOG10(((c_light/1000/H_0_SAM)*(B1311/60)*SUMPRODUCT($J$2:$AD$2,1/SQRT(Omega_m*(1+$J$1:$AD$1*B1311)^3+Omega_L)))*(1+B1311)*100000)</f>
        <v>41.336612744922057</v>
      </c>
      <c r="G1311" s="89">
        <f t="shared" si="20"/>
        <v>0.2235127449220542</v>
      </c>
    </row>
    <row r="1312" spans="1:7" x14ac:dyDescent="0.6">
      <c r="A1312" s="76">
        <v>1343337</v>
      </c>
      <c r="B1312" s="87">
        <v>0.33896999999999999</v>
      </c>
      <c r="C1312" s="88">
        <v>41.055500000000002</v>
      </c>
      <c r="D1312" s="88">
        <v>0.35650999999999999</v>
      </c>
      <c r="E1312" s="76">
        <v>0</v>
      </c>
      <c r="F1312" s="89" cm="1">
        <f t="array" ref="F1312">5*LOG10(((c_light/1000/H_0_SAM)*(B1312/60)*SUMPRODUCT($J$2:$AD$2,1/SQRT(Omega_m*(1+$J$1:$AD$1*B1312)^3+Omega_L)))*(1+B1312)*100000)</f>
        <v>41.340259140497615</v>
      </c>
      <c r="G1312" s="89">
        <f t="shared" si="20"/>
        <v>0.28475914049761286</v>
      </c>
    </row>
    <row r="1313" spans="1:7" x14ac:dyDescent="0.6">
      <c r="A1313" s="76" t="s">
        <v>1381</v>
      </c>
      <c r="B1313" s="87">
        <v>0.34061000000000002</v>
      </c>
      <c r="C1313" s="88">
        <v>41.173699999999997</v>
      </c>
      <c r="D1313" s="88">
        <v>0.19242000000000001</v>
      </c>
      <c r="E1313" s="76">
        <v>0</v>
      </c>
      <c r="F1313" s="89" cm="1">
        <f t="array" ref="F1313">5*LOG10(((c_light/1000/H_0_SAM)*(B1313/60)*SUMPRODUCT($J$2:$AD$2,1/SQRT(Omega_m*(1+$J$1:$AD$1*B1313)^3+Omega_L)))*(1+B1313)*100000)</f>
        <v>41.352428153141517</v>
      </c>
      <c r="G1313" s="89">
        <f t="shared" si="20"/>
        <v>0.17872815314152035</v>
      </c>
    </row>
    <row r="1314" spans="1:7" x14ac:dyDescent="0.6">
      <c r="A1314" s="76">
        <v>320258</v>
      </c>
      <c r="B1314" s="87">
        <v>0.34098000000000001</v>
      </c>
      <c r="C1314" s="88">
        <v>41.058700000000002</v>
      </c>
      <c r="D1314" s="88">
        <v>0.1943</v>
      </c>
      <c r="E1314" s="76">
        <v>0</v>
      </c>
      <c r="F1314" s="89" cm="1">
        <f t="array" ref="F1314">5*LOG10(((c_light/1000/H_0_SAM)*(B1314/60)*SUMPRODUCT($J$2:$AD$2,1/SQRT(Omega_m*(1+$J$1:$AD$1*B1314)^3+Omega_L)))*(1+B1314)*100000)</f>
        <v>41.355166131427133</v>
      </c>
      <c r="G1314" s="89">
        <f t="shared" si="20"/>
        <v>0.29646613142713107</v>
      </c>
    </row>
    <row r="1315" spans="1:7" x14ac:dyDescent="0.6">
      <c r="A1315" s="76">
        <v>2533</v>
      </c>
      <c r="B1315" s="87">
        <v>0.34111000000000002</v>
      </c>
      <c r="C1315" s="88">
        <v>41.064100000000003</v>
      </c>
      <c r="D1315" s="88">
        <v>0.25509999999999999</v>
      </c>
      <c r="E1315" s="76">
        <v>0</v>
      </c>
      <c r="F1315" s="89" cm="1">
        <f t="array" ref="F1315">5*LOG10(((c_light/1000/H_0_SAM)*(B1315/60)*SUMPRODUCT($J$2:$AD$2,1/SQRT(Omega_m*(1+$J$1:$AD$1*B1315)^3+Omega_L)))*(1+B1315)*100000)</f>
        <v>41.356127473546877</v>
      </c>
      <c r="G1315" s="89">
        <f t="shared" si="20"/>
        <v>0.29202747354687375</v>
      </c>
    </row>
    <row r="1316" spans="1:7" x14ac:dyDescent="0.6">
      <c r="A1316" s="76">
        <v>1336009</v>
      </c>
      <c r="B1316" s="87">
        <v>0.34168999999999999</v>
      </c>
      <c r="C1316" s="88">
        <v>41.212200000000003</v>
      </c>
      <c r="D1316" s="88">
        <v>0.32101000000000002</v>
      </c>
      <c r="E1316" s="76">
        <v>0</v>
      </c>
      <c r="F1316" s="89" cm="1">
        <f t="array" ref="F1316">5*LOG10(((c_light/1000/H_0_SAM)*(B1316/60)*SUMPRODUCT($J$2:$AD$2,1/SQRT(Omega_m*(1+$J$1:$AD$1*B1316)^3+Omega_L)))*(1+B1316)*100000)</f>
        <v>41.360412427082942</v>
      </c>
      <c r="G1316" s="89">
        <f t="shared" si="20"/>
        <v>0.1482124270829388</v>
      </c>
    </row>
    <row r="1317" spans="1:7" x14ac:dyDescent="0.6">
      <c r="A1317" s="76">
        <v>1346387</v>
      </c>
      <c r="B1317" s="87">
        <v>0.34445999999999999</v>
      </c>
      <c r="C1317" s="88">
        <v>41.308100000000003</v>
      </c>
      <c r="D1317" s="88">
        <v>0.15246999999999999</v>
      </c>
      <c r="E1317" s="76">
        <v>0</v>
      </c>
      <c r="F1317" s="89" cm="1">
        <f t="array" ref="F1317">5*LOG10(((c_light/1000/H_0_SAM)*(B1317/60)*SUMPRODUCT($J$2:$AD$2,1/SQRT(Omega_m*(1+$J$1:$AD$1*B1317)^3+Omega_L)))*(1+B1317)*100000)</f>
        <v>41.380784726489807</v>
      </c>
      <c r="G1317" s="89">
        <f t="shared" si="20"/>
        <v>7.2684726489804063E-2</v>
      </c>
    </row>
    <row r="1318" spans="1:7" x14ac:dyDescent="0.6">
      <c r="A1318" s="76">
        <v>350606</v>
      </c>
      <c r="B1318" s="87">
        <v>0.34448000000000001</v>
      </c>
      <c r="C1318" s="88">
        <v>41.291400000000003</v>
      </c>
      <c r="D1318" s="88">
        <v>0.29920000000000002</v>
      </c>
      <c r="E1318" s="76">
        <v>0</v>
      </c>
      <c r="F1318" s="89" cm="1">
        <f t="array" ref="F1318">5*LOG10(((c_light/1000/H_0_SAM)*(B1318/60)*SUMPRODUCT($J$2:$AD$2,1/SQRT(Omega_m*(1+$J$1:$AD$1*B1318)^3+Omega_L)))*(1+B1318)*100000)</f>
        <v>41.380931268845728</v>
      </c>
      <c r="G1318" s="89">
        <f t="shared" si="20"/>
        <v>8.9531268845725265E-2</v>
      </c>
    </row>
    <row r="1319" spans="1:7" x14ac:dyDescent="0.6">
      <c r="A1319" s="76">
        <v>1329312</v>
      </c>
      <c r="B1319" s="87">
        <v>0.34487000000000001</v>
      </c>
      <c r="C1319" s="88">
        <v>41.2333</v>
      </c>
      <c r="D1319" s="88">
        <v>0.17166999999999999</v>
      </c>
      <c r="E1319" s="76">
        <v>0</v>
      </c>
      <c r="F1319" s="89" cm="1">
        <f t="array" ref="F1319">5*LOG10(((c_light/1000/H_0_SAM)*(B1319/60)*SUMPRODUCT($J$2:$AD$2,1/SQRT(Omega_m*(1+$J$1:$AD$1*B1319)^3+Omega_L)))*(1+B1319)*100000)</f>
        <v>41.383787277790049</v>
      </c>
      <c r="G1319" s="89">
        <f t="shared" si="20"/>
        <v>0.15048727779004878</v>
      </c>
    </row>
    <row r="1320" spans="1:7" x14ac:dyDescent="0.6">
      <c r="A1320" s="76">
        <v>470110</v>
      </c>
      <c r="B1320" s="87">
        <v>0.34544999999999998</v>
      </c>
      <c r="C1320" s="88">
        <v>41.203299999999999</v>
      </c>
      <c r="D1320" s="88">
        <v>0.23021</v>
      </c>
      <c r="E1320" s="76">
        <v>0</v>
      </c>
      <c r="F1320" s="89" cm="1">
        <f t="array" ref="F1320">5*LOG10(((c_light/1000/H_0_SAM)*(B1320/60)*SUMPRODUCT($J$2:$AD$2,1/SQRT(Omega_m*(1+$J$1:$AD$1*B1320)^3+Omega_L)))*(1+B1320)*100000)</f>
        <v>41.388029172358372</v>
      </c>
      <c r="G1320" s="89">
        <f t="shared" si="20"/>
        <v>0.18472917235837372</v>
      </c>
    </row>
    <row r="1321" spans="1:7" x14ac:dyDescent="0.6">
      <c r="A1321" s="76" t="s">
        <v>1382</v>
      </c>
      <c r="B1321" s="87">
        <v>0.34601999999999999</v>
      </c>
      <c r="C1321" s="88">
        <v>41.331800000000001</v>
      </c>
      <c r="D1321" s="88">
        <v>0.13668</v>
      </c>
      <c r="E1321" s="76">
        <v>0</v>
      </c>
      <c r="F1321" s="89" cm="1">
        <f t="array" ref="F1321">5*LOG10(((c_light/1000/H_0_SAM)*(B1321/60)*SUMPRODUCT($J$2:$AD$2,1/SQRT(Omega_m*(1+$J$1:$AD$1*B1321)^3+Omega_L)))*(1+B1321)*100000)</f>
        <v>41.392191536866889</v>
      </c>
      <c r="G1321" s="89">
        <f t="shared" si="20"/>
        <v>6.0391536866887918E-2</v>
      </c>
    </row>
    <row r="1322" spans="1:7" x14ac:dyDescent="0.6">
      <c r="A1322" s="76">
        <v>310090</v>
      </c>
      <c r="B1322" s="87">
        <v>0.34695999999999999</v>
      </c>
      <c r="C1322" s="88">
        <v>41.4163</v>
      </c>
      <c r="D1322" s="88">
        <v>0.37035000000000001</v>
      </c>
      <c r="E1322" s="76">
        <v>0</v>
      </c>
      <c r="F1322" s="89" cm="1">
        <f t="array" ref="F1322">5*LOG10(((c_light/1000/H_0_SAM)*(B1322/60)*SUMPRODUCT($J$2:$AD$2,1/SQRT(Omega_m*(1+$J$1:$AD$1*B1322)^3+Omega_L)))*(1+B1322)*100000)</f>
        <v>41.39904199490357</v>
      </c>
      <c r="G1322" s="89">
        <f t="shared" si="20"/>
        <v>-1.725800509642994E-2</v>
      </c>
    </row>
    <row r="1323" spans="1:7" x14ac:dyDescent="0.6">
      <c r="A1323" s="76">
        <v>50301</v>
      </c>
      <c r="B1323" s="87">
        <v>0.34716999999999998</v>
      </c>
      <c r="C1323" s="88">
        <v>41.117400000000004</v>
      </c>
      <c r="D1323" s="88">
        <v>0.24426999999999999</v>
      </c>
      <c r="E1323" s="76">
        <v>0</v>
      </c>
      <c r="F1323" s="89" cm="1">
        <f t="array" ref="F1323">5*LOG10(((c_light/1000/H_0_SAM)*(B1323/60)*SUMPRODUCT($J$2:$AD$2,1/SQRT(Omega_m*(1+$J$1:$AD$1*B1323)^3+Omega_L)))*(1+B1323)*100000)</f>
        <v>41.400570077134518</v>
      </c>
      <c r="G1323" s="89">
        <f t="shared" si="20"/>
        <v>0.28317007713451403</v>
      </c>
    </row>
    <row r="1324" spans="1:7" x14ac:dyDescent="0.6">
      <c r="A1324" s="76">
        <v>330089</v>
      </c>
      <c r="B1324" s="87">
        <v>0.34881000000000001</v>
      </c>
      <c r="C1324" s="88">
        <v>41.372100000000003</v>
      </c>
      <c r="D1324" s="88">
        <v>0.21840999999999999</v>
      </c>
      <c r="E1324" s="76">
        <v>0</v>
      </c>
      <c r="F1324" s="89" cm="1">
        <f t="array" ref="F1324">5*LOG10(((c_light/1000/H_0_SAM)*(B1324/60)*SUMPRODUCT($J$2:$AD$2,1/SQRT(Omega_m*(1+$J$1:$AD$1*B1324)^3+Omega_L)))*(1+B1324)*100000)</f>
        <v>41.412474432991772</v>
      </c>
      <c r="G1324" s="89">
        <f t="shared" si="20"/>
        <v>4.0374432991768572E-2</v>
      </c>
    </row>
    <row r="1325" spans="1:7" x14ac:dyDescent="0.6">
      <c r="A1325" s="76">
        <v>160198</v>
      </c>
      <c r="B1325" s="87">
        <v>0.34910000000000002</v>
      </c>
      <c r="C1325" s="88">
        <v>41.249899999999997</v>
      </c>
      <c r="D1325" s="88">
        <v>0.15859999999999999</v>
      </c>
      <c r="E1325" s="76">
        <v>0</v>
      </c>
      <c r="F1325" s="89" cm="1">
        <f t="array" ref="F1325">5*LOG10(((c_light/1000/H_0_SAM)*(B1325/60)*SUMPRODUCT($J$2:$AD$2,1/SQRT(Omega_m*(1+$J$1:$AD$1*B1325)^3+Omega_L)))*(1+B1325)*100000)</f>
        <v>41.414574098715953</v>
      </c>
      <c r="G1325" s="89">
        <f t="shared" si="20"/>
        <v>0.16467409871595606</v>
      </c>
    </row>
    <row r="1326" spans="1:7" x14ac:dyDescent="0.6">
      <c r="A1326" s="76">
        <v>1258906</v>
      </c>
      <c r="B1326" s="87">
        <v>0.34911999999999999</v>
      </c>
      <c r="C1326" s="88">
        <v>41.281999999999996</v>
      </c>
      <c r="D1326" s="88">
        <v>0.20604</v>
      </c>
      <c r="E1326" s="76">
        <v>0</v>
      </c>
      <c r="F1326" s="89" cm="1">
        <f t="array" ref="F1326">5*LOG10(((c_light/1000/H_0_SAM)*(B1326/60)*SUMPRODUCT($J$2:$AD$2,1/SQRT(Omega_m*(1+$J$1:$AD$1*B1326)^3+Omega_L)))*(1+B1326)*100000)</f>
        <v>41.414718843943348</v>
      </c>
      <c r="G1326" s="89">
        <f t="shared" si="20"/>
        <v>0.13271884394335132</v>
      </c>
    </row>
    <row r="1327" spans="1:7" x14ac:dyDescent="0.6">
      <c r="A1327" s="76">
        <v>70955</v>
      </c>
      <c r="B1327" s="87">
        <v>0.34932000000000002</v>
      </c>
      <c r="C1327" s="88">
        <v>41.140599999999999</v>
      </c>
      <c r="D1327" s="88">
        <v>0.15795000000000001</v>
      </c>
      <c r="E1327" s="76">
        <v>0</v>
      </c>
      <c r="F1327" s="89" cm="1">
        <f t="array" ref="F1327">5*LOG10(((c_light/1000/H_0_SAM)*(B1327/60)*SUMPRODUCT($J$2:$AD$2,1/SQRT(Omega_m*(1+$J$1:$AD$1*B1327)^3+Omega_L)))*(1+B1327)*100000)</f>
        <v>41.416165875731181</v>
      </c>
      <c r="G1327" s="89">
        <f t="shared" si="20"/>
        <v>0.27556587573118208</v>
      </c>
    </row>
    <row r="1328" spans="1:7" x14ac:dyDescent="0.6">
      <c r="A1328" s="76">
        <v>380279</v>
      </c>
      <c r="B1328" s="87">
        <v>0.34938999999999998</v>
      </c>
      <c r="C1328" s="88">
        <v>41.203299999999999</v>
      </c>
      <c r="D1328" s="88">
        <v>0.1686</v>
      </c>
      <c r="E1328" s="76">
        <v>0</v>
      </c>
      <c r="F1328" s="89" cm="1">
        <f t="array" ref="F1328">5*LOG10(((c_light/1000/H_0_SAM)*(B1328/60)*SUMPRODUCT($J$2:$AD$2,1/SQRT(Omega_m*(1+$J$1:$AD$1*B1328)^3+Omega_L)))*(1+B1328)*100000)</f>
        <v>41.416672156334272</v>
      </c>
      <c r="G1328" s="89">
        <f t="shared" si="20"/>
        <v>0.2133721563342732</v>
      </c>
    </row>
    <row r="1329" spans="1:7" x14ac:dyDescent="0.6">
      <c r="A1329" s="76" t="s">
        <v>1383</v>
      </c>
      <c r="B1329" s="87">
        <v>0.34949000000000002</v>
      </c>
      <c r="C1329" s="88">
        <v>41.005000000000003</v>
      </c>
      <c r="D1329" s="88">
        <v>0.22631999999999999</v>
      </c>
      <c r="E1329" s="76">
        <v>0</v>
      </c>
      <c r="F1329" s="89" cm="1">
        <f t="array" ref="F1329">5*LOG10(((c_light/1000/H_0_SAM)*(B1329/60)*SUMPRODUCT($J$2:$AD$2,1/SQRT(Omega_m*(1+$J$1:$AD$1*B1329)^3+Omega_L)))*(1+B1329)*100000)</f>
        <v>41.417395252073028</v>
      </c>
      <c r="G1329" s="89">
        <f t="shared" si="20"/>
        <v>0.41239525207302563</v>
      </c>
    </row>
    <row r="1330" spans="1:7" x14ac:dyDescent="0.6">
      <c r="A1330" s="76" t="s">
        <v>1384</v>
      </c>
      <c r="B1330" s="87">
        <v>0.34949000000000002</v>
      </c>
      <c r="C1330" s="88">
        <v>41.375599999999999</v>
      </c>
      <c r="D1330" s="88">
        <v>0.17143</v>
      </c>
      <c r="E1330" s="76">
        <v>0</v>
      </c>
      <c r="F1330" s="89" cm="1">
        <f t="array" ref="F1330">5*LOG10(((c_light/1000/H_0_SAM)*(B1330/60)*SUMPRODUCT($J$2:$AD$2,1/SQRT(Omega_m*(1+$J$1:$AD$1*B1330)^3+Omega_L)))*(1+B1330)*100000)</f>
        <v>41.417395252073028</v>
      </c>
      <c r="G1330" s="89">
        <f t="shared" si="20"/>
        <v>4.1795252073029587E-2</v>
      </c>
    </row>
    <row r="1331" spans="1:7" x14ac:dyDescent="0.6">
      <c r="A1331" s="76">
        <v>440185</v>
      </c>
      <c r="B1331" s="87">
        <v>0.34949000000000002</v>
      </c>
      <c r="C1331" s="88">
        <v>41.1526</v>
      </c>
      <c r="D1331" s="88">
        <v>0.20583000000000001</v>
      </c>
      <c r="E1331" s="76">
        <v>0</v>
      </c>
      <c r="F1331" s="89" cm="1">
        <f t="array" ref="F1331">5*LOG10(((c_light/1000/H_0_SAM)*(B1331/60)*SUMPRODUCT($J$2:$AD$2,1/SQRT(Omega_m*(1+$J$1:$AD$1*B1331)^3+Omega_L)))*(1+B1331)*100000)</f>
        <v>41.417395252073028</v>
      </c>
      <c r="G1331" s="89">
        <f t="shared" si="20"/>
        <v>0.26479525207302856</v>
      </c>
    </row>
    <row r="1332" spans="1:7" x14ac:dyDescent="0.6">
      <c r="A1332" s="76">
        <v>20186</v>
      </c>
      <c r="B1332" s="87">
        <v>0.34967999999999999</v>
      </c>
      <c r="C1332" s="88">
        <v>41.487299999999998</v>
      </c>
      <c r="D1332" s="88">
        <v>0.28767999999999999</v>
      </c>
      <c r="E1332" s="76">
        <v>0</v>
      </c>
      <c r="F1332" s="89" cm="1">
        <f t="array" ref="F1332">5*LOG10(((c_light/1000/H_0_SAM)*(B1332/60)*SUMPRODUCT($J$2:$AD$2,1/SQRT(Omega_m*(1+$J$1:$AD$1*B1332)^3+Omega_L)))*(1+B1332)*100000)</f>
        <v>41.418768608388909</v>
      </c>
      <c r="G1332" s="89">
        <f t="shared" si="20"/>
        <v>-6.8531391611088566E-2</v>
      </c>
    </row>
    <row r="1333" spans="1:7" x14ac:dyDescent="0.6">
      <c r="A1333" s="76">
        <v>1248677</v>
      </c>
      <c r="B1333" s="87">
        <v>0.35015000000000002</v>
      </c>
      <c r="C1333" s="88">
        <v>41.186700000000002</v>
      </c>
      <c r="D1333" s="88">
        <v>0.14702000000000001</v>
      </c>
      <c r="E1333" s="76">
        <v>0</v>
      </c>
      <c r="F1333" s="89" cm="1">
        <f t="array" ref="F1333">5*LOG10(((c_light/1000/H_0_SAM)*(B1333/60)*SUMPRODUCT($J$2:$AD$2,1/SQRT(Omega_m*(1+$J$1:$AD$1*B1333)^3+Omega_L)))*(1+B1333)*100000)</f>
        <v>41.422162903368573</v>
      </c>
      <c r="G1333" s="89">
        <f t="shared" si="20"/>
        <v>0.23546290336857112</v>
      </c>
    </row>
    <row r="1334" spans="1:7" x14ac:dyDescent="0.6">
      <c r="A1334" s="76">
        <v>196</v>
      </c>
      <c r="B1334" s="87">
        <v>0.35059000000000001</v>
      </c>
      <c r="C1334" s="88">
        <v>41.234200000000001</v>
      </c>
      <c r="D1334" s="88">
        <v>0.16311999999999999</v>
      </c>
      <c r="E1334" s="76">
        <v>0</v>
      </c>
      <c r="F1334" s="89" cm="1">
        <f t="array" ref="F1334">5*LOG10(((c_light/1000/H_0_SAM)*(B1334/60)*SUMPRODUCT($J$2:$AD$2,1/SQRT(Omega_m*(1+$J$1:$AD$1*B1334)^3+Omega_L)))*(1+B1334)*100000)</f>
        <v>41.425336734758886</v>
      </c>
      <c r="G1334" s="89">
        <f t="shared" si="20"/>
        <v>0.19113673475888504</v>
      </c>
    </row>
    <row r="1335" spans="1:7" x14ac:dyDescent="0.6">
      <c r="A1335" s="76">
        <v>50296</v>
      </c>
      <c r="B1335" s="87">
        <v>0.35099000000000002</v>
      </c>
      <c r="C1335" s="88">
        <v>41.2532</v>
      </c>
      <c r="D1335" s="88">
        <v>0.16138</v>
      </c>
      <c r="E1335" s="76">
        <v>0</v>
      </c>
      <c r="F1335" s="89" cm="1">
        <f t="array" ref="F1335">5*LOG10(((c_light/1000/H_0_SAM)*(B1335/60)*SUMPRODUCT($J$2:$AD$2,1/SQRT(Omega_m*(1+$J$1:$AD$1*B1335)^3+Omega_L)))*(1+B1335)*100000)</f>
        <v>41.428218849363667</v>
      </c>
      <c r="G1335" s="89">
        <f t="shared" si="20"/>
        <v>0.17501884936366707</v>
      </c>
    </row>
    <row r="1336" spans="1:7" x14ac:dyDescent="0.6">
      <c r="A1336" s="76" t="s">
        <v>1385</v>
      </c>
      <c r="B1336" s="87">
        <v>0.35149000000000002</v>
      </c>
      <c r="C1336" s="88">
        <v>41.479799999999997</v>
      </c>
      <c r="D1336" s="88">
        <v>0.20949999999999999</v>
      </c>
      <c r="E1336" s="76">
        <v>0</v>
      </c>
      <c r="F1336" s="89" cm="1">
        <f t="array" ref="F1336">5*LOG10(((c_light/1000/H_0_SAM)*(B1336/60)*SUMPRODUCT($J$2:$AD$2,1/SQRT(Omega_m*(1+$J$1:$AD$1*B1336)^3+Omega_L)))*(1+B1336)*100000)</f>
        <v>41.431817235111311</v>
      </c>
      <c r="G1336" s="89">
        <f t="shared" si="20"/>
        <v>-4.7982764888686802E-2</v>
      </c>
    </row>
    <row r="1337" spans="1:7" x14ac:dyDescent="0.6">
      <c r="A1337" s="76">
        <v>120400</v>
      </c>
      <c r="B1337" s="87">
        <v>0.35149000000000002</v>
      </c>
      <c r="C1337" s="88">
        <v>41.334299999999999</v>
      </c>
      <c r="D1337" s="88">
        <v>0.13896</v>
      </c>
      <c r="E1337" s="76">
        <v>0</v>
      </c>
      <c r="F1337" s="89" cm="1">
        <f t="array" ref="F1337">5*LOG10(((c_light/1000/H_0_SAM)*(B1337/60)*SUMPRODUCT($J$2:$AD$2,1/SQRT(Omega_m*(1+$J$1:$AD$1*B1337)^3+Omega_L)))*(1+B1337)*100000)</f>
        <v>41.431817235111311</v>
      </c>
      <c r="G1337" s="89">
        <f t="shared" si="20"/>
        <v>9.7517235111311606E-2</v>
      </c>
    </row>
    <row r="1338" spans="1:7" x14ac:dyDescent="0.6">
      <c r="A1338" s="76">
        <v>160197</v>
      </c>
      <c r="B1338" s="87">
        <v>0.35371999999999998</v>
      </c>
      <c r="C1338" s="88">
        <v>41.365699999999997</v>
      </c>
      <c r="D1338" s="88">
        <v>0.19194</v>
      </c>
      <c r="E1338" s="76">
        <v>0</v>
      </c>
      <c r="F1338" s="89" cm="1">
        <f t="array" ref="F1338">5*LOG10(((c_light/1000/H_0_SAM)*(B1338/60)*SUMPRODUCT($J$2:$AD$2,1/SQRT(Omega_m*(1+$J$1:$AD$1*B1338)^3+Omega_L)))*(1+B1338)*100000)</f>
        <v>41.447808761408453</v>
      </c>
      <c r="G1338" s="89">
        <f t="shared" si="20"/>
        <v>8.2108761408456132E-2</v>
      </c>
    </row>
    <row r="1339" spans="1:7" x14ac:dyDescent="0.6">
      <c r="A1339" s="76" t="s">
        <v>1386</v>
      </c>
      <c r="B1339" s="87">
        <v>0.35519000000000001</v>
      </c>
      <c r="C1339" s="88">
        <v>41.464700000000001</v>
      </c>
      <c r="D1339" s="88">
        <v>0.22303999999999999</v>
      </c>
      <c r="E1339" s="76">
        <v>0</v>
      </c>
      <c r="F1339" s="89" cm="1">
        <f t="array" ref="F1339">5*LOG10(((c_light/1000/H_0_SAM)*(B1339/60)*SUMPRODUCT($J$2:$AD$2,1/SQRT(Omega_m*(1+$J$1:$AD$1*B1339)^3+Omega_L)))*(1+B1339)*100000)</f>
        <v>41.458299476460567</v>
      </c>
      <c r="G1339" s="89">
        <f t="shared" si="20"/>
        <v>-6.4005235394333226E-3</v>
      </c>
    </row>
    <row r="1340" spans="1:7" x14ac:dyDescent="0.6">
      <c r="A1340" s="76">
        <v>1688</v>
      </c>
      <c r="B1340" s="87">
        <v>0.35774</v>
      </c>
      <c r="C1340" s="88">
        <v>41.357399999999998</v>
      </c>
      <c r="D1340" s="88">
        <v>0.29196</v>
      </c>
      <c r="E1340" s="76">
        <v>0</v>
      </c>
      <c r="F1340" s="89" cm="1">
        <f t="array" ref="F1340">5*LOG10(((c_light/1000/H_0_SAM)*(B1340/60)*SUMPRODUCT($J$2:$AD$2,1/SQRT(Omega_m*(1+$J$1:$AD$1*B1340)^3+Omega_L)))*(1+B1340)*100000)</f>
        <v>41.476403006092482</v>
      </c>
      <c r="G1340" s="89">
        <f t="shared" si="20"/>
        <v>0.11900300609248404</v>
      </c>
    </row>
    <row r="1341" spans="1:7" x14ac:dyDescent="0.6">
      <c r="A1341" s="76">
        <v>1334423</v>
      </c>
      <c r="B1341" s="87">
        <v>0.35799999999999998</v>
      </c>
      <c r="C1341" s="88">
        <v>41.353900000000003</v>
      </c>
      <c r="D1341" s="88">
        <v>0.21525</v>
      </c>
      <c r="E1341" s="76">
        <v>0</v>
      </c>
      <c r="F1341" s="89" cm="1">
        <f t="array" ref="F1341">5*LOG10(((c_light/1000/H_0_SAM)*(B1341/60)*SUMPRODUCT($J$2:$AD$2,1/SQRT(Omega_m*(1+$J$1:$AD$1*B1341)^3+Omega_L)))*(1+B1341)*100000)</f>
        <v>41.478242161667609</v>
      </c>
      <c r="G1341" s="89">
        <f t="shared" si="20"/>
        <v>0.12434216166760592</v>
      </c>
    </row>
    <row r="1342" spans="1:7" x14ac:dyDescent="0.6">
      <c r="A1342" s="76" t="s">
        <v>1387</v>
      </c>
      <c r="B1342" s="87">
        <v>0.35842000000000002</v>
      </c>
      <c r="C1342" s="88">
        <v>41.2423</v>
      </c>
      <c r="D1342" s="88">
        <v>0.21598999999999999</v>
      </c>
      <c r="E1342" s="76">
        <v>0</v>
      </c>
      <c r="F1342" s="89" cm="1">
        <f t="array" ref="F1342">5*LOG10(((c_light/1000/H_0_SAM)*(B1342/60)*SUMPRODUCT($J$2:$AD$2,1/SQRT(Omega_m*(1+$J$1:$AD$1*B1342)^3+Omega_L)))*(1+B1342)*100000)</f>
        <v>41.481210503308674</v>
      </c>
      <c r="G1342" s="89">
        <f t="shared" si="20"/>
        <v>0.23891050330867358</v>
      </c>
    </row>
    <row r="1343" spans="1:7" x14ac:dyDescent="0.6">
      <c r="A1343" s="76" t="s">
        <v>1388</v>
      </c>
      <c r="B1343" s="87">
        <v>0.35849999999999999</v>
      </c>
      <c r="C1343" s="88">
        <v>41.148400000000002</v>
      </c>
      <c r="D1343" s="88">
        <v>0.28899999999999998</v>
      </c>
      <c r="E1343" s="76">
        <v>0</v>
      </c>
      <c r="F1343" s="89" cm="1">
        <f t="array" ref="F1343">5*LOG10(((c_light/1000/H_0_SAM)*(B1343/60)*SUMPRODUCT($J$2:$AD$2,1/SQRT(Omega_m*(1+$J$1:$AD$1*B1343)^3+Omega_L)))*(1+B1343)*100000)</f>
        <v>41.481775537783754</v>
      </c>
      <c r="G1343" s="89">
        <f t="shared" si="20"/>
        <v>0.33337553778375195</v>
      </c>
    </row>
    <row r="1344" spans="1:7" x14ac:dyDescent="0.6">
      <c r="A1344" s="76">
        <v>1280217</v>
      </c>
      <c r="B1344" s="87">
        <v>0.35909000000000002</v>
      </c>
      <c r="C1344" s="88">
        <v>41.153199999999998</v>
      </c>
      <c r="D1344" s="88">
        <v>0.30568000000000001</v>
      </c>
      <c r="E1344" s="76">
        <v>0</v>
      </c>
      <c r="F1344" s="89" cm="1">
        <f t="array" ref="F1344">5*LOG10(((c_light/1000/H_0_SAM)*(B1344/60)*SUMPRODUCT($J$2:$AD$2,1/SQRT(Omega_m*(1+$J$1:$AD$1*B1344)^3+Omega_L)))*(1+B1344)*100000)</f>
        <v>41.485939077401817</v>
      </c>
      <c r="G1344" s="89">
        <f t="shared" si="20"/>
        <v>0.33273907740181841</v>
      </c>
    </row>
    <row r="1345" spans="1:7" x14ac:dyDescent="0.6">
      <c r="A1345" s="76">
        <v>160070</v>
      </c>
      <c r="B1345" s="87">
        <v>0.35909000000000002</v>
      </c>
      <c r="C1345" s="88">
        <v>41.442900000000002</v>
      </c>
      <c r="D1345" s="88">
        <v>0.17111000000000001</v>
      </c>
      <c r="E1345" s="76">
        <v>0</v>
      </c>
      <c r="F1345" s="89" cm="1">
        <f t="array" ref="F1345">5*LOG10(((c_light/1000/H_0_SAM)*(B1345/60)*SUMPRODUCT($J$2:$AD$2,1/SQRT(Omega_m*(1+$J$1:$AD$1*B1345)^3+Omega_L)))*(1+B1345)*100000)</f>
        <v>41.485939077401817</v>
      </c>
      <c r="G1345" s="89">
        <f t="shared" si="20"/>
        <v>4.3039077401815007E-2</v>
      </c>
    </row>
    <row r="1346" spans="1:7" x14ac:dyDescent="0.6">
      <c r="A1346" s="76">
        <v>1307830</v>
      </c>
      <c r="B1346" s="87">
        <v>0.35946</v>
      </c>
      <c r="C1346" s="88">
        <v>41.421300000000002</v>
      </c>
      <c r="D1346" s="88">
        <v>0.15447</v>
      </c>
      <c r="E1346" s="76">
        <v>0</v>
      </c>
      <c r="F1346" s="89" cm="1">
        <f t="array" ref="F1346">5*LOG10(((c_light/1000/H_0_SAM)*(B1346/60)*SUMPRODUCT($J$2:$AD$2,1/SQRT(Omega_m*(1+$J$1:$AD$1*B1346)^3+Omega_L)))*(1+B1346)*100000)</f>
        <v>41.488546891148836</v>
      </c>
      <c r="G1346" s="89">
        <f t="shared" si="20"/>
        <v>6.7246891148833754E-2</v>
      </c>
    </row>
    <row r="1347" spans="1:7" x14ac:dyDescent="0.6">
      <c r="A1347" s="76">
        <v>50293</v>
      </c>
      <c r="B1347" s="87">
        <v>0.36016999999999999</v>
      </c>
      <c r="C1347" s="88">
        <v>41.186999999999998</v>
      </c>
      <c r="D1347" s="88">
        <v>0.19116</v>
      </c>
      <c r="E1347" s="76">
        <v>0</v>
      </c>
      <c r="F1347" s="89" cm="1">
        <f t="array" ref="F1347">5*LOG10(((c_light/1000/H_0_SAM)*(B1347/60)*SUMPRODUCT($J$2:$AD$2,1/SQRT(Omega_m*(1+$J$1:$AD$1*B1347)^3+Omega_L)))*(1+B1347)*100000)</f>
        <v>41.49354414438293</v>
      </c>
      <c r="G1347" s="89">
        <f t="shared" si="20"/>
        <v>0.30654414438293287</v>
      </c>
    </row>
    <row r="1348" spans="1:7" x14ac:dyDescent="0.6">
      <c r="A1348" s="76">
        <v>160126</v>
      </c>
      <c r="B1348" s="87">
        <v>0.36033999999999999</v>
      </c>
      <c r="C1348" s="88">
        <v>41.079099999999997</v>
      </c>
      <c r="D1348" s="88">
        <v>0.23028999999999999</v>
      </c>
      <c r="E1348" s="76">
        <v>0</v>
      </c>
      <c r="F1348" s="89" cm="1">
        <f t="array" ref="F1348">5*LOG10(((c_light/1000/H_0_SAM)*(B1348/60)*SUMPRODUCT($J$2:$AD$2,1/SQRT(Omega_m*(1+$J$1:$AD$1*B1348)^3+Omega_L)))*(1+B1348)*100000)</f>
        <v>41.49473932078196</v>
      </c>
      <c r="G1348" s="89">
        <f t="shared" si="20"/>
        <v>0.41563932078196331</v>
      </c>
    </row>
    <row r="1349" spans="1:7" x14ac:dyDescent="0.6">
      <c r="A1349" s="76">
        <v>470244</v>
      </c>
      <c r="B1349" s="87">
        <v>0.36091000000000001</v>
      </c>
      <c r="C1349" s="88">
        <v>41.4328</v>
      </c>
      <c r="D1349" s="88">
        <v>0.19753000000000001</v>
      </c>
      <c r="E1349" s="76">
        <v>0</v>
      </c>
      <c r="F1349" s="89" cm="1">
        <f t="array" ref="F1349">5*LOG10(((c_light/1000/H_0_SAM)*(B1349/60)*SUMPRODUCT($J$2:$AD$2,1/SQRT(Omega_m*(1+$J$1:$AD$1*B1349)^3+Omega_L)))*(1+B1349)*100000)</f>
        <v>41.498742883045942</v>
      </c>
      <c r="G1349" s="89">
        <f t="shared" si="20"/>
        <v>6.5942883045941869E-2</v>
      </c>
    </row>
    <row r="1350" spans="1:7" x14ac:dyDescent="0.6">
      <c r="A1350" s="76">
        <v>420417</v>
      </c>
      <c r="B1350" s="87">
        <v>0.36147000000000001</v>
      </c>
      <c r="C1350" s="88">
        <v>41.115900000000003</v>
      </c>
      <c r="D1350" s="88">
        <v>0.28802</v>
      </c>
      <c r="E1350" s="76">
        <v>0</v>
      </c>
      <c r="F1350" s="89" cm="1">
        <f t="array" ref="F1350">5*LOG10(((c_light/1000/H_0_SAM)*(B1350/60)*SUMPRODUCT($J$2:$AD$2,1/SQRT(Omega_m*(1+$J$1:$AD$1*B1350)^3+Omega_L)))*(1+B1350)*100000)</f>
        <v>41.502670528621479</v>
      </c>
      <c r="G1350" s="89">
        <f t="shared" ref="G1350:G1413" si="21">F1350-C1350</f>
        <v>0.38677052862147576</v>
      </c>
    </row>
    <row r="1351" spans="1:7" x14ac:dyDescent="0.6">
      <c r="A1351" s="76">
        <v>1294014</v>
      </c>
      <c r="B1351" s="87">
        <v>0.36280000000000001</v>
      </c>
      <c r="C1351" s="88">
        <v>41.245199999999997</v>
      </c>
      <c r="D1351" s="88">
        <v>0.21</v>
      </c>
      <c r="E1351" s="76">
        <v>0</v>
      </c>
      <c r="F1351" s="89" cm="1">
        <f t="array" ref="F1351">5*LOG10(((c_light/1000/H_0_SAM)*(B1351/60)*SUMPRODUCT($J$2:$AD$2,1/SQRT(Omega_m*(1+$J$1:$AD$1*B1351)^3+Omega_L)))*(1+B1351)*100000)</f>
        <v>41.511976226027869</v>
      </c>
      <c r="G1351" s="89">
        <f t="shared" si="21"/>
        <v>0.2667762260278721</v>
      </c>
    </row>
    <row r="1352" spans="1:7" x14ac:dyDescent="0.6">
      <c r="A1352" s="76">
        <v>1346137</v>
      </c>
      <c r="B1352" s="87">
        <v>0.36325000000000002</v>
      </c>
      <c r="C1352" s="88">
        <v>41.363999999999997</v>
      </c>
      <c r="D1352" s="88">
        <v>0.21510000000000001</v>
      </c>
      <c r="E1352" s="76">
        <v>0</v>
      </c>
      <c r="F1352" s="89" cm="1">
        <f t="array" ref="F1352">5*LOG10(((c_light/1000/H_0_SAM)*(B1352/60)*SUMPRODUCT($J$2:$AD$2,1/SQRT(Omega_m*(1+$J$1:$AD$1*B1352)^3+Omega_L)))*(1+B1352)*100000)</f>
        <v>41.515117642301725</v>
      </c>
      <c r="G1352" s="89">
        <f t="shared" si="21"/>
        <v>0.15111764230172753</v>
      </c>
    </row>
    <row r="1353" spans="1:7" x14ac:dyDescent="0.6">
      <c r="A1353" s="76">
        <v>560121</v>
      </c>
      <c r="B1353" s="87">
        <v>0.36498999999999998</v>
      </c>
      <c r="C1353" s="88">
        <v>41.462600000000002</v>
      </c>
      <c r="D1353" s="88">
        <v>0.29157</v>
      </c>
      <c r="E1353" s="76">
        <v>0</v>
      </c>
      <c r="F1353" s="89" cm="1">
        <f t="array" ref="F1353">5*LOG10(((c_light/1000/H_0_SAM)*(B1353/60)*SUMPRODUCT($J$2:$AD$2,1/SQRT(Omega_m*(1+$J$1:$AD$1*B1353)^3+Omega_L)))*(1+B1353)*100000)</f>
        <v>41.527230749747098</v>
      </c>
      <c r="G1353" s="89">
        <f t="shared" si="21"/>
        <v>6.4630749747095706E-2</v>
      </c>
    </row>
    <row r="1354" spans="1:7" x14ac:dyDescent="0.6">
      <c r="A1354" s="76">
        <v>100358</v>
      </c>
      <c r="B1354" s="87">
        <v>0.36623</v>
      </c>
      <c r="C1354" s="88">
        <v>41.136000000000003</v>
      </c>
      <c r="D1354" s="88">
        <v>0.22622999999999999</v>
      </c>
      <c r="E1354" s="76">
        <v>0</v>
      </c>
      <c r="F1354" s="89" cm="1">
        <f t="array" ref="F1354">5*LOG10(((c_light/1000/H_0_SAM)*(B1354/60)*SUMPRODUCT($J$2:$AD$2,1/SQRT(Omega_m*(1+$J$1:$AD$1*B1354)^3+Omega_L)))*(1+B1354)*100000)</f>
        <v>41.535830592082434</v>
      </c>
      <c r="G1354" s="89">
        <f t="shared" si="21"/>
        <v>0.39983059208243077</v>
      </c>
    </row>
    <row r="1355" spans="1:7" x14ac:dyDescent="0.6">
      <c r="A1355" s="76">
        <v>190209</v>
      </c>
      <c r="B1355" s="87">
        <v>0.36656</v>
      </c>
      <c r="C1355" s="88">
        <v>41.232700000000001</v>
      </c>
      <c r="D1355" s="88">
        <v>0.15565999999999999</v>
      </c>
      <c r="E1355" s="76">
        <v>0</v>
      </c>
      <c r="F1355" s="89" cm="1">
        <f t="array" ref="F1355">5*LOG10(((c_light/1000/H_0_SAM)*(B1355/60)*SUMPRODUCT($J$2:$AD$2,1/SQRT(Omega_m*(1+$J$1:$AD$1*B1355)^3+Omega_L)))*(1+B1355)*100000)</f>
        <v>41.538114730923013</v>
      </c>
      <c r="G1355" s="89">
        <f t="shared" si="21"/>
        <v>0.30541473092301175</v>
      </c>
    </row>
    <row r="1356" spans="1:7" x14ac:dyDescent="0.6">
      <c r="A1356" s="76">
        <v>1308582</v>
      </c>
      <c r="B1356" s="87">
        <v>0.36713000000000001</v>
      </c>
      <c r="C1356" s="88">
        <v>41.208799999999997</v>
      </c>
      <c r="D1356" s="88">
        <v>0.15190999999999999</v>
      </c>
      <c r="E1356" s="76">
        <v>0</v>
      </c>
      <c r="F1356" s="89" cm="1">
        <f t="array" ref="F1356">5*LOG10(((c_light/1000/H_0_SAM)*(B1356/60)*SUMPRODUCT($J$2:$AD$2,1/SQRT(Omega_m*(1+$J$1:$AD$1*B1356)^3+Omega_L)))*(1+B1356)*100000)</f>
        <v>41.542055593931728</v>
      </c>
      <c r="G1356" s="89">
        <f t="shared" si="21"/>
        <v>0.33325559393173165</v>
      </c>
    </row>
    <row r="1357" spans="1:7" x14ac:dyDescent="0.6">
      <c r="A1357" s="76">
        <v>350083</v>
      </c>
      <c r="B1357" s="87">
        <v>0.3679</v>
      </c>
      <c r="C1357" s="88">
        <v>41.262700000000002</v>
      </c>
      <c r="D1357" s="88">
        <v>0.16556999999999999</v>
      </c>
      <c r="E1357" s="76">
        <v>0</v>
      </c>
      <c r="F1357" s="89" cm="1">
        <f t="array" ref="F1357">5*LOG10(((c_light/1000/H_0_SAM)*(B1357/60)*SUMPRODUCT($J$2:$AD$2,1/SQRT(Omega_m*(1+$J$1:$AD$1*B1357)^3+Omega_L)))*(1+B1357)*100000)</f>
        <v>41.54737025582024</v>
      </c>
      <c r="G1357" s="89">
        <f t="shared" si="21"/>
        <v>0.28467025582023808</v>
      </c>
    </row>
    <row r="1358" spans="1:7" x14ac:dyDescent="0.6">
      <c r="A1358" s="76" t="s">
        <v>1389</v>
      </c>
      <c r="B1358" s="87">
        <v>0.36798999999999998</v>
      </c>
      <c r="C1358" s="88">
        <v>41.469900000000003</v>
      </c>
      <c r="D1358" s="88">
        <v>0.15837000000000001</v>
      </c>
      <c r="E1358" s="76">
        <v>0</v>
      </c>
      <c r="F1358" s="89" cm="1">
        <f t="array" ref="F1358">5*LOG10(((c_light/1000/H_0_SAM)*(B1358/60)*SUMPRODUCT($J$2:$AD$2,1/SQRT(Omega_m*(1+$J$1:$AD$1*B1358)^3+Omega_L)))*(1+B1358)*100000)</f>
        <v>41.547990779587501</v>
      </c>
      <c r="G1358" s="89">
        <f t="shared" si="21"/>
        <v>7.8090779587498105E-2</v>
      </c>
    </row>
    <row r="1359" spans="1:7" x14ac:dyDescent="0.6">
      <c r="A1359" s="76">
        <v>1343533</v>
      </c>
      <c r="B1359" s="87">
        <v>0.36839</v>
      </c>
      <c r="C1359" s="88">
        <v>41.547899999999998</v>
      </c>
      <c r="D1359" s="88">
        <v>0.33643000000000001</v>
      </c>
      <c r="E1359" s="76">
        <v>0</v>
      </c>
      <c r="F1359" s="89" cm="1">
        <f t="array" ref="F1359">5*LOG10(((c_light/1000/H_0_SAM)*(B1359/60)*SUMPRODUCT($J$2:$AD$2,1/SQRT(Omega_m*(1+$J$1:$AD$1*B1359)^3+Omega_L)))*(1+B1359)*100000)</f>
        <v>41.5507469688242</v>
      </c>
      <c r="G1359" s="89">
        <f t="shared" si="21"/>
        <v>2.8469688242012126E-3</v>
      </c>
    </row>
    <row r="1360" spans="1:7" x14ac:dyDescent="0.6">
      <c r="A1360" s="76">
        <v>1283936</v>
      </c>
      <c r="B1360" s="87">
        <v>0.36857000000000001</v>
      </c>
      <c r="C1360" s="88">
        <v>41.463000000000001</v>
      </c>
      <c r="D1360" s="88">
        <v>0.34555000000000002</v>
      </c>
      <c r="E1360" s="76">
        <v>0</v>
      </c>
      <c r="F1360" s="89" cm="1">
        <f t="array" ref="F1360">5*LOG10(((c_light/1000/H_0_SAM)*(B1360/60)*SUMPRODUCT($J$2:$AD$2,1/SQRT(Omega_m*(1+$J$1:$AD$1*B1360)^3+Omega_L)))*(1+B1360)*100000)</f>
        <v>41.551986352613909</v>
      </c>
      <c r="G1360" s="89">
        <f t="shared" si="21"/>
        <v>8.8986352613908082E-2</v>
      </c>
    </row>
    <row r="1361" spans="1:7" x14ac:dyDescent="0.6">
      <c r="A1361" s="76">
        <v>15704</v>
      </c>
      <c r="B1361" s="87">
        <v>0.36962</v>
      </c>
      <c r="C1361" s="88">
        <v>41.449800000000003</v>
      </c>
      <c r="D1361" s="88">
        <v>0.24435000000000001</v>
      </c>
      <c r="E1361" s="76">
        <v>0</v>
      </c>
      <c r="F1361" s="89" cm="1">
        <f t="array" ref="F1361">5*LOG10(((c_light/1000/H_0_SAM)*(B1361/60)*SUMPRODUCT($J$2:$AD$2,1/SQRT(Omega_m*(1+$J$1:$AD$1*B1361)^3+Omega_L)))*(1+B1361)*100000)</f>
        <v>41.559204972043744</v>
      </c>
      <c r="G1361" s="89">
        <f t="shared" si="21"/>
        <v>0.10940497204374111</v>
      </c>
    </row>
    <row r="1362" spans="1:7" x14ac:dyDescent="0.6">
      <c r="A1362" s="76">
        <v>18091</v>
      </c>
      <c r="B1362" s="87">
        <v>0.36986999999999998</v>
      </c>
      <c r="C1362" s="88">
        <v>41.218499999999999</v>
      </c>
      <c r="D1362" s="88">
        <v>0.25505</v>
      </c>
      <c r="E1362" s="76">
        <v>0</v>
      </c>
      <c r="F1362" s="89" cm="1">
        <f t="array" ref="F1362">5*LOG10(((c_light/1000/H_0_SAM)*(B1362/60)*SUMPRODUCT($J$2:$AD$2,1/SQRT(Omega_m*(1+$J$1:$AD$1*B1362)^3+Omega_L)))*(1+B1362)*100000)</f>
        <v>41.560920899923175</v>
      </c>
      <c r="G1362" s="89">
        <f t="shared" si="21"/>
        <v>0.34242089992317659</v>
      </c>
    </row>
    <row r="1363" spans="1:7" x14ac:dyDescent="0.6">
      <c r="A1363" s="76">
        <v>510578</v>
      </c>
      <c r="B1363" s="87">
        <v>0.37023</v>
      </c>
      <c r="C1363" s="88">
        <v>41.379399999999997</v>
      </c>
      <c r="D1363" s="88">
        <v>0.18878</v>
      </c>
      <c r="E1363" s="76">
        <v>0</v>
      </c>
      <c r="F1363" s="89" cm="1">
        <f t="array" ref="F1363">5*LOG10(((c_light/1000/H_0_SAM)*(B1363/60)*SUMPRODUCT($J$2:$AD$2,1/SQRT(Omega_m*(1+$J$1:$AD$1*B1363)^3+Omega_L)))*(1+B1363)*100000)</f>
        <v>41.563389955550747</v>
      </c>
      <c r="G1363" s="89">
        <f t="shared" si="21"/>
        <v>0.18398995555075004</v>
      </c>
    </row>
    <row r="1364" spans="1:7" x14ac:dyDescent="0.6">
      <c r="A1364" s="76" t="s">
        <v>1390</v>
      </c>
      <c r="B1364" s="87">
        <v>0.37052000000000002</v>
      </c>
      <c r="C1364" s="88">
        <v>41.375900000000001</v>
      </c>
      <c r="D1364" s="88">
        <v>0.16324</v>
      </c>
      <c r="E1364" s="76">
        <v>0</v>
      </c>
      <c r="F1364" s="89" cm="1">
        <f t="array" ref="F1364">5*LOG10(((c_light/1000/H_0_SAM)*(B1364/60)*SUMPRODUCT($J$2:$AD$2,1/SQRT(Omega_m*(1+$J$1:$AD$1*B1364)^3+Omega_L)))*(1+B1364)*100000)</f>
        <v>41.565377305315863</v>
      </c>
      <c r="G1364" s="89">
        <f t="shared" si="21"/>
        <v>0.1894773053158616</v>
      </c>
    </row>
    <row r="1365" spans="1:7" x14ac:dyDescent="0.6">
      <c r="A1365" s="76" t="s">
        <v>1391</v>
      </c>
      <c r="B1365" s="87">
        <v>0.37053000000000003</v>
      </c>
      <c r="C1365" s="88">
        <v>41.383299999999998</v>
      </c>
      <c r="D1365" s="88">
        <v>0.16003000000000001</v>
      </c>
      <c r="E1365" s="76">
        <v>0</v>
      </c>
      <c r="F1365" s="89" cm="1">
        <f t="array" ref="F1365">5*LOG10(((c_light/1000/H_0_SAM)*(B1365/60)*SUMPRODUCT($J$2:$AD$2,1/SQRT(Omega_m*(1+$J$1:$AD$1*B1365)^3+Omega_L)))*(1+B1365)*100000)</f>
        <v>41.565445808996458</v>
      </c>
      <c r="G1365" s="89">
        <f t="shared" si="21"/>
        <v>0.18214580899645938</v>
      </c>
    </row>
    <row r="1366" spans="1:7" x14ac:dyDescent="0.6">
      <c r="A1366" s="76">
        <v>13136</v>
      </c>
      <c r="B1366" s="87">
        <v>0.37057000000000001</v>
      </c>
      <c r="C1366" s="88">
        <v>41.639499999999998</v>
      </c>
      <c r="D1366" s="88">
        <v>0.25663000000000002</v>
      </c>
      <c r="E1366" s="76">
        <v>0</v>
      </c>
      <c r="F1366" s="89" cm="1">
        <f t="array" ref="F1366">5*LOG10(((c_light/1000/H_0_SAM)*(B1366/60)*SUMPRODUCT($J$2:$AD$2,1/SQRT(Omega_m*(1+$J$1:$AD$1*B1366)^3+Omega_L)))*(1+B1366)*100000)</f>
        <v>41.565719806647678</v>
      </c>
      <c r="G1366" s="89">
        <f t="shared" si="21"/>
        <v>-7.3780193352320111E-2</v>
      </c>
    </row>
    <row r="1367" spans="1:7" x14ac:dyDescent="0.6">
      <c r="A1367" s="76" t="s">
        <v>1392</v>
      </c>
      <c r="B1367" s="87">
        <v>0.37062</v>
      </c>
      <c r="C1367" s="88">
        <v>41.273000000000003</v>
      </c>
      <c r="D1367" s="88">
        <v>0.28240999999999999</v>
      </c>
      <c r="E1367" s="76">
        <v>0</v>
      </c>
      <c r="F1367" s="89" cm="1">
        <f t="array" ref="F1367">5*LOG10(((c_light/1000/H_0_SAM)*(B1367/60)*SUMPRODUCT($J$2:$AD$2,1/SQRT(Omega_m*(1+$J$1:$AD$1*B1367)^3+Omega_L)))*(1+B1367)*100000)</f>
        <v>41.566062265308119</v>
      </c>
      <c r="G1367" s="89">
        <f t="shared" si="21"/>
        <v>0.29306226530811585</v>
      </c>
    </row>
    <row r="1368" spans="1:7" x14ac:dyDescent="0.6">
      <c r="A1368" s="76">
        <v>390471</v>
      </c>
      <c r="B1368" s="87">
        <v>0.37062</v>
      </c>
      <c r="C1368" s="88">
        <v>41.069800000000001</v>
      </c>
      <c r="D1368" s="88">
        <v>0.13585</v>
      </c>
      <c r="E1368" s="76">
        <v>0</v>
      </c>
      <c r="F1368" s="89" cm="1">
        <f t="array" ref="F1368">5*LOG10(((c_light/1000/H_0_SAM)*(B1368/60)*SUMPRODUCT($J$2:$AD$2,1/SQRT(Omega_m*(1+$J$1:$AD$1*B1368)^3+Omega_L)))*(1+B1368)*100000)</f>
        <v>41.566062265308119</v>
      </c>
      <c r="G1368" s="89">
        <f t="shared" si="21"/>
        <v>0.49626226530811834</v>
      </c>
    </row>
    <row r="1369" spans="1:7" x14ac:dyDescent="0.6">
      <c r="A1369" s="76">
        <v>320469</v>
      </c>
      <c r="B1369" s="87">
        <v>0.37095</v>
      </c>
      <c r="C1369" s="88">
        <v>41.409799999999997</v>
      </c>
      <c r="D1369" s="88">
        <v>0.39051999999999998</v>
      </c>
      <c r="E1369" s="76">
        <v>0</v>
      </c>
      <c r="F1369" s="89" cm="1">
        <f t="array" ref="F1369">5*LOG10(((c_light/1000/H_0_SAM)*(B1369/60)*SUMPRODUCT($J$2:$AD$2,1/SQRT(Omega_m*(1+$J$1:$AD$1*B1369)^3+Omega_L)))*(1+B1369)*100000)</f>
        <v>41.568321423055338</v>
      </c>
      <c r="G1369" s="89">
        <f t="shared" si="21"/>
        <v>0.15852142305534045</v>
      </c>
    </row>
    <row r="1370" spans="1:7" x14ac:dyDescent="0.6">
      <c r="A1370" s="76">
        <v>1291957</v>
      </c>
      <c r="B1370" s="87">
        <v>0.37137999999999999</v>
      </c>
      <c r="C1370" s="88">
        <v>41.334000000000003</v>
      </c>
      <c r="D1370" s="88">
        <v>0.1681</v>
      </c>
      <c r="E1370" s="76">
        <v>0</v>
      </c>
      <c r="F1370" s="89" cm="1">
        <f t="array" ref="F1370">5*LOG10(((c_light/1000/H_0_SAM)*(B1370/60)*SUMPRODUCT($J$2:$AD$2,1/SQRT(Omega_m*(1+$J$1:$AD$1*B1370)^3+Omega_L)))*(1+B1370)*100000)</f>
        <v>41.571262390959667</v>
      </c>
      <c r="G1370" s="89">
        <f t="shared" si="21"/>
        <v>0.23726239095966406</v>
      </c>
    </row>
    <row r="1371" spans="1:7" x14ac:dyDescent="0.6">
      <c r="A1371" s="76">
        <v>199</v>
      </c>
      <c r="B1371" s="87">
        <v>0.37153000000000003</v>
      </c>
      <c r="C1371" s="88">
        <v>41.3842</v>
      </c>
      <c r="D1371" s="88">
        <v>0.11663999999999999</v>
      </c>
      <c r="E1371" s="76">
        <v>0</v>
      </c>
      <c r="F1371" s="89" cm="1">
        <f t="array" ref="F1371">5*LOG10(((c_light/1000/H_0_SAM)*(B1371/60)*SUMPRODUCT($J$2:$AD$2,1/SQRT(Omega_m*(1+$J$1:$AD$1*B1371)^3+Omega_L)))*(1+B1371)*100000)</f>
        <v>41.572287570235119</v>
      </c>
      <c r="G1371" s="89">
        <f t="shared" si="21"/>
        <v>0.18808757023511902</v>
      </c>
    </row>
    <row r="1372" spans="1:7" x14ac:dyDescent="0.6">
      <c r="A1372" s="76" t="s">
        <v>1393</v>
      </c>
      <c r="B1372" s="87">
        <v>0.37153000000000003</v>
      </c>
      <c r="C1372" s="88">
        <v>41.428899999999999</v>
      </c>
      <c r="D1372" s="88">
        <v>0.16542000000000001</v>
      </c>
      <c r="E1372" s="76">
        <v>0</v>
      </c>
      <c r="F1372" s="89" cm="1">
        <f t="array" ref="F1372">5*LOG10(((c_light/1000/H_0_SAM)*(B1372/60)*SUMPRODUCT($J$2:$AD$2,1/SQRT(Omega_m*(1+$J$1:$AD$1*B1372)^3+Omega_L)))*(1+B1372)*100000)</f>
        <v>41.572287570235119</v>
      </c>
      <c r="G1372" s="89">
        <f t="shared" si="21"/>
        <v>0.14338757023512017</v>
      </c>
    </row>
    <row r="1373" spans="1:7" x14ac:dyDescent="0.6">
      <c r="A1373" s="76" t="s">
        <v>1394</v>
      </c>
      <c r="B1373" s="87">
        <v>0.37352999999999997</v>
      </c>
      <c r="C1373" s="88">
        <v>41.311399999999999</v>
      </c>
      <c r="D1373" s="88">
        <v>0.13303999999999999</v>
      </c>
      <c r="E1373" s="76">
        <v>0</v>
      </c>
      <c r="F1373" s="89" cm="1">
        <f t="array" ref="F1373">5*LOG10(((c_light/1000/H_0_SAM)*(B1373/60)*SUMPRODUCT($J$2:$AD$2,1/SQRT(Omega_m*(1+$J$1:$AD$1*B1373)^3+Omega_L)))*(1+B1373)*100000)</f>
        <v>41.585920224557434</v>
      </c>
      <c r="G1373" s="89">
        <f t="shared" si="21"/>
        <v>0.27452022455743474</v>
      </c>
    </row>
    <row r="1374" spans="1:7" x14ac:dyDescent="0.6">
      <c r="A1374" s="76">
        <v>16232</v>
      </c>
      <c r="B1374" s="87">
        <v>0.37436000000000003</v>
      </c>
      <c r="C1374" s="88">
        <v>41.472200000000001</v>
      </c>
      <c r="D1374" s="88">
        <v>0.23479</v>
      </c>
      <c r="E1374" s="76">
        <v>0</v>
      </c>
      <c r="F1374" s="89" cm="1">
        <f t="array" ref="F1374">5*LOG10(((c_light/1000/H_0_SAM)*(B1374/60)*SUMPRODUCT($J$2:$AD$2,1/SQRT(Omega_m*(1+$J$1:$AD$1*B1374)^3+Omega_L)))*(1+B1374)*100000)</f>
        <v>41.591557991330689</v>
      </c>
      <c r="G1374" s="89">
        <f t="shared" si="21"/>
        <v>0.1193579913306877</v>
      </c>
    </row>
    <row r="1375" spans="1:7" x14ac:dyDescent="0.6">
      <c r="A1375" s="76">
        <v>1299643</v>
      </c>
      <c r="B1375" s="87">
        <v>0.37675999999999998</v>
      </c>
      <c r="C1375" s="88">
        <v>41.415500000000002</v>
      </c>
      <c r="D1375" s="88">
        <v>0.15470999999999999</v>
      </c>
      <c r="E1375" s="76">
        <v>0</v>
      </c>
      <c r="F1375" s="89" cm="1">
        <f t="array" ref="F1375">5*LOG10(((c_light/1000/H_0_SAM)*(B1375/60)*SUMPRODUCT($J$2:$AD$2,1/SQRT(Omega_m*(1+$J$1:$AD$1*B1375)^3+Omega_L)))*(1+B1375)*100000)</f>
        <v>41.607795247935996</v>
      </c>
      <c r="G1375" s="89">
        <f t="shared" si="21"/>
        <v>0.19229524793599495</v>
      </c>
    </row>
    <row r="1376" spans="1:7" x14ac:dyDescent="0.6">
      <c r="A1376" s="76">
        <v>1282736</v>
      </c>
      <c r="B1376" s="87">
        <v>0.37805</v>
      </c>
      <c r="C1376" s="88">
        <v>41.3598</v>
      </c>
      <c r="D1376" s="88">
        <v>0.22317999999999999</v>
      </c>
      <c r="E1376" s="76">
        <v>0</v>
      </c>
      <c r="F1376" s="89" cm="1">
        <f t="array" ref="F1376">5*LOG10(((c_light/1000/H_0_SAM)*(B1376/60)*SUMPRODUCT($J$2:$AD$2,1/SQRT(Omega_m*(1+$J$1:$AD$1*B1376)^3+Omega_L)))*(1+B1376)*100000)</f>
        <v>41.616483333914395</v>
      </c>
      <c r="G1376" s="89">
        <f t="shared" si="21"/>
        <v>0.25668333391439546</v>
      </c>
    </row>
    <row r="1377" spans="1:7" x14ac:dyDescent="0.6">
      <c r="A1377" s="76">
        <v>590031</v>
      </c>
      <c r="B1377" s="87">
        <v>0.37852000000000002</v>
      </c>
      <c r="C1377" s="88">
        <v>41.427100000000003</v>
      </c>
      <c r="D1377" s="88">
        <v>0.18240000000000001</v>
      </c>
      <c r="E1377" s="76">
        <v>0</v>
      </c>
      <c r="F1377" s="89" cm="1">
        <f t="array" ref="F1377">5*LOG10(((c_light/1000/H_0_SAM)*(B1377/60)*SUMPRODUCT($J$2:$AD$2,1/SQRT(Omega_m*(1+$J$1:$AD$1*B1377)^3+Omega_L)))*(1+B1377)*100000)</f>
        <v>41.619641954638205</v>
      </c>
      <c r="G1377" s="89">
        <f t="shared" si="21"/>
        <v>0.19254195463820167</v>
      </c>
    </row>
    <row r="1378" spans="1:7" x14ac:dyDescent="0.6">
      <c r="A1378" s="76">
        <v>7779</v>
      </c>
      <c r="B1378" s="87">
        <v>0.37991000000000003</v>
      </c>
      <c r="C1378" s="88">
        <v>41.295900000000003</v>
      </c>
      <c r="D1378" s="88">
        <v>0.21992</v>
      </c>
      <c r="E1378" s="76">
        <v>0</v>
      </c>
      <c r="F1378" s="89" cm="1">
        <f t="array" ref="F1378">5*LOG10(((c_light/1000/H_0_SAM)*(B1378/60)*SUMPRODUCT($J$2:$AD$2,1/SQRT(Omega_m*(1+$J$1:$AD$1*B1378)^3+Omega_L)))*(1+B1378)*100000)</f>
        <v>41.628962247327564</v>
      </c>
      <c r="G1378" s="89">
        <f t="shared" si="21"/>
        <v>0.33306224732756107</v>
      </c>
    </row>
    <row r="1379" spans="1:7" x14ac:dyDescent="0.6">
      <c r="A1379" s="76">
        <v>320099</v>
      </c>
      <c r="B1379" s="87">
        <v>0.37996999999999997</v>
      </c>
      <c r="C1379" s="88">
        <v>41.415399999999998</v>
      </c>
      <c r="D1379" s="88">
        <v>0.16378999999999999</v>
      </c>
      <c r="E1379" s="76">
        <v>0</v>
      </c>
      <c r="F1379" s="89" cm="1">
        <f t="array" ref="F1379">5*LOG10(((c_light/1000/H_0_SAM)*(B1379/60)*SUMPRODUCT($J$2:$AD$2,1/SQRT(Omega_m*(1+$J$1:$AD$1*B1379)^3+Omega_L)))*(1+B1379)*100000)</f>
        <v>41.629363852351119</v>
      </c>
      <c r="G1379" s="89">
        <f t="shared" si="21"/>
        <v>0.21396385235112092</v>
      </c>
    </row>
    <row r="1380" spans="1:7" x14ac:dyDescent="0.6">
      <c r="A1380" s="76">
        <v>500057</v>
      </c>
      <c r="B1380" s="87">
        <v>0.38061</v>
      </c>
      <c r="C1380" s="88">
        <v>41.461399999999998</v>
      </c>
      <c r="D1380" s="88">
        <v>0.18804000000000001</v>
      </c>
      <c r="E1380" s="76">
        <v>0</v>
      </c>
      <c r="F1380" s="89" cm="1">
        <f t="array" ref="F1380">5*LOG10(((c_light/1000/H_0_SAM)*(B1380/60)*SUMPRODUCT($J$2:$AD$2,1/SQRT(Omega_m*(1+$J$1:$AD$1*B1380)^3+Omega_L)))*(1+B1380)*100000)</f>
        <v>41.633643997077847</v>
      </c>
      <c r="G1380" s="89">
        <f t="shared" si="21"/>
        <v>0.17224399707784954</v>
      </c>
    </row>
    <row r="1381" spans="1:7" x14ac:dyDescent="0.6">
      <c r="A1381" s="76">
        <v>110425</v>
      </c>
      <c r="B1381" s="87">
        <v>0.38091999999999998</v>
      </c>
      <c r="C1381" s="88">
        <v>41.451099999999997</v>
      </c>
      <c r="D1381" s="88">
        <v>0.20143</v>
      </c>
      <c r="E1381" s="76">
        <v>0</v>
      </c>
      <c r="F1381" s="89" cm="1">
        <f t="array" ref="F1381">5*LOG10(((c_light/1000/H_0_SAM)*(B1381/60)*SUMPRODUCT($J$2:$AD$2,1/SQRT(Omega_m*(1+$J$1:$AD$1*B1381)^3+Omega_L)))*(1+B1381)*100000)</f>
        <v>41.635714801945916</v>
      </c>
      <c r="G1381" s="89">
        <f t="shared" si="21"/>
        <v>0.18461480194591928</v>
      </c>
    </row>
    <row r="1382" spans="1:7" x14ac:dyDescent="0.6">
      <c r="A1382" s="76">
        <v>1299785</v>
      </c>
      <c r="B1382" s="87">
        <v>0.38129000000000002</v>
      </c>
      <c r="C1382" s="88">
        <v>41.454900000000002</v>
      </c>
      <c r="D1382" s="88">
        <v>0.20413000000000001</v>
      </c>
      <c r="E1382" s="76">
        <v>0</v>
      </c>
      <c r="F1382" s="89" cm="1">
        <f t="array" ref="F1382">5*LOG10(((c_light/1000/H_0_SAM)*(B1382/60)*SUMPRODUCT($J$2:$AD$2,1/SQRT(Omega_m*(1+$J$1:$AD$1*B1382)^3+Omega_L)))*(1+B1382)*100000)</f>
        <v>41.638184370184575</v>
      </c>
      <c r="G1382" s="89">
        <f t="shared" si="21"/>
        <v>0.18328437018457322</v>
      </c>
    </row>
    <row r="1383" spans="1:7" x14ac:dyDescent="0.6">
      <c r="A1383" s="76">
        <v>11</v>
      </c>
      <c r="B1383" s="87">
        <v>0.38152999999999998</v>
      </c>
      <c r="C1383" s="88">
        <v>41.677500000000002</v>
      </c>
      <c r="D1383" s="88">
        <v>0.21898000000000001</v>
      </c>
      <c r="E1383" s="76">
        <v>0</v>
      </c>
      <c r="F1383" s="89" cm="1">
        <f t="array" ref="F1383">5*LOG10(((c_light/1000/H_0_SAM)*(B1383/60)*SUMPRODUCT($J$2:$AD$2,1/SQRT(Omega_m*(1+$J$1:$AD$1*B1383)^3+Omega_L)))*(1+B1383)*100000)</f>
        <v>41.639785068480883</v>
      </c>
      <c r="G1383" s="89">
        <f t="shared" si="21"/>
        <v>-3.7714931519118977E-2</v>
      </c>
    </row>
    <row r="1384" spans="1:7" x14ac:dyDescent="0.6">
      <c r="A1384" s="76">
        <v>40150</v>
      </c>
      <c r="B1384" s="87">
        <v>0.38185000000000002</v>
      </c>
      <c r="C1384" s="88">
        <v>41.561500000000002</v>
      </c>
      <c r="D1384" s="88">
        <v>0.19889999999999999</v>
      </c>
      <c r="E1384" s="76">
        <v>0</v>
      </c>
      <c r="F1384" s="89" cm="1">
        <f t="array" ref="F1384">5*LOG10(((c_light/1000/H_0_SAM)*(B1384/60)*SUMPRODUCT($J$2:$AD$2,1/SQRT(Omega_m*(1+$J$1:$AD$1*B1384)^3+Omega_L)))*(1+B1384)*100000)</f>
        <v>41.641917886081252</v>
      </c>
      <c r="G1384" s="89">
        <f t="shared" si="21"/>
        <v>8.041788608124989E-2</v>
      </c>
    </row>
    <row r="1385" spans="1:7" x14ac:dyDescent="0.6">
      <c r="A1385" s="76">
        <v>580275</v>
      </c>
      <c r="B1385" s="87">
        <v>0.38247999999999999</v>
      </c>
      <c r="C1385" s="88">
        <v>41.372599999999998</v>
      </c>
      <c r="D1385" s="88">
        <v>0.26517000000000002</v>
      </c>
      <c r="E1385" s="76">
        <v>0</v>
      </c>
      <c r="F1385" s="89" cm="1">
        <f t="array" ref="F1385">5*LOG10(((c_light/1000/H_0_SAM)*(B1385/60)*SUMPRODUCT($J$2:$AD$2,1/SQRT(Omega_m*(1+$J$1:$AD$1*B1385)^3+Omega_L)))*(1+B1385)*100000)</f>
        <v>41.646112048180974</v>
      </c>
      <c r="G1385" s="89">
        <f t="shared" si="21"/>
        <v>0.27351204818097585</v>
      </c>
    </row>
    <row r="1386" spans="1:7" x14ac:dyDescent="0.6">
      <c r="A1386" s="76">
        <v>1343401</v>
      </c>
      <c r="B1386" s="87">
        <v>0.38290999999999997</v>
      </c>
      <c r="C1386" s="88">
        <v>41.367800000000003</v>
      </c>
      <c r="D1386" s="88">
        <v>0.20658000000000001</v>
      </c>
      <c r="E1386" s="76">
        <v>0</v>
      </c>
      <c r="F1386" s="89" cm="1">
        <f t="array" ref="F1386">5*LOG10(((c_light/1000/H_0_SAM)*(B1386/60)*SUMPRODUCT($J$2:$AD$2,1/SQRT(Omega_m*(1+$J$1:$AD$1*B1386)^3+Omega_L)))*(1+B1386)*100000)</f>
        <v>41.64897106591517</v>
      </c>
      <c r="G1386" s="89">
        <f t="shared" si="21"/>
        <v>0.28117106591516716</v>
      </c>
    </row>
    <row r="1387" spans="1:7" x14ac:dyDescent="0.6">
      <c r="A1387" s="76">
        <v>1281886</v>
      </c>
      <c r="B1387" s="87">
        <v>0.38401999999999997</v>
      </c>
      <c r="C1387" s="88">
        <v>41.5182</v>
      </c>
      <c r="D1387" s="88">
        <v>0.20183999999999999</v>
      </c>
      <c r="E1387" s="76">
        <v>0</v>
      </c>
      <c r="F1387" s="89" cm="1">
        <f t="array" ref="F1387">5*LOG10(((c_light/1000/H_0_SAM)*(B1387/60)*SUMPRODUCT($J$2:$AD$2,1/SQRT(Omega_m*(1+$J$1:$AD$1*B1387)^3+Omega_L)))*(1+B1387)*100000)</f>
        <v>41.656337627716653</v>
      </c>
      <c r="G1387" s="89">
        <f t="shared" si="21"/>
        <v>0.13813762771665239</v>
      </c>
    </row>
    <row r="1388" spans="1:7" x14ac:dyDescent="0.6">
      <c r="A1388" s="76">
        <v>360139</v>
      </c>
      <c r="B1388" s="87">
        <v>0.38600000000000001</v>
      </c>
      <c r="C1388" s="88">
        <v>41.521700000000003</v>
      </c>
      <c r="D1388" s="88">
        <v>0.15211</v>
      </c>
      <c r="E1388" s="76">
        <v>0</v>
      </c>
      <c r="F1388" s="89" cm="1">
        <f t="array" ref="F1388">5*LOG10(((c_light/1000/H_0_SAM)*(B1388/60)*SUMPRODUCT($J$2:$AD$2,1/SQRT(Omega_m*(1+$J$1:$AD$1*B1388)^3+Omega_L)))*(1+B1388)*100000)</f>
        <v>41.669429254149016</v>
      </c>
      <c r="G1388" s="89">
        <f t="shared" si="21"/>
        <v>0.14772925414901295</v>
      </c>
    </row>
    <row r="1389" spans="1:7" x14ac:dyDescent="0.6">
      <c r="A1389" s="76">
        <v>1338170</v>
      </c>
      <c r="B1389" s="87">
        <v>0.38672000000000001</v>
      </c>
      <c r="C1389" s="88">
        <v>41.379100000000001</v>
      </c>
      <c r="D1389" s="88">
        <v>0.27081</v>
      </c>
      <c r="E1389" s="76">
        <v>0</v>
      </c>
      <c r="F1389" s="89" cm="1">
        <f t="array" ref="F1389">5*LOG10(((c_light/1000/H_0_SAM)*(B1389/60)*SUMPRODUCT($J$2:$AD$2,1/SQRT(Omega_m*(1+$J$1:$AD$1*B1389)^3+Omega_L)))*(1+B1389)*100000)</f>
        <v>41.674174459652335</v>
      </c>
      <c r="G1389" s="89">
        <f t="shared" si="21"/>
        <v>0.29507445965233359</v>
      </c>
    </row>
    <row r="1390" spans="1:7" x14ac:dyDescent="0.6">
      <c r="A1390" s="76">
        <v>550218</v>
      </c>
      <c r="B1390" s="87">
        <v>0.38744000000000001</v>
      </c>
      <c r="C1390" s="88">
        <v>41.556699999999999</v>
      </c>
      <c r="D1390" s="88">
        <v>0.27346999999999999</v>
      </c>
      <c r="E1390" s="76">
        <v>0</v>
      </c>
      <c r="F1390" s="89" cm="1">
        <f t="array" ref="F1390">5*LOG10(((c_light/1000/H_0_SAM)*(B1390/60)*SUMPRODUCT($J$2:$AD$2,1/SQRT(Omega_m*(1+$J$1:$AD$1*B1390)^3+Omega_L)))*(1+B1390)*100000)</f>
        <v>41.678911505191493</v>
      </c>
      <c r="G1390" s="89">
        <f t="shared" si="21"/>
        <v>0.12221150519149404</v>
      </c>
    </row>
    <row r="1391" spans="1:7" x14ac:dyDescent="0.6">
      <c r="A1391" s="76">
        <v>50251</v>
      </c>
      <c r="B1391" s="87">
        <v>0.38780999999999999</v>
      </c>
      <c r="C1391" s="88">
        <v>41.630200000000002</v>
      </c>
      <c r="D1391" s="88">
        <v>0.28388999999999998</v>
      </c>
      <c r="E1391" s="76">
        <v>0</v>
      </c>
      <c r="F1391" s="89" cm="1">
        <f t="array" ref="F1391">5*LOG10(((c_light/1000/H_0_SAM)*(B1391/60)*SUMPRODUCT($J$2:$AD$2,1/SQRT(Omega_m*(1+$J$1:$AD$1*B1391)^3+Omega_L)))*(1+B1391)*100000)</f>
        <v>41.681342655527658</v>
      </c>
      <c r="G1391" s="89">
        <f t="shared" si="21"/>
        <v>5.1142655527655734E-2</v>
      </c>
    </row>
    <row r="1392" spans="1:7" x14ac:dyDescent="0.6">
      <c r="A1392" s="76">
        <v>420352</v>
      </c>
      <c r="B1392" s="87">
        <v>0.38895000000000002</v>
      </c>
      <c r="C1392" s="88">
        <v>41.383000000000003</v>
      </c>
      <c r="D1392" s="88">
        <v>0.19958000000000001</v>
      </c>
      <c r="E1392" s="76">
        <v>0</v>
      </c>
      <c r="F1392" s="89" cm="1">
        <f t="array" ref="F1392">5*LOG10(((c_light/1000/H_0_SAM)*(B1392/60)*SUMPRODUCT($J$2:$AD$2,1/SQRT(Omega_m*(1+$J$1:$AD$1*B1392)^3+Omega_L)))*(1+B1392)*100000)</f>
        <v>41.688819767867528</v>
      </c>
      <c r="G1392" s="89">
        <f t="shared" si="21"/>
        <v>0.30581976786752563</v>
      </c>
    </row>
    <row r="1393" spans="1:7" x14ac:dyDescent="0.6">
      <c r="A1393" s="76">
        <v>1290779</v>
      </c>
      <c r="B1393" s="87">
        <v>0.38949</v>
      </c>
      <c r="C1393" s="88">
        <v>41.543999999999997</v>
      </c>
      <c r="D1393" s="88">
        <v>0.19217999999999999</v>
      </c>
      <c r="E1393" s="76">
        <v>0</v>
      </c>
      <c r="F1393" s="89" cm="1">
        <f t="array" ref="F1393">5*LOG10(((c_light/1000/H_0_SAM)*(B1393/60)*SUMPRODUCT($J$2:$AD$2,1/SQRT(Omega_m*(1+$J$1:$AD$1*B1393)^3+Omega_L)))*(1+B1393)*100000)</f>
        <v>41.692354488498971</v>
      </c>
      <c r="G1393" s="89">
        <f t="shared" si="21"/>
        <v>0.14835448849897404</v>
      </c>
    </row>
    <row r="1394" spans="1:7" x14ac:dyDescent="0.6">
      <c r="A1394" s="76">
        <v>120086</v>
      </c>
      <c r="B1394" s="87">
        <v>0.39255000000000001</v>
      </c>
      <c r="C1394" s="88">
        <v>41.474200000000003</v>
      </c>
      <c r="D1394" s="88">
        <v>0.23729</v>
      </c>
      <c r="E1394" s="76">
        <v>0</v>
      </c>
      <c r="F1394" s="89" cm="1">
        <f t="array" ref="F1394">5*LOG10(((c_light/1000/H_0_SAM)*(B1394/60)*SUMPRODUCT($J$2:$AD$2,1/SQRT(Omega_m*(1+$J$1:$AD$1*B1394)^3+Omega_L)))*(1+B1394)*100000)</f>
        <v>41.712299386006876</v>
      </c>
      <c r="G1394" s="89">
        <f t="shared" si="21"/>
        <v>0.23809938600687275</v>
      </c>
    </row>
    <row r="1395" spans="1:7" x14ac:dyDescent="0.6">
      <c r="A1395" s="76">
        <v>1291794</v>
      </c>
      <c r="B1395" s="87">
        <v>0.39510000000000001</v>
      </c>
      <c r="C1395" s="88">
        <v>41.467700000000001</v>
      </c>
      <c r="D1395" s="88">
        <v>0.20365</v>
      </c>
      <c r="E1395" s="76">
        <v>0</v>
      </c>
      <c r="F1395" s="89" cm="1">
        <f t="array" ref="F1395">5*LOG10(((c_light/1000/H_0_SAM)*(B1395/60)*SUMPRODUCT($J$2:$AD$2,1/SQRT(Omega_m*(1+$J$1:$AD$1*B1395)^3+Omega_L)))*(1+B1395)*100000)</f>
        <v>41.728810602189064</v>
      </c>
      <c r="G1395" s="89">
        <f t="shared" si="21"/>
        <v>0.26111060218906346</v>
      </c>
    </row>
    <row r="1396" spans="1:7" x14ac:dyDescent="0.6">
      <c r="A1396" s="76">
        <v>1296273</v>
      </c>
      <c r="B1396" s="87">
        <v>0.39706000000000002</v>
      </c>
      <c r="C1396" s="88">
        <v>41.259</v>
      </c>
      <c r="D1396" s="88">
        <v>0.16853000000000001</v>
      </c>
      <c r="E1396" s="76">
        <v>0</v>
      </c>
      <c r="F1396" s="89" cm="1">
        <f t="array" ref="F1396">5*LOG10(((c_light/1000/H_0_SAM)*(B1396/60)*SUMPRODUCT($J$2:$AD$2,1/SQRT(Omega_m*(1+$J$1:$AD$1*B1396)^3+Omega_L)))*(1+B1396)*100000)</f>
        <v>41.741434712706109</v>
      </c>
      <c r="G1396" s="89">
        <f t="shared" si="21"/>
        <v>0.48243471270610883</v>
      </c>
    </row>
    <row r="1397" spans="1:7" x14ac:dyDescent="0.6">
      <c r="A1397" s="76">
        <v>1333438</v>
      </c>
      <c r="B1397" s="87">
        <v>0.39944000000000002</v>
      </c>
      <c r="C1397" s="88">
        <v>41.7119</v>
      </c>
      <c r="D1397" s="88">
        <v>0.28782000000000002</v>
      </c>
      <c r="E1397" s="76">
        <v>0</v>
      </c>
      <c r="F1397" s="89" cm="1">
        <f t="array" ref="F1397">5*LOG10(((c_light/1000/H_0_SAM)*(B1397/60)*SUMPRODUCT($J$2:$AD$2,1/SQRT(Omega_m*(1+$J$1:$AD$1*B1397)^3+Omega_L)))*(1+B1397)*100000)</f>
        <v>41.756686712776343</v>
      </c>
      <c r="G1397" s="89">
        <f t="shared" si="21"/>
        <v>4.4786712776343052E-2</v>
      </c>
    </row>
    <row r="1398" spans="1:7" x14ac:dyDescent="0.6">
      <c r="A1398" s="76" t="s">
        <v>1395</v>
      </c>
      <c r="B1398" s="87">
        <v>0.40050000000000002</v>
      </c>
      <c r="C1398" s="88">
        <v>41.491799999999998</v>
      </c>
      <c r="D1398" s="88">
        <v>0.15834000000000001</v>
      </c>
      <c r="E1398" s="76">
        <v>0</v>
      </c>
      <c r="F1398" s="89" cm="1">
        <f t="array" ref="F1398">5*LOG10(((c_light/1000/H_0_SAM)*(B1398/60)*SUMPRODUCT($J$2:$AD$2,1/SQRT(Omega_m*(1+$J$1:$AD$1*B1398)^3+Omega_L)))*(1+B1398)*100000)</f>
        <v>41.76345257297622</v>
      </c>
      <c r="G1398" s="89">
        <f t="shared" si="21"/>
        <v>0.27165257297622247</v>
      </c>
    </row>
    <row r="1399" spans="1:7" x14ac:dyDescent="0.6">
      <c r="A1399" s="76">
        <v>110734</v>
      </c>
      <c r="B1399" s="87">
        <v>0.40221000000000001</v>
      </c>
      <c r="C1399" s="88">
        <v>41.479500000000002</v>
      </c>
      <c r="D1399" s="88">
        <v>0.19952</v>
      </c>
      <c r="E1399" s="76">
        <v>0</v>
      </c>
      <c r="F1399" s="89" cm="1">
        <f t="array" ref="F1399">5*LOG10(((c_light/1000/H_0_SAM)*(B1399/60)*SUMPRODUCT($J$2:$AD$2,1/SQRT(Omega_m*(1+$J$1:$AD$1*B1399)^3+Omega_L)))*(1+B1399)*100000)</f>
        <v>41.774332459636845</v>
      </c>
      <c r="G1399" s="89">
        <f t="shared" si="21"/>
        <v>0.29483245963684368</v>
      </c>
    </row>
    <row r="1400" spans="1:7" x14ac:dyDescent="0.6">
      <c r="A1400" s="76">
        <v>580312</v>
      </c>
      <c r="B1400" s="87">
        <v>0.40293000000000001</v>
      </c>
      <c r="C1400" s="88">
        <v>41.547800000000002</v>
      </c>
      <c r="D1400" s="88">
        <v>0.29039999999999999</v>
      </c>
      <c r="E1400" s="76">
        <v>0</v>
      </c>
      <c r="F1400" s="89" cm="1">
        <f t="array" ref="F1400">5*LOG10(((c_light/1000/H_0_SAM)*(B1400/60)*SUMPRODUCT($J$2:$AD$2,1/SQRT(Omega_m*(1+$J$1:$AD$1*B1400)^3+Omega_L)))*(1+B1400)*100000)</f>
        <v>41.778900662432761</v>
      </c>
      <c r="G1400" s="89">
        <f t="shared" si="21"/>
        <v>0.23110066243275895</v>
      </c>
    </row>
    <row r="1401" spans="1:7" x14ac:dyDescent="0.6">
      <c r="A1401" s="76">
        <v>1329615</v>
      </c>
      <c r="B1401" s="87">
        <v>0.40367999999999998</v>
      </c>
      <c r="C1401" s="88">
        <v>41.616</v>
      </c>
      <c r="D1401" s="88">
        <v>0.21382999999999999</v>
      </c>
      <c r="E1401" s="76">
        <v>0</v>
      </c>
      <c r="F1401" s="89" cm="1">
        <f t="array" ref="F1401">5*LOG10(((c_light/1000/H_0_SAM)*(B1401/60)*SUMPRODUCT($J$2:$AD$2,1/SQRT(Omega_m*(1+$J$1:$AD$1*B1401)^3+Omega_L)))*(1+B1401)*100000)</f>
        <v>41.783651180001094</v>
      </c>
      <c r="G1401" s="89">
        <f t="shared" si="21"/>
        <v>0.16765118000109425</v>
      </c>
    </row>
    <row r="1402" spans="1:7" x14ac:dyDescent="0.6">
      <c r="A1402" s="76" t="s">
        <v>1396</v>
      </c>
      <c r="B1402" s="87">
        <v>0.40462999999999999</v>
      </c>
      <c r="C1402" s="88">
        <v>41.674700000000001</v>
      </c>
      <c r="D1402" s="88">
        <v>0.16605</v>
      </c>
      <c r="E1402" s="76">
        <v>0</v>
      </c>
      <c r="F1402" s="89" cm="1">
        <f t="array" ref="F1402">5*LOG10(((c_light/1000/H_0_SAM)*(B1402/60)*SUMPRODUCT($J$2:$AD$2,1/SQRT(Omega_m*(1+$J$1:$AD$1*B1402)^3+Omega_L)))*(1+B1402)*100000)</f>
        <v>41.789656788305329</v>
      </c>
      <c r="G1402" s="89">
        <f t="shared" si="21"/>
        <v>0.11495678830532796</v>
      </c>
    </row>
    <row r="1403" spans="1:7" x14ac:dyDescent="0.6">
      <c r="A1403" s="76">
        <v>350050</v>
      </c>
      <c r="B1403" s="87">
        <v>0.40483000000000002</v>
      </c>
      <c r="C1403" s="88">
        <v>41.337299999999999</v>
      </c>
      <c r="D1403" s="88">
        <v>0.20202999999999999</v>
      </c>
      <c r="E1403" s="76">
        <v>0</v>
      </c>
      <c r="F1403" s="89" cm="1">
        <f t="array" ref="F1403">5*LOG10(((c_light/1000/H_0_SAM)*(B1403/60)*SUMPRODUCT($J$2:$AD$2,1/SQRT(Omega_m*(1+$J$1:$AD$1*B1403)^3+Omega_L)))*(1+B1403)*100000)</f>
        <v>41.790919463600495</v>
      </c>
      <c r="G1403" s="89">
        <f t="shared" si="21"/>
        <v>0.45361946360049643</v>
      </c>
    </row>
    <row r="1404" spans="1:7" x14ac:dyDescent="0.6">
      <c r="A1404" s="76" t="s">
        <v>1397</v>
      </c>
      <c r="B1404" s="87">
        <v>0.40550000000000003</v>
      </c>
      <c r="C1404" s="88">
        <v>41.780700000000003</v>
      </c>
      <c r="D1404" s="88">
        <v>0.13552</v>
      </c>
      <c r="E1404" s="76">
        <v>0</v>
      </c>
      <c r="F1404" s="89" cm="1">
        <f t="array" ref="F1404">5*LOG10(((c_light/1000/H_0_SAM)*(B1404/60)*SUMPRODUCT($J$2:$AD$2,1/SQRT(Omega_m*(1+$J$1:$AD$1*B1404)^3+Omega_L)))*(1+B1404)*100000)</f>
        <v>41.795145222420132</v>
      </c>
      <c r="G1404" s="89">
        <f t="shared" si="21"/>
        <v>1.44452224201288E-2</v>
      </c>
    </row>
    <row r="1405" spans="1:7" x14ac:dyDescent="0.6">
      <c r="A1405" s="76">
        <v>1308314</v>
      </c>
      <c r="B1405" s="87">
        <v>0.40645999999999999</v>
      </c>
      <c r="C1405" s="88">
        <v>41.691400000000002</v>
      </c>
      <c r="D1405" s="88">
        <v>0.16880999999999999</v>
      </c>
      <c r="E1405" s="76">
        <v>0</v>
      </c>
      <c r="F1405" s="89" cm="1">
        <f t="array" ref="F1405">5*LOG10(((c_light/1000/H_0_SAM)*(B1405/60)*SUMPRODUCT($J$2:$AD$2,1/SQRT(Omega_m*(1+$J$1:$AD$1*B1405)^3+Omega_L)))*(1+B1405)*100000)</f>
        <v>41.801188789005288</v>
      </c>
      <c r="G1405" s="89">
        <f t="shared" si="21"/>
        <v>0.10978878900528599</v>
      </c>
    </row>
    <row r="1406" spans="1:7" x14ac:dyDescent="0.6">
      <c r="A1406" s="76">
        <v>1341370</v>
      </c>
      <c r="B1406" s="87">
        <v>0.40894999999999998</v>
      </c>
      <c r="C1406" s="88">
        <v>41.700200000000002</v>
      </c>
      <c r="D1406" s="88">
        <v>0.24002000000000001</v>
      </c>
      <c r="E1406" s="76">
        <v>0</v>
      </c>
      <c r="F1406" s="89" cm="1">
        <f t="array" ref="F1406">5*LOG10(((c_light/1000/H_0_SAM)*(B1406/60)*SUMPRODUCT($J$2:$AD$2,1/SQRT(Omega_m*(1+$J$1:$AD$1*B1406)^3+Omega_L)))*(1+B1406)*100000)</f>
        <v>41.816802911618716</v>
      </c>
      <c r="G1406" s="89">
        <f t="shared" si="21"/>
        <v>0.11660291161871328</v>
      </c>
    </row>
    <row r="1407" spans="1:7" x14ac:dyDescent="0.6">
      <c r="A1407" s="76">
        <v>1306390</v>
      </c>
      <c r="B1407" s="87">
        <v>0.40920000000000001</v>
      </c>
      <c r="C1407" s="88">
        <v>41.740499999999997</v>
      </c>
      <c r="D1407" s="88">
        <v>0.36364999999999997</v>
      </c>
      <c r="E1407" s="76">
        <v>0</v>
      </c>
      <c r="F1407" s="89" cm="1">
        <f t="array" ref="F1407">5*LOG10(((c_light/1000/H_0_SAM)*(B1407/60)*SUMPRODUCT($J$2:$AD$2,1/SQRT(Omega_m*(1+$J$1:$AD$1*B1407)^3+Omega_L)))*(1+B1407)*100000)</f>
        <v>41.818365728322121</v>
      </c>
      <c r="G1407" s="89">
        <f t="shared" si="21"/>
        <v>7.7865728322123573E-2</v>
      </c>
    </row>
    <row r="1408" spans="1:7" x14ac:dyDescent="0.6">
      <c r="A1408" s="76">
        <v>450339</v>
      </c>
      <c r="B1408" s="87">
        <v>0.40934999999999999</v>
      </c>
      <c r="C1408" s="88">
        <v>41.706099999999999</v>
      </c>
      <c r="D1408" s="88">
        <v>0.27495999999999998</v>
      </c>
      <c r="E1408" s="76">
        <v>0</v>
      </c>
      <c r="F1408" s="89" cm="1">
        <f t="array" ref="F1408">5*LOG10(((c_light/1000/H_0_SAM)*(B1408/60)*SUMPRODUCT($J$2:$AD$2,1/SQRT(Omega_m*(1+$J$1:$AD$1*B1408)^3+Omega_L)))*(1+B1408)*100000)</f>
        <v>41.819302993999692</v>
      </c>
      <c r="G1408" s="89">
        <f t="shared" si="21"/>
        <v>0.11320299399969258</v>
      </c>
    </row>
    <row r="1409" spans="1:7" x14ac:dyDescent="0.6">
      <c r="A1409" s="76" t="s">
        <v>1398</v>
      </c>
      <c r="B1409" s="87">
        <v>0.40949000000000002</v>
      </c>
      <c r="C1409" s="88">
        <v>41.678400000000003</v>
      </c>
      <c r="D1409" s="88">
        <v>0.17219000000000001</v>
      </c>
      <c r="E1409" s="76">
        <v>0</v>
      </c>
      <c r="F1409" s="89" cm="1">
        <f t="array" ref="F1409">5*LOG10(((c_light/1000/H_0_SAM)*(B1409/60)*SUMPRODUCT($J$2:$AD$2,1/SQRT(Omega_m*(1+$J$1:$AD$1*B1409)^3+Omega_L)))*(1+B1409)*100000)</f>
        <v>41.82017748839791</v>
      </c>
      <c r="G1409" s="89">
        <f t="shared" si="21"/>
        <v>0.14177748839790638</v>
      </c>
    </row>
    <row r="1410" spans="1:7" x14ac:dyDescent="0.6">
      <c r="A1410" s="76">
        <v>20090</v>
      </c>
      <c r="B1410" s="87">
        <v>0.41004000000000002</v>
      </c>
      <c r="C1410" s="88">
        <v>41.683599999999998</v>
      </c>
      <c r="D1410" s="88">
        <v>0.27997</v>
      </c>
      <c r="E1410" s="76">
        <v>0</v>
      </c>
      <c r="F1410" s="89" cm="1">
        <f t="array" ref="F1410">5*LOG10(((c_light/1000/H_0_SAM)*(B1410/60)*SUMPRODUCT($J$2:$AD$2,1/SQRT(Omega_m*(1+$J$1:$AD$1*B1410)^3+Omega_L)))*(1+B1410)*100000)</f>
        <v>41.823610323826621</v>
      </c>
      <c r="G1410" s="89">
        <f t="shared" si="21"/>
        <v>0.1400103238266226</v>
      </c>
    </row>
    <row r="1411" spans="1:7" x14ac:dyDescent="0.6">
      <c r="A1411" s="76">
        <v>1307277</v>
      </c>
      <c r="B1411" s="87">
        <v>0.41122999999999998</v>
      </c>
      <c r="C1411" s="88">
        <v>41.661999999999999</v>
      </c>
      <c r="D1411" s="88">
        <v>0.31808999999999998</v>
      </c>
      <c r="E1411" s="76">
        <v>0</v>
      </c>
      <c r="F1411" s="89" cm="1">
        <f t="array" ref="F1411">5*LOG10(((c_light/1000/H_0_SAM)*(B1411/60)*SUMPRODUCT($J$2:$AD$2,1/SQRT(Omega_m*(1+$J$1:$AD$1*B1411)^3+Omega_L)))*(1+B1411)*100000)</f>
        <v>41.831023160547971</v>
      </c>
      <c r="G1411" s="89">
        <f t="shared" si="21"/>
        <v>0.1690231605479724</v>
      </c>
    </row>
    <row r="1412" spans="1:7" x14ac:dyDescent="0.6">
      <c r="A1412" s="76">
        <v>530251</v>
      </c>
      <c r="B1412" s="87">
        <v>0.41139999999999999</v>
      </c>
      <c r="C1412" s="88">
        <v>41.833500000000001</v>
      </c>
      <c r="D1412" s="88">
        <v>0.24268000000000001</v>
      </c>
      <c r="E1412" s="76">
        <v>0</v>
      </c>
      <c r="F1412" s="89" cm="1">
        <f t="array" ref="F1412">5*LOG10(((c_light/1000/H_0_SAM)*(B1412/60)*SUMPRODUCT($J$2:$AD$2,1/SQRT(Omega_m*(1+$J$1:$AD$1*B1412)^3+Omega_L)))*(1+B1412)*100000)</f>
        <v>41.83208051503253</v>
      </c>
      <c r="G1412" s="89">
        <f t="shared" si="21"/>
        <v>-1.4194849674709076E-3</v>
      </c>
    </row>
    <row r="1413" spans="1:7" x14ac:dyDescent="0.6">
      <c r="A1413" s="76">
        <v>520071</v>
      </c>
      <c r="B1413" s="87">
        <v>0.41160999999999998</v>
      </c>
      <c r="C1413" s="88">
        <v>41.813099999999999</v>
      </c>
      <c r="D1413" s="88">
        <v>0.14910999999999999</v>
      </c>
      <c r="E1413" s="76">
        <v>0</v>
      </c>
      <c r="F1413" s="89" cm="1">
        <f t="array" ref="F1413">5*LOG10(((c_light/1000/H_0_SAM)*(B1413/60)*SUMPRODUCT($J$2:$AD$2,1/SQRT(Omega_m*(1+$J$1:$AD$1*B1413)^3+Omega_L)))*(1+B1413)*100000)</f>
        <v>41.833386100247061</v>
      </c>
      <c r="G1413" s="89">
        <f t="shared" si="21"/>
        <v>2.0286100247062677E-2</v>
      </c>
    </row>
    <row r="1414" spans="1:7" x14ac:dyDescent="0.6">
      <c r="A1414" s="76">
        <v>1315296</v>
      </c>
      <c r="B1414" s="87">
        <v>0.41266000000000003</v>
      </c>
      <c r="C1414" s="88">
        <v>41.789299999999997</v>
      </c>
      <c r="D1414" s="88">
        <v>0.33012999999999998</v>
      </c>
      <c r="E1414" s="76">
        <v>0</v>
      </c>
      <c r="F1414" s="89" cm="1">
        <f t="array" ref="F1414">5*LOG10(((c_light/1000/H_0_SAM)*(B1414/60)*SUMPRODUCT($J$2:$AD$2,1/SQRT(Omega_m*(1+$J$1:$AD$1*B1414)^3+Omega_L)))*(1+B1414)*100000)</f>
        <v>41.839904786229269</v>
      </c>
      <c r="G1414" s="89">
        <f t="shared" ref="G1414:G1477" si="22">F1414-C1414</f>
        <v>5.0604786229271781E-2</v>
      </c>
    </row>
    <row r="1415" spans="1:7" x14ac:dyDescent="0.6">
      <c r="A1415" s="76" t="s">
        <v>1399</v>
      </c>
      <c r="B1415" s="87">
        <v>0.41657</v>
      </c>
      <c r="C1415" s="88">
        <v>41.729500000000002</v>
      </c>
      <c r="D1415" s="88">
        <v>0.14921000000000001</v>
      </c>
      <c r="E1415" s="76">
        <v>0</v>
      </c>
      <c r="F1415" s="89" cm="1">
        <f t="array" ref="F1415">5*LOG10(((c_light/1000/H_0_SAM)*(B1415/60)*SUMPRODUCT($J$2:$AD$2,1/SQRT(Omega_m*(1+$J$1:$AD$1*B1415)^3+Omega_L)))*(1+B1415)*100000)</f>
        <v>41.86404474581947</v>
      </c>
      <c r="G1415" s="89">
        <f t="shared" si="22"/>
        <v>0.1345447458194684</v>
      </c>
    </row>
    <row r="1416" spans="1:7" x14ac:dyDescent="0.6">
      <c r="A1416" s="76" t="s">
        <v>1400</v>
      </c>
      <c r="B1416" s="87">
        <v>0.41857</v>
      </c>
      <c r="C1416" s="88">
        <v>41.617400000000004</v>
      </c>
      <c r="D1416" s="88">
        <v>0.2021</v>
      </c>
      <c r="E1416" s="76">
        <v>0</v>
      </c>
      <c r="F1416" s="89" cm="1">
        <f t="array" ref="F1416">5*LOG10(((c_light/1000/H_0_SAM)*(B1416/60)*SUMPRODUCT($J$2:$AD$2,1/SQRT(Omega_m*(1+$J$1:$AD$1*B1416)^3+Omega_L)))*(1+B1416)*100000)</f>
        <v>41.876311507614645</v>
      </c>
      <c r="G1416" s="89">
        <f t="shared" si="22"/>
        <v>0.25891150761464132</v>
      </c>
    </row>
    <row r="1417" spans="1:7" x14ac:dyDescent="0.6">
      <c r="A1417" s="76">
        <v>440162</v>
      </c>
      <c r="B1417" s="87">
        <v>0.41936000000000001</v>
      </c>
      <c r="C1417" s="88">
        <v>41.686300000000003</v>
      </c>
      <c r="D1417" s="88">
        <v>0.19259999999999999</v>
      </c>
      <c r="E1417" s="76">
        <v>0</v>
      </c>
      <c r="F1417" s="89" cm="1">
        <f t="array" ref="F1417">5*LOG10(((c_light/1000/H_0_SAM)*(B1417/60)*SUMPRODUCT($J$2:$AD$2,1/SQRT(Omega_m*(1+$J$1:$AD$1*B1417)^3+Omega_L)))*(1+B1417)*100000)</f>
        <v>41.881141918693991</v>
      </c>
      <c r="G1417" s="89">
        <f t="shared" si="22"/>
        <v>0.1948419186939887</v>
      </c>
    </row>
    <row r="1418" spans="1:7" x14ac:dyDescent="0.6">
      <c r="A1418" s="76">
        <v>550137</v>
      </c>
      <c r="B1418" s="87">
        <v>0.41938999999999999</v>
      </c>
      <c r="C1418" s="88">
        <v>41.4604</v>
      </c>
      <c r="D1418" s="88">
        <v>0.22264</v>
      </c>
      <c r="E1418" s="76">
        <v>0</v>
      </c>
      <c r="F1418" s="89" cm="1">
        <f t="array" ref="F1418">5*LOG10(((c_light/1000/H_0_SAM)*(B1418/60)*SUMPRODUCT($J$2:$AD$2,1/SQRT(Omega_m*(1+$J$1:$AD$1*B1418)^3+Omega_L)))*(1+B1418)*100000)</f>
        <v>41.881325185767352</v>
      </c>
      <c r="G1418" s="89">
        <f t="shared" si="22"/>
        <v>0.42092518576735216</v>
      </c>
    </row>
    <row r="1419" spans="1:7" x14ac:dyDescent="0.6">
      <c r="A1419" s="76">
        <v>1289600</v>
      </c>
      <c r="B1419" s="87">
        <v>0.41959999999999997</v>
      </c>
      <c r="C1419" s="88">
        <v>41.866199999999999</v>
      </c>
      <c r="D1419" s="88">
        <v>0.22461999999999999</v>
      </c>
      <c r="E1419" s="76">
        <v>0</v>
      </c>
      <c r="F1419" s="89" cm="1">
        <f t="array" ref="F1419">5*LOG10(((c_light/1000/H_0_SAM)*(B1419/60)*SUMPRODUCT($J$2:$AD$2,1/SQRT(Omega_m*(1+$J$1:$AD$1*B1419)^3+Omega_L)))*(1+B1419)*100000)</f>
        <v>41.882607715180185</v>
      </c>
      <c r="G1419" s="89">
        <f t="shared" si="22"/>
        <v>1.6407715180186244E-2</v>
      </c>
    </row>
    <row r="1420" spans="1:7" x14ac:dyDescent="0.6">
      <c r="A1420" s="76" t="s">
        <v>1401</v>
      </c>
      <c r="B1420" s="87">
        <v>0.41965000000000002</v>
      </c>
      <c r="C1420" s="88">
        <v>41.798099999999998</v>
      </c>
      <c r="D1420" s="88">
        <v>0.23576</v>
      </c>
      <c r="E1420" s="76">
        <v>0</v>
      </c>
      <c r="F1420" s="89" cm="1">
        <f t="array" ref="F1420">5*LOG10(((c_light/1000/H_0_SAM)*(B1420/60)*SUMPRODUCT($J$2:$AD$2,1/SQRT(Omega_m*(1+$J$1:$AD$1*B1420)^3+Omega_L)))*(1+B1420)*100000)</f>
        <v>41.882912991639941</v>
      </c>
      <c r="G1420" s="89">
        <f t="shared" si="22"/>
        <v>8.4812991639942936E-2</v>
      </c>
    </row>
    <row r="1421" spans="1:7" x14ac:dyDescent="0.6">
      <c r="A1421" s="76">
        <v>1340454</v>
      </c>
      <c r="B1421" s="87">
        <v>0.41994999999999999</v>
      </c>
      <c r="C1421" s="88">
        <v>41.439399999999999</v>
      </c>
      <c r="D1421" s="88">
        <v>0.29441000000000001</v>
      </c>
      <c r="E1421" s="76">
        <v>0</v>
      </c>
      <c r="F1421" s="89" cm="1">
        <f t="array" ref="F1421">5*LOG10(((c_light/1000/H_0_SAM)*(B1421/60)*SUMPRODUCT($J$2:$AD$2,1/SQRT(Omega_m*(1+$J$1:$AD$1*B1421)^3+Omega_L)))*(1+B1421)*100000)</f>
        <v>41.884743942759457</v>
      </c>
      <c r="G1421" s="89">
        <f t="shared" si="22"/>
        <v>0.44534394275945743</v>
      </c>
    </row>
    <row r="1422" spans="1:7" x14ac:dyDescent="0.6">
      <c r="A1422" s="76">
        <v>550202</v>
      </c>
      <c r="B1422" s="87">
        <v>0.42036000000000001</v>
      </c>
      <c r="C1422" s="88">
        <v>41.834299999999999</v>
      </c>
      <c r="D1422" s="88">
        <v>0.34419</v>
      </c>
      <c r="E1422" s="76">
        <v>0</v>
      </c>
      <c r="F1422" s="89" cm="1">
        <f t="array" ref="F1422">5*LOG10(((c_light/1000/H_0_SAM)*(B1422/60)*SUMPRODUCT($J$2:$AD$2,1/SQRT(Omega_m*(1+$J$1:$AD$1*B1422)^3+Omega_L)))*(1+B1422)*100000)</f>
        <v>41.887244283013942</v>
      </c>
      <c r="G1422" s="89">
        <f t="shared" si="22"/>
        <v>5.294428301394305E-2</v>
      </c>
    </row>
    <row r="1423" spans="1:7" x14ac:dyDescent="0.6">
      <c r="A1423" s="76">
        <v>1306626</v>
      </c>
      <c r="B1423" s="87">
        <v>0.42087999999999998</v>
      </c>
      <c r="C1423" s="88">
        <v>41.617800000000003</v>
      </c>
      <c r="D1423" s="88">
        <v>0.17643</v>
      </c>
      <c r="E1423" s="76">
        <v>0</v>
      </c>
      <c r="F1423" s="89" cm="1">
        <f t="array" ref="F1423">5*LOG10(((c_light/1000/H_0_SAM)*(B1423/60)*SUMPRODUCT($J$2:$AD$2,1/SQRT(Omega_m*(1+$J$1:$AD$1*B1423)^3+Omega_L)))*(1+B1423)*100000)</f>
        <v>41.890412196793918</v>
      </c>
      <c r="G1423" s="89">
        <f t="shared" si="22"/>
        <v>0.27261219679391502</v>
      </c>
    </row>
    <row r="1424" spans="1:7" x14ac:dyDescent="0.6">
      <c r="A1424" s="76">
        <v>110430</v>
      </c>
      <c r="B1424" s="87">
        <v>0.42093999999999998</v>
      </c>
      <c r="C1424" s="88">
        <v>41.728000000000002</v>
      </c>
      <c r="D1424" s="88">
        <v>0.25012000000000001</v>
      </c>
      <c r="E1424" s="76">
        <v>0</v>
      </c>
      <c r="F1424" s="89" cm="1">
        <f t="array" ref="F1424">5*LOG10(((c_light/1000/H_0_SAM)*(B1424/60)*SUMPRODUCT($J$2:$AD$2,1/SQRT(Omega_m*(1+$J$1:$AD$1*B1424)^3+Omega_L)))*(1+B1424)*100000)</f>
        <v>41.890777491820856</v>
      </c>
      <c r="G1424" s="89">
        <f t="shared" si="22"/>
        <v>0.16277749182085444</v>
      </c>
    </row>
    <row r="1425" spans="1:7" x14ac:dyDescent="0.6">
      <c r="A1425" s="76">
        <v>1306991</v>
      </c>
      <c r="B1425" s="87">
        <v>0.42194999999999999</v>
      </c>
      <c r="C1425" s="88">
        <v>41.5336</v>
      </c>
      <c r="D1425" s="88">
        <v>0.27082000000000001</v>
      </c>
      <c r="E1425" s="76">
        <v>0</v>
      </c>
      <c r="F1425" s="89" cm="1">
        <f t="array" ref="F1425">5*LOG10(((c_light/1000/H_0_SAM)*(B1425/60)*SUMPRODUCT($J$2:$AD$2,1/SQRT(Omega_m*(1+$J$1:$AD$1*B1425)^3+Omega_L)))*(1+B1425)*100000)</f>
        <v>41.896919391186117</v>
      </c>
      <c r="G1425" s="89">
        <f t="shared" si="22"/>
        <v>0.363319391186117</v>
      </c>
    </row>
    <row r="1426" spans="1:7" x14ac:dyDescent="0.6">
      <c r="A1426" s="76" t="s">
        <v>1402</v>
      </c>
      <c r="B1426" s="87">
        <v>0.42247000000000001</v>
      </c>
      <c r="C1426" s="88">
        <v>41.648299999999999</v>
      </c>
      <c r="D1426" s="88">
        <v>0.23171</v>
      </c>
      <c r="E1426" s="76">
        <v>0</v>
      </c>
      <c r="F1426" s="89" cm="1">
        <f t="array" ref="F1426">5*LOG10(((c_light/1000/H_0_SAM)*(B1426/60)*SUMPRODUCT($J$2:$AD$2,1/SQRT(Omega_m*(1+$J$1:$AD$1*B1426)^3+Omega_L)))*(1+B1426)*100000)</f>
        <v>41.900076244542348</v>
      </c>
      <c r="G1426" s="89">
        <f t="shared" si="22"/>
        <v>0.25177624454234859</v>
      </c>
    </row>
    <row r="1427" spans="1:7" x14ac:dyDescent="0.6">
      <c r="A1427" s="76">
        <v>1345594</v>
      </c>
      <c r="B1427" s="87">
        <v>0.42248999999999998</v>
      </c>
      <c r="C1427" s="88">
        <v>41.679600000000001</v>
      </c>
      <c r="D1427" s="88">
        <v>0.27544999999999997</v>
      </c>
      <c r="E1427" s="76">
        <v>0</v>
      </c>
      <c r="F1427" s="89" cm="1">
        <f t="array" ref="F1427">5*LOG10(((c_light/1000/H_0_SAM)*(B1427/60)*SUMPRODUCT($J$2:$AD$2,1/SQRT(Omega_m*(1+$J$1:$AD$1*B1427)^3+Omega_L)))*(1+B1427)*100000)</f>
        <v>41.900197590028426</v>
      </c>
      <c r="G1427" s="89">
        <f t="shared" si="22"/>
        <v>0.22059759002842583</v>
      </c>
    </row>
    <row r="1428" spans="1:7" x14ac:dyDescent="0.6">
      <c r="A1428" s="76">
        <v>490037</v>
      </c>
      <c r="B1428" s="87">
        <v>0.42348000000000002</v>
      </c>
      <c r="C1428" s="88">
        <v>41.595500000000001</v>
      </c>
      <c r="D1428" s="88">
        <v>0.18645999999999999</v>
      </c>
      <c r="E1428" s="76">
        <v>0</v>
      </c>
      <c r="F1428" s="89" cm="1">
        <f t="array" ref="F1428">5*LOG10(((c_light/1000/H_0_SAM)*(B1428/60)*SUMPRODUCT($J$2:$AD$2,1/SQRT(Omega_m*(1+$J$1:$AD$1*B1428)^3+Omega_L)))*(1+B1428)*100000)</f>
        <v>41.906197545328709</v>
      </c>
      <c r="G1428" s="89">
        <f t="shared" si="22"/>
        <v>0.31069754532870775</v>
      </c>
    </row>
    <row r="1429" spans="1:7" x14ac:dyDescent="0.6">
      <c r="A1429" s="76">
        <v>160200</v>
      </c>
      <c r="B1429" s="87">
        <v>0.42359999999999998</v>
      </c>
      <c r="C1429" s="88">
        <v>41.840299999999999</v>
      </c>
      <c r="D1429" s="88">
        <v>0.40082000000000001</v>
      </c>
      <c r="E1429" s="76">
        <v>0</v>
      </c>
      <c r="F1429" s="89" cm="1">
        <f t="array" ref="F1429">5*LOG10(((c_light/1000/H_0_SAM)*(B1429/60)*SUMPRODUCT($J$2:$AD$2,1/SQRT(Omega_m*(1+$J$1:$AD$1*B1429)^3+Omega_L)))*(1+B1429)*100000)</f>
        <v>41.906923928756044</v>
      </c>
      <c r="G1429" s="89">
        <f t="shared" si="22"/>
        <v>6.6623928756044393E-2</v>
      </c>
    </row>
    <row r="1430" spans="1:7" x14ac:dyDescent="0.6">
      <c r="A1430" s="76">
        <v>1302523</v>
      </c>
      <c r="B1430" s="87">
        <v>0.42398999999999998</v>
      </c>
      <c r="C1430" s="88">
        <v>41.726399999999998</v>
      </c>
      <c r="D1430" s="88">
        <v>0.13417000000000001</v>
      </c>
      <c r="E1430" s="76">
        <v>0</v>
      </c>
      <c r="F1430" s="89" cm="1">
        <f t="array" ref="F1430">5*LOG10(((c_light/1000/H_0_SAM)*(B1430/60)*SUMPRODUCT($J$2:$AD$2,1/SQRT(Omega_m*(1+$J$1:$AD$1*B1430)^3+Omega_L)))*(1+B1430)*100000)</f>
        <v>41.909283357987476</v>
      </c>
      <c r="G1430" s="89">
        <f t="shared" si="22"/>
        <v>0.18288335798747823</v>
      </c>
    </row>
    <row r="1431" spans="1:7" x14ac:dyDescent="0.6">
      <c r="A1431" s="76">
        <v>1312274</v>
      </c>
      <c r="B1431" s="87">
        <v>0.42459000000000002</v>
      </c>
      <c r="C1431" s="88">
        <v>41.7483</v>
      </c>
      <c r="D1431" s="88">
        <v>0.19583</v>
      </c>
      <c r="E1431" s="76">
        <v>0</v>
      </c>
      <c r="F1431" s="89" cm="1">
        <f t="array" ref="F1431">5*LOG10(((c_light/1000/H_0_SAM)*(B1431/60)*SUMPRODUCT($J$2:$AD$2,1/SQRT(Omega_m*(1+$J$1:$AD$1*B1431)^3+Omega_L)))*(1+B1431)*100000)</f>
        <v>41.912909322747652</v>
      </c>
      <c r="G1431" s="89">
        <f t="shared" si="22"/>
        <v>0.16460932274765128</v>
      </c>
    </row>
    <row r="1432" spans="1:7" x14ac:dyDescent="0.6">
      <c r="A1432" s="76">
        <v>1295027</v>
      </c>
      <c r="B1432" s="87">
        <v>0.42568</v>
      </c>
      <c r="C1432" s="88">
        <v>41.703899999999997</v>
      </c>
      <c r="D1432" s="88">
        <v>0.19547</v>
      </c>
      <c r="E1432" s="76">
        <v>0</v>
      </c>
      <c r="F1432" s="89" cm="1">
        <f t="array" ref="F1432">5*LOG10(((c_light/1000/H_0_SAM)*(B1432/60)*SUMPRODUCT($J$2:$AD$2,1/SQRT(Omega_m*(1+$J$1:$AD$1*B1432)^3+Omega_L)))*(1+B1432)*100000)</f>
        <v>41.919484353220462</v>
      </c>
      <c r="G1432" s="89">
        <f t="shared" si="22"/>
        <v>0.21558435322046421</v>
      </c>
    </row>
    <row r="1433" spans="1:7" x14ac:dyDescent="0.6">
      <c r="A1433" s="76">
        <v>1258940</v>
      </c>
      <c r="B1433" s="87">
        <v>0.42602000000000001</v>
      </c>
      <c r="C1433" s="88">
        <v>41.7517</v>
      </c>
      <c r="D1433" s="88">
        <v>0.17544999999999999</v>
      </c>
      <c r="E1433" s="76">
        <v>0</v>
      </c>
      <c r="F1433" s="89" cm="1">
        <f t="array" ref="F1433">5*LOG10(((c_light/1000/H_0_SAM)*(B1433/60)*SUMPRODUCT($J$2:$AD$2,1/SQRT(Omega_m*(1+$J$1:$AD$1*B1433)^3+Omega_L)))*(1+B1433)*100000)</f>
        <v>41.921532085880614</v>
      </c>
      <c r="G1433" s="89">
        <f t="shared" si="22"/>
        <v>0.16983208588061416</v>
      </c>
    </row>
    <row r="1434" spans="1:7" x14ac:dyDescent="0.6">
      <c r="A1434" s="76">
        <v>50003</v>
      </c>
      <c r="B1434" s="87">
        <v>0.42699999999999999</v>
      </c>
      <c r="C1434" s="88">
        <v>41.813000000000002</v>
      </c>
      <c r="D1434" s="88">
        <v>0.22953999999999999</v>
      </c>
      <c r="E1434" s="76">
        <v>0</v>
      </c>
      <c r="F1434" s="89" cm="1">
        <f t="array" ref="F1434">5*LOG10(((c_light/1000/H_0_SAM)*(B1434/60)*SUMPRODUCT($J$2:$AD$2,1/SQRT(Omega_m*(1+$J$1:$AD$1*B1434)^3+Omega_L)))*(1+B1434)*100000)</f>
        <v>41.927425905579987</v>
      </c>
      <c r="G1434" s="89">
        <f t="shared" si="22"/>
        <v>0.114425905579985</v>
      </c>
    </row>
    <row r="1435" spans="1:7" x14ac:dyDescent="0.6">
      <c r="A1435" s="76">
        <v>110542</v>
      </c>
      <c r="B1435" s="87">
        <v>0.42703000000000002</v>
      </c>
      <c r="C1435" s="88">
        <v>41.834800000000001</v>
      </c>
      <c r="D1435" s="88">
        <v>0.19832</v>
      </c>
      <c r="E1435" s="76">
        <v>0</v>
      </c>
      <c r="F1435" s="89" cm="1">
        <f t="array" ref="F1435">5*LOG10(((c_light/1000/H_0_SAM)*(B1435/60)*SUMPRODUCT($J$2:$AD$2,1/SQRT(Omega_m*(1+$J$1:$AD$1*B1435)^3+Omega_L)))*(1+B1435)*100000)</f>
        <v>41.927606130668103</v>
      </c>
      <c r="G1435" s="89">
        <f t="shared" si="22"/>
        <v>9.2806130668101616E-2</v>
      </c>
    </row>
    <row r="1436" spans="1:7" x14ac:dyDescent="0.6">
      <c r="A1436" s="76">
        <v>110719</v>
      </c>
      <c r="B1436" s="87">
        <v>0.42792999999999998</v>
      </c>
      <c r="C1436" s="88">
        <v>42.275700000000001</v>
      </c>
      <c r="D1436" s="88">
        <v>0.23860999999999999</v>
      </c>
      <c r="E1436" s="76">
        <v>0</v>
      </c>
      <c r="F1436" s="89" cm="1">
        <f t="array" ref="F1436">5*LOG10(((c_light/1000/H_0_SAM)*(B1436/60)*SUMPRODUCT($J$2:$AD$2,1/SQRT(Omega_m*(1+$J$1:$AD$1*B1436)^3+Omega_L)))*(1+B1436)*100000)</f>
        <v>41.933007430187381</v>
      </c>
      <c r="G1436" s="89">
        <f t="shared" si="22"/>
        <v>-0.34269256981261975</v>
      </c>
    </row>
    <row r="1437" spans="1:7" x14ac:dyDescent="0.6">
      <c r="A1437" s="76" t="s">
        <v>1403</v>
      </c>
      <c r="B1437" s="87">
        <v>0.42859000000000003</v>
      </c>
      <c r="C1437" s="88">
        <v>41.8825</v>
      </c>
      <c r="D1437" s="88">
        <v>0.40354000000000001</v>
      </c>
      <c r="E1437" s="76">
        <v>0</v>
      </c>
      <c r="F1437" s="89" cm="1">
        <f t="array" ref="F1437">5*LOG10(((c_light/1000/H_0_SAM)*(B1437/60)*SUMPRODUCT($J$2:$AD$2,1/SQRT(Omega_m*(1+$J$1:$AD$1*B1437)^3+Omega_L)))*(1+B1437)*100000)</f>
        <v>41.936961690922828</v>
      </c>
      <c r="G1437" s="89">
        <f t="shared" si="22"/>
        <v>5.4461690922828154E-2</v>
      </c>
    </row>
    <row r="1438" spans="1:7" x14ac:dyDescent="0.6">
      <c r="A1438" s="76">
        <v>440236</v>
      </c>
      <c r="B1438" s="87">
        <v>0.42895</v>
      </c>
      <c r="C1438" s="88">
        <v>41.644300000000001</v>
      </c>
      <c r="D1438" s="88">
        <v>0.19339999999999999</v>
      </c>
      <c r="E1438" s="76">
        <v>0</v>
      </c>
      <c r="F1438" s="89" cm="1">
        <f t="array" ref="F1438">5*LOG10(((c_light/1000/H_0_SAM)*(B1438/60)*SUMPRODUCT($J$2:$AD$2,1/SQRT(Omega_m*(1+$J$1:$AD$1*B1438)^3+Omega_L)))*(1+B1438)*100000)</f>
        <v>41.93911618040201</v>
      </c>
      <c r="G1438" s="89">
        <f t="shared" si="22"/>
        <v>0.29481618040200885</v>
      </c>
    </row>
    <row r="1439" spans="1:7" x14ac:dyDescent="0.6">
      <c r="A1439" s="76">
        <v>1306029</v>
      </c>
      <c r="B1439" s="87">
        <v>0.42903000000000002</v>
      </c>
      <c r="C1439" s="88">
        <v>41.826599999999999</v>
      </c>
      <c r="D1439" s="88">
        <v>0.25075999999999998</v>
      </c>
      <c r="E1439" s="76">
        <v>0</v>
      </c>
      <c r="F1439" s="89" cm="1">
        <f t="array" ref="F1439">5*LOG10(((c_light/1000/H_0_SAM)*(B1439/60)*SUMPRODUCT($J$2:$AD$2,1/SQRT(Omega_m*(1+$J$1:$AD$1*B1439)^3+Omega_L)))*(1+B1439)*100000)</f>
        <v>41.939594728060918</v>
      </c>
      <c r="G1439" s="89">
        <f t="shared" si="22"/>
        <v>0.1129947280609187</v>
      </c>
    </row>
    <row r="1440" spans="1:7" x14ac:dyDescent="0.6">
      <c r="A1440" s="76">
        <v>100101</v>
      </c>
      <c r="B1440" s="87">
        <v>0.42975999999999998</v>
      </c>
      <c r="C1440" s="88">
        <v>41.921900000000001</v>
      </c>
      <c r="D1440" s="88">
        <v>0.19807</v>
      </c>
      <c r="E1440" s="76">
        <v>0</v>
      </c>
      <c r="F1440" s="89" cm="1">
        <f t="array" ref="F1440">5*LOG10(((c_light/1000/H_0_SAM)*(B1440/60)*SUMPRODUCT($J$2:$AD$2,1/SQRT(Omega_m*(1+$J$1:$AD$1*B1440)^3+Omega_L)))*(1+B1440)*100000)</f>
        <v>41.943957655679959</v>
      </c>
      <c r="G1440" s="89">
        <f t="shared" si="22"/>
        <v>2.2057655679958543E-2</v>
      </c>
    </row>
    <row r="1441" spans="1:7" x14ac:dyDescent="0.6">
      <c r="A1441" s="76">
        <v>80723</v>
      </c>
      <c r="B1441" s="87">
        <v>0.43020000000000003</v>
      </c>
      <c r="C1441" s="88">
        <v>41.8354</v>
      </c>
      <c r="D1441" s="88">
        <v>0.16578000000000001</v>
      </c>
      <c r="E1441" s="76">
        <v>0</v>
      </c>
      <c r="F1441" s="89" cm="1">
        <f t="array" ref="F1441">5*LOG10(((c_light/1000/H_0_SAM)*(B1441/60)*SUMPRODUCT($J$2:$AD$2,1/SQRT(Omega_m*(1+$J$1:$AD$1*B1441)^3+Omega_L)))*(1+B1441)*100000)</f>
        <v>41.946584045983244</v>
      </c>
      <c r="G1441" s="89">
        <f t="shared" si="22"/>
        <v>0.11118404598324361</v>
      </c>
    </row>
    <row r="1442" spans="1:7" x14ac:dyDescent="0.6">
      <c r="A1442" s="76" t="s">
        <v>1404</v>
      </c>
      <c r="B1442" s="87">
        <v>0.43493999999999999</v>
      </c>
      <c r="C1442" s="88">
        <v>41.782800000000002</v>
      </c>
      <c r="D1442" s="88">
        <v>0.18367</v>
      </c>
      <c r="E1442" s="76">
        <v>0</v>
      </c>
      <c r="F1442" s="89" cm="1">
        <f t="array" ref="F1442">5*LOG10(((c_light/1000/H_0_SAM)*(B1442/60)*SUMPRODUCT($J$2:$AD$2,1/SQRT(Omega_m*(1+$J$1:$AD$1*B1442)^3+Omega_L)))*(1+B1442)*100000)</f>
        <v>41.974720469255942</v>
      </c>
      <c r="G1442" s="89">
        <f t="shared" si="22"/>
        <v>0.19192046925594042</v>
      </c>
    </row>
    <row r="1443" spans="1:7" x14ac:dyDescent="0.6">
      <c r="A1443" s="76" t="s">
        <v>1405</v>
      </c>
      <c r="B1443" s="87">
        <v>0.43546000000000001</v>
      </c>
      <c r="C1443" s="88">
        <v>41.5839</v>
      </c>
      <c r="D1443" s="88">
        <v>0.13364999999999999</v>
      </c>
      <c r="E1443" s="76">
        <v>0</v>
      </c>
      <c r="F1443" s="89" cm="1">
        <f t="array" ref="F1443">5*LOG10(((c_light/1000/H_0_SAM)*(B1443/60)*SUMPRODUCT($J$2:$AD$2,1/SQRT(Omega_m*(1+$J$1:$AD$1*B1443)^3+Omega_L)))*(1+B1443)*100000)</f>
        <v>41.97778982437346</v>
      </c>
      <c r="G1443" s="89">
        <f t="shared" si="22"/>
        <v>0.39388982437345987</v>
      </c>
    </row>
    <row r="1444" spans="1:7" x14ac:dyDescent="0.6">
      <c r="A1444" s="76">
        <v>142</v>
      </c>
      <c r="B1444" s="87">
        <v>0.43683</v>
      </c>
      <c r="C1444" s="88">
        <v>42.005099999999999</v>
      </c>
      <c r="D1444" s="88">
        <v>0.18179999999999999</v>
      </c>
      <c r="E1444" s="76">
        <v>0</v>
      </c>
      <c r="F1444" s="89" cm="1">
        <f t="array" ref="F1444">5*LOG10(((c_light/1000/H_0_SAM)*(B1444/60)*SUMPRODUCT($J$2:$AD$2,1/SQRT(Omega_m*(1+$J$1:$AD$1*B1444)^3+Omega_L)))*(1+B1444)*100000)</f>
        <v>41.98586013562182</v>
      </c>
      <c r="G1444" s="89">
        <f t="shared" si="22"/>
        <v>-1.9239864378178595E-2</v>
      </c>
    </row>
    <row r="1445" spans="1:7" x14ac:dyDescent="0.6">
      <c r="A1445" s="76">
        <v>1336008</v>
      </c>
      <c r="B1445" s="87">
        <v>0.43759999999999999</v>
      </c>
      <c r="C1445" s="88">
        <v>41.625300000000003</v>
      </c>
      <c r="D1445" s="88">
        <v>0.16614000000000001</v>
      </c>
      <c r="E1445" s="76">
        <v>0</v>
      </c>
      <c r="F1445" s="89" cm="1">
        <f t="array" ref="F1445">5*LOG10(((c_light/1000/H_0_SAM)*(B1445/60)*SUMPRODUCT($J$2:$AD$2,1/SQRT(Omega_m*(1+$J$1:$AD$1*B1445)^3+Omega_L)))*(1+B1445)*100000)</f>
        <v>41.990385696598139</v>
      </c>
      <c r="G1445" s="89">
        <f t="shared" si="22"/>
        <v>0.36508569659813617</v>
      </c>
    </row>
    <row r="1446" spans="1:7" x14ac:dyDescent="0.6">
      <c r="A1446" s="76">
        <v>1333246</v>
      </c>
      <c r="B1446" s="87">
        <v>0.43783</v>
      </c>
      <c r="C1446" s="88">
        <v>41.881999999999998</v>
      </c>
      <c r="D1446" s="88">
        <v>0.35687999999999998</v>
      </c>
      <c r="E1446" s="76">
        <v>0</v>
      </c>
      <c r="F1446" s="89" cm="1">
        <f t="array" ref="F1446">5*LOG10(((c_light/1000/H_0_SAM)*(B1446/60)*SUMPRODUCT($J$2:$AD$2,1/SQRT(Omega_m*(1+$J$1:$AD$1*B1446)^3+Omega_L)))*(1+B1446)*100000)</f>
        <v>41.991736053737185</v>
      </c>
      <c r="G1446" s="89">
        <f t="shared" si="22"/>
        <v>0.10973605373718698</v>
      </c>
    </row>
    <row r="1447" spans="1:7" x14ac:dyDescent="0.6">
      <c r="A1447" s="76">
        <v>1310338</v>
      </c>
      <c r="B1447" s="87">
        <v>0.43890000000000001</v>
      </c>
      <c r="C1447" s="88">
        <v>41.4679</v>
      </c>
      <c r="D1447" s="88">
        <v>0.21118999999999999</v>
      </c>
      <c r="E1447" s="76">
        <v>0</v>
      </c>
      <c r="F1447" s="89" cm="1">
        <f t="array" ref="F1447">5*LOG10(((c_light/1000/H_0_SAM)*(B1447/60)*SUMPRODUCT($J$2:$AD$2,1/SQRT(Omega_m*(1+$J$1:$AD$1*B1447)^3+Omega_L)))*(1+B1447)*100000)</f>
        <v>41.998009504363516</v>
      </c>
      <c r="G1447" s="89">
        <f t="shared" si="22"/>
        <v>0.53010950436351578</v>
      </c>
    </row>
    <row r="1448" spans="1:7" x14ac:dyDescent="0.6">
      <c r="A1448" s="76">
        <v>560027</v>
      </c>
      <c r="B1448" s="87">
        <v>0.43891000000000002</v>
      </c>
      <c r="C1448" s="88">
        <v>41.668199999999999</v>
      </c>
      <c r="D1448" s="88">
        <v>0.27995999999999999</v>
      </c>
      <c r="E1448" s="76">
        <v>0</v>
      </c>
      <c r="F1448" s="89" cm="1">
        <f t="array" ref="F1448">5*LOG10(((c_light/1000/H_0_SAM)*(B1448/60)*SUMPRODUCT($J$2:$AD$2,1/SQRT(Omega_m*(1+$J$1:$AD$1*B1448)^3+Omega_L)))*(1+B1448)*100000)</f>
        <v>41.998068067742935</v>
      </c>
      <c r="G1448" s="89">
        <f t="shared" si="22"/>
        <v>0.32986806774293598</v>
      </c>
    </row>
    <row r="1449" spans="1:7" x14ac:dyDescent="0.6">
      <c r="A1449" s="76">
        <v>50607</v>
      </c>
      <c r="B1449" s="87">
        <v>0.43935000000000002</v>
      </c>
      <c r="C1449" s="88">
        <v>41.8262</v>
      </c>
      <c r="D1449" s="88">
        <v>0.20277999999999999</v>
      </c>
      <c r="E1449" s="76">
        <v>0</v>
      </c>
      <c r="F1449" s="89" cm="1">
        <f t="array" ref="F1449">5*LOG10(((c_light/1000/H_0_SAM)*(B1449/60)*SUMPRODUCT($J$2:$AD$2,1/SQRT(Omega_m*(1+$J$1:$AD$1*B1449)^3+Omega_L)))*(1+B1449)*100000)</f>
        <v>42.000643630773986</v>
      </c>
      <c r="G1449" s="89">
        <f t="shared" si="22"/>
        <v>0.17444363077398606</v>
      </c>
    </row>
    <row r="1450" spans="1:7" x14ac:dyDescent="0.6">
      <c r="A1450" s="76">
        <v>40166</v>
      </c>
      <c r="B1450" s="87">
        <v>0.44013000000000002</v>
      </c>
      <c r="C1450" s="88">
        <v>42.140099999999997</v>
      </c>
      <c r="D1450" s="88">
        <v>0.44191999999999998</v>
      </c>
      <c r="E1450" s="76">
        <v>0</v>
      </c>
      <c r="F1450" s="89" cm="1">
        <f t="array" ref="F1450">5*LOG10(((c_light/1000/H_0_SAM)*(B1450/60)*SUMPRODUCT($J$2:$AD$2,1/SQRT(Omega_m*(1+$J$1:$AD$1*B1450)^3+Omega_L)))*(1+B1450)*100000)</f>
        <v>42.005203521352698</v>
      </c>
      <c r="G1450" s="89">
        <f t="shared" si="22"/>
        <v>-0.13489647864729903</v>
      </c>
    </row>
    <row r="1451" spans="1:7" x14ac:dyDescent="0.6">
      <c r="A1451" s="76">
        <v>510266</v>
      </c>
      <c r="B1451" s="87">
        <v>0.44067000000000001</v>
      </c>
      <c r="C1451" s="88">
        <v>41.636400000000002</v>
      </c>
      <c r="D1451" s="88">
        <v>0.16017999999999999</v>
      </c>
      <c r="E1451" s="76">
        <v>0</v>
      </c>
      <c r="F1451" s="89" cm="1">
        <f t="array" ref="F1451">5*LOG10(((c_light/1000/H_0_SAM)*(B1451/60)*SUMPRODUCT($J$2:$AD$2,1/SQRT(Omega_m*(1+$J$1:$AD$1*B1451)^3+Omega_L)))*(1+B1451)*100000)</f>
        <v>42.008355975125859</v>
      </c>
      <c r="G1451" s="89">
        <f t="shared" si="22"/>
        <v>0.37195597512585721</v>
      </c>
    </row>
    <row r="1452" spans="1:7" x14ac:dyDescent="0.6">
      <c r="A1452" s="76">
        <v>1328105</v>
      </c>
      <c r="B1452" s="87">
        <v>0.44148999999999999</v>
      </c>
      <c r="C1452" s="88">
        <v>41.682299999999998</v>
      </c>
      <c r="D1452" s="88">
        <v>0.18357000000000001</v>
      </c>
      <c r="E1452" s="76">
        <v>0</v>
      </c>
      <c r="F1452" s="89" cm="1">
        <f t="array" ref="F1452">5*LOG10(((c_light/1000/H_0_SAM)*(B1452/60)*SUMPRODUCT($J$2:$AD$2,1/SQRT(Omega_m*(1+$J$1:$AD$1*B1452)^3+Omega_L)))*(1+B1452)*100000)</f>
        <v>42.013136181676913</v>
      </c>
      <c r="G1452" s="89">
        <f t="shared" si="22"/>
        <v>0.33083618167691498</v>
      </c>
    </row>
    <row r="1453" spans="1:7" x14ac:dyDescent="0.6">
      <c r="A1453" s="76">
        <v>1295256</v>
      </c>
      <c r="B1453" s="87">
        <v>0.44245000000000001</v>
      </c>
      <c r="C1453" s="88">
        <v>41.8523</v>
      </c>
      <c r="D1453" s="88">
        <v>0.17288999999999999</v>
      </c>
      <c r="E1453" s="76">
        <v>0</v>
      </c>
      <c r="F1453" s="89" cm="1">
        <f t="array" ref="F1453">5*LOG10(((c_light/1000/H_0_SAM)*(B1453/60)*SUMPRODUCT($J$2:$AD$2,1/SQRT(Omega_m*(1+$J$1:$AD$1*B1453)^3+Omega_L)))*(1+B1453)*100000)</f>
        <v>42.018722055180291</v>
      </c>
      <c r="G1453" s="89">
        <f t="shared" si="22"/>
        <v>0.1664220551802913</v>
      </c>
    </row>
    <row r="1454" spans="1:7" x14ac:dyDescent="0.6">
      <c r="A1454" s="76" t="s">
        <v>1406</v>
      </c>
      <c r="B1454" s="87">
        <v>0.44263000000000002</v>
      </c>
      <c r="C1454" s="88">
        <v>41.9039</v>
      </c>
      <c r="D1454" s="88">
        <v>0.13969999999999999</v>
      </c>
      <c r="E1454" s="76">
        <v>0</v>
      </c>
      <c r="F1454" s="89" cm="1">
        <f t="array" ref="F1454">5*LOG10(((c_light/1000/H_0_SAM)*(B1454/60)*SUMPRODUCT($J$2:$AD$2,1/SQRT(Omega_m*(1+$J$1:$AD$1*B1454)^3+Omega_L)))*(1+B1454)*100000)</f>
        <v>42.019768153178077</v>
      </c>
      <c r="G1454" s="89">
        <f t="shared" si="22"/>
        <v>0.11586815317807719</v>
      </c>
    </row>
    <row r="1455" spans="1:7" x14ac:dyDescent="0.6">
      <c r="A1455" s="76" t="s">
        <v>1407</v>
      </c>
      <c r="B1455" s="87">
        <v>0.44361</v>
      </c>
      <c r="C1455" s="88">
        <v>41.792999999999999</v>
      </c>
      <c r="D1455" s="88">
        <v>0.18221999999999999</v>
      </c>
      <c r="E1455" s="76">
        <v>0</v>
      </c>
      <c r="F1455" s="89" cm="1">
        <f t="array" ref="F1455">5*LOG10(((c_light/1000/H_0_SAM)*(B1455/60)*SUMPRODUCT($J$2:$AD$2,1/SQRT(Omega_m*(1+$J$1:$AD$1*B1455)^3+Omega_L)))*(1+B1455)*100000)</f>
        <v>42.025456653352578</v>
      </c>
      <c r="G1455" s="89">
        <f t="shared" si="22"/>
        <v>0.23245665335257826</v>
      </c>
    </row>
    <row r="1456" spans="1:7" x14ac:dyDescent="0.6">
      <c r="A1456" s="76">
        <v>1291080</v>
      </c>
      <c r="B1456" s="87">
        <v>0.44391000000000003</v>
      </c>
      <c r="C1456" s="88">
        <v>41.806899999999999</v>
      </c>
      <c r="D1456" s="88">
        <v>0.29035</v>
      </c>
      <c r="E1456" s="76">
        <v>0</v>
      </c>
      <c r="F1456" s="89" cm="1">
        <f t="array" ref="F1456">5*LOG10(((c_light/1000/H_0_SAM)*(B1456/60)*SUMPRODUCT($J$2:$AD$2,1/SQRT(Omega_m*(1+$J$1:$AD$1*B1456)^3+Omega_L)))*(1+B1456)*100000)</f>
        <v>42.027195697525087</v>
      </c>
      <c r="G1456" s="89">
        <f t="shared" si="22"/>
        <v>0.22029569752508849</v>
      </c>
    </row>
    <row r="1457" spans="1:7" x14ac:dyDescent="0.6">
      <c r="A1457" s="76">
        <v>40137</v>
      </c>
      <c r="B1457" s="87">
        <v>0.44763999999999998</v>
      </c>
      <c r="C1457" s="88">
        <v>41.855200000000004</v>
      </c>
      <c r="D1457" s="88">
        <v>0.22395000000000001</v>
      </c>
      <c r="E1457" s="76">
        <v>0</v>
      </c>
      <c r="F1457" s="89" cm="1">
        <f t="array" ref="F1457">5*LOG10(((c_light/1000/H_0_SAM)*(B1457/60)*SUMPRODUCT($J$2:$AD$2,1/SQRT(Omega_m*(1+$J$1:$AD$1*B1457)^3+Omega_L)))*(1+B1457)*100000)</f>
        <v>42.048727114445555</v>
      </c>
      <c r="G1457" s="89">
        <f t="shared" si="22"/>
        <v>0.19352711444555126</v>
      </c>
    </row>
    <row r="1458" spans="1:7" x14ac:dyDescent="0.6">
      <c r="A1458" s="76">
        <v>1328066</v>
      </c>
      <c r="B1458" s="87">
        <v>0.44885999999999998</v>
      </c>
      <c r="C1458" s="88">
        <v>41.885300000000001</v>
      </c>
      <c r="D1458" s="88">
        <v>0.22181000000000001</v>
      </c>
      <c r="E1458" s="76">
        <v>0</v>
      </c>
      <c r="F1458" s="89" cm="1">
        <f t="array" ref="F1458">5*LOG10(((c_light/1000/H_0_SAM)*(B1458/60)*SUMPRODUCT($J$2:$AD$2,1/SQRT(Omega_m*(1+$J$1:$AD$1*B1458)^3+Omega_L)))*(1+B1458)*100000)</f>
        <v>42.055733392495718</v>
      </c>
      <c r="G1458" s="89">
        <f t="shared" si="22"/>
        <v>0.17043339249571687</v>
      </c>
    </row>
    <row r="1459" spans="1:7" x14ac:dyDescent="0.6">
      <c r="A1459" s="76">
        <v>1320166</v>
      </c>
      <c r="B1459" s="87">
        <v>0.44890999999999998</v>
      </c>
      <c r="C1459" s="88">
        <v>41.987499999999997</v>
      </c>
      <c r="D1459" s="88">
        <v>0.21565000000000001</v>
      </c>
      <c r="E1459" s="76">
        <v>0</v>
      </c>
      <c r="F1459" s="89" cm="1">
        <f t="array" ref="F1459">5*LOG10(((c_light/1000/H_0_SAM)*(B1459/60)*SUMPRODUCT($J$2:$AD$2,1/SQRT(Omega_m*(1+$J$1:$AD$1*B1459)^3+Omega_L)))*(1+B1459)*100000)</f>
        <v>42.056020157385625</v>
      </c>
      <c r="G1459" s="89">
        <f t="shared" si="22"/>
        <v>6.8520157385627556E-2</v>
      </c>
    </row>
    <row r="1460" spans="1:7" x14ac:dyDescent="0.6">
      <c r="A1460" s="76">
        <v>50580</v>
      </c>
      <c r="B1460" s="87">
        <v>0.45068000000000003</v>
      </c>
      <c r="C1460" s="88">
        <v>41.644599999999997</v>
      </c>
      <c r="D1460" s="88">
        <v>0.15769</v>
      </c>
      <c r="E1460" s="76">
        <v>0</v>
      </c>
      <c r="F1460" s="89" cm="1">
        <f t="array" ref="F1460">5*LOG10(((c_light/1000/H_0_SAM)*(B1460/60)*SUMPRODUCT($J$2:$AD$2,1/SQRT(Omega_m*(1+$J$1:$AD$1*B1460)^3+Omega_L)))*(1+B1460)*100000)</f>
        <v>42.066152557223475</v>
      </c>
      <c r="G1460" s="89">
        <f t="shared" si="22"/>
        <v>0.42155255722347817</v>
      </c>
    </row>
    <row r="1461" spans="1:7" x14ac:dyDescent="0.6">
      <c r="A1461" s="76">
        <v>520016</v>
      </c>
      <c r="B1461" s="87">
        <v>0.45106000000000002</v>
      </c>
      <c r="C1461" s="88">
        <v>41.928100000000001</v>
      </c>
      <c r="D1461" s="88">
        <v>0.21343000000000001</v>
      </c>
      <c r="E1461" s="76">
        <v>0</v>
      </c>
      <c r="F1461" s="89" cm="1">
        <f t="array" ref="F1461">5*LOG10(((c_light/1000/H_0_SAM)*(B1461/60)*SUMPRODUCT($J$2:$AD$2,1/SQRT(Omega_m*(1+$J$1:$AD$1*B1461)^3+Omega_L)))*(1+B1461)*100000)</f>
        <v>42.068323051242196</v>
      </c>
      <c r="G1461" s="89">
        <f t="shared" si="22"/>
        <v>0.14022305124219514</v>
      </c>
    </row>
    <row r="1462" spans="1:7" x14ac:dyDescent="0.6">
      <c r="A1462" s="76" t="s">
        <v>1408</v>
      </c>
      <c r="B1462" s="87">
        <v>0.45162000000000002</v>
      </c>
      <c r="C1462" s="88">
        <v>41.589199999999998</v>
      </c>
      <c r="D1462" s="88">
        <v>0.22534999999999999</v>
      </c>
      <c r="E1462" s="76">
        <v>0</v>
      </c>
      <c r="F1462" s="89" cm="1">
        <f t="array" ref="F1462">5*LOG10(((c_light/1000/H_0_SAM)*(B1462/60)*SUMPRODUCT($J$2:$AD$2,1/SQRT(Omega_m*(1+$J$1:$AD$1*B1462)^3+Omega_L)))*(1+B1462)*100000)</f>
        <v>42.071518577941553</v>
      </c>
      <c r="G1462" s="89">
        <f t="shared" si="22"/>
        <v>0.4823185779415553</v>
      </c>
    </row>
    <row r="1463" spans="1:7" x14ac:dyDescent="0.6">
      <c r="A1463" s="76">
        <v>120094</v>
      </c>
      <c r="B1463" s="87">
        <v>0.45162000000000002</v>
      </c>
      <c r="C1463" s="88">
        <v>41.9923</v>
      </c>
      <c r="D1463" s="88">
        <v>0.15470999999999999</v>
      </c>
      <c r="E1463" s="76">
        <v>0</v>
      </c>
      <c r="F1463" s="89" cm="1">
        <f t="array" ref="F1463">5*LOG10(((c_light/1000/H_0_SAM)*(B1463/60)*SUMPRODUCT($J$2:$AD$2,1/SQRT(Omega_m*(1+$J$1:$AD$1*B1463)^3+Omega_L)))*(1+B1463)*100000)</f>
        <v>42.071518577941553</v>
      </c>
      <c r="G1463" s="89">
        <f t="shared" si="22"/>
        <v>7.9218577941553292E-2</v>
      </c>
    </row>
    <row r="1464" spans="1:7" x14ac:dyDescent="0.6">
      <c r="A1464" s="76" t="s">
        <v>1409</v>
      </c>
      <c r="B1464" s="87">
        <v>0.45162999999999998</v>
      </c>
      <c r="C1464" s="88">
        <v>41.716200000000001</v>
      </c>
      <c r="D1464" s="88">
        <v>0.30538999999999999</v>
      </c>
      <c r="E1464" s="76">
        <v>0</v>
      </c>
      <c r="F1464" s="89" cm="1">
        <f t="array" ref="F1464">5*LOG10(((c_light/1000/H_0_SAM)*(B1464/60)*SUMPRODUCT($J$2:$AD$2,1/SQRT(Omega_m*(1+$J$1:$AD$1*B1464)^3+Omega_L)))*(1+B1464)*100000)</f>
        <v>42.071575607437637</v>
      </c>
      <c r="G1464" s="89">
        <f t="shared" si="22"/>
        <v>0.35537560743763663</v>
      </c>
    </row>
    <row r="1465" spans="1:7" x14ac:dyDescent="0.6">
      <c r="A1465" s="76">
        <v>1290127</v>
      </c>
      <c r="B1465" s="87">
        <v>0.45218000000000003</v>
      </c>
      <c r="C1465" s="88">
        <v>41.995899999999999</v>
      </c>
      <c r="D1465" s="88">
        <v>0.32007999999999998</v>
      </c>
      <c r="E1465" s="76">
        <v>0</v>
      </c>
      <c r="F1465" s="89" cm="1">
        <f t="array" ref="F1465">5*LOG10(((c_light/1000/H_0_SAM)*(B1465/60)*SUMPRODUCT($J$2:$AD$2,1/SQRT(Omega_m*(1+$J$1:$AD$1*B1465)^3+Omega_L)))*(1+B1465)*100000)</f>
        <v>42.074710423408177</v>
      </c>
      <c r="G1465" s="89">
        <f t="shared" si="22"/>
        <v>7.8810423408178565E-2</v>
      </c>
    </row>
    <row r="1466" spans="1:7" x14ac:dyDescent="0.6">
      <c r="A1466" s="76">
        <v>1253101</v>
      </c>
      <c r="B1466" s="87">
        <v>0.45328000000000002</v>
      </c>
      <c r="C1466" s="88">
        <v>41.795299999999997</v>
      </c>
      <c r="D1466" s="88">
        <v>0.20779</v>
      </c>
      <c r="E1466" s="76">
        <v>0</v>
      </c>
      <c r="F1466" s="89" cm="1">
        <f t="array" ref="F1466">5*LOG10(((c_light/1000/H_0_SAM)*(B1466/60)*SUMPRODUCT($J$2:$AD$2,1/SQRT(Omega_m*(1+$J$1:$AD$1*B1466)^3+Omega_L)))*(1+B1466)*100000)</f>
        <v>42.080969435517105</v>
      </c>
      <c r="G1466" s="89">
        <f t="shared" si="22"/>
        <v>0.28566943551710722</v>
      </c>
    </row>
    <row r="1467" spans="1:7" x14ac:dyDescent="0.6">
      <c r="A1467" s="76">
        <v>1253039</v>
      </c>
      <c r="B1467" s="87">
        <v>0.45345999999999997</v>
      </c>
      <c r="C1467" s="88">
        <v>41.886299999999999</v>
      </c>
      <c r="D1467" s="88">
        <v>0.14410999999999999</v>
      </c>
      <c r="E1467" s="76">
        <v>0</v>
      </c>
      <c r="F1467" s="89" cm="1">
        <f t="array" ref="F1467">5*LOG10(((c_light/1000/H_0_SAM)*(B1467/60)*SUMPRODUCT($J$2:$AD$2,1/SQRT(Omega_m*(1+$J$1:$AD$1*B1467)^3+Omega_L)))*(1+B1467)*100000)</f>
        <v>42.081992292815478</v>
      </c>
      <c r="G1467" s="89">
        <f t="shared" si="22"/>
        <v>0.19569229281547962</v>
      </c>
    </row>
    <row r="1468" spans="1:7" x14ac:dyDescent="0.6">
      <c r="A1468" s="76">
        <v>1334302</v>
      </c>
      <c r="B1468" s="87">
        <v>0.45457999999999998</v>
      </c>
      <c r="C1468" s="88">
        <v>41.787300000000002</v>
      </c>
      <c r="D1468" s="88">
        <v>0.20924000000000001</v>
      </c>
      <c r="E1468" s="76">
        <v>0</v>
      </c>
      <c r="F1468" s="89" cm="1">
        <f t="array" ref="F1468">5*LOG10(((c_light/1000/H_0_SAM)*(B1468/60)*SUMPRODUCT($J$2:$AD$2,1/SQRT(Omega_m*(1+$J$1:$AD$1*B1468)^3+Omega_L)))*(1+B1468)*100000)</f>
        <v>42.088348268797361</v>
      </c>
      <c r="G1468" s="89">
        <f t="shared" si="22"/>
        <v>0.30104826879735924</v>
      </c>
    </row>
    <row r="1469" spans="1:7" x14ac:dyDescent="0.6">
      <c r="A1469" s="76">
        <v>1306360</v>
      </c>
      <c r="B1469" s="87">
        <v>0.45477000000000001</v>
      </c>
      <c r="C1469" s="88">
        <v>41.883899999999997</v>
      </c>
      <c r="D1469" s="88">
        <v>0.28415000000000001</v>
      </c>
      <c r="E1469" s="76">
        <v>0</v>
      </c>
      <c r="F1469" s="89" cm="1">
        <f t="array" ref="F1469">5*LOG10(((c_light/1000/H_0_SAM)*(B1469/60)*SUMPRODUCT($J$2:$AD$2,1/SQRT(Omega_m*(1+$J$1:$AD$1*B1469)^3+Omega_L)))*(1+B1469)*100000)</f>
        <v>42.089425069874899</v>
      </c>
      <c r="G1469" s="89">
        <f t="shared" si="22"/>
        <v>0.20552506987490204</v>
      </c>
    </row>
    <row r="1470" spans="1:7" x14ac:dyDescent="0.6">
      <c r="A1470" s="76">
        <v>1345582</v>
      </c>
      <c r="B1470" s="87">
        <v>0.45884999999999998</v>
      </c>
      <c r="C1470" s="88">
        <v>41.9679</v>
      </c>
      <c r="D1470" s="88">
        <v>0.25218000000000002</v>
      </c>
      <c r="E1470" s="76">
        <v>0</v>
      </c>
      <c r="F1470" s="89" cm="1">
        <f t="array" ref="F1470">5*LOG10(((c_light/1000/H_0_SAM)*(B1470/60)*SUMPRODUCT($J$2:$AD$2,1/SQRT(Omega_m*(1+$J$1:$AD$1*B1470)^3+Omega_L)))*(1+B1470)*100000)</f>
        <v>42.112447573415047</v>
      </c>
      <c r="G1470" s="89">
        <f t="shared" si="22"/>
        <v>0.14454757341504632</v>
      </c>
    </row>
    <row r="1471" spans="1:7" x14ac:dyDescent="0.6">
      <c r="A1471" s="76">
        <v>380199</v>
      </c>
      <c r="B1471" s="87">
        <v>0.46063999999999999</v>
      </c>
      <c r="C1471" s="88">
        <v>42.002099999999999</v>
      </c>
      <c r="D1471" s="88">
        <v>0.19094</v>
      </c>
      <c r="E1471" s="76">
        <v>0</v>
      </c>
      <c r="F1471" s="89" cm="1">
        <f t="array" ref="F1471">5*LOG10(((c_light/1000/H_0_SAM)*(B1471/60)*SUMPRODUCT($J$2:$AD$2,1/SQRT(Omega_m*(1+$J$1:$AD$1*B1471)^3+Omega_L)))*(1+B1471)*100000)</f>
        <v>42.122488091551389</v>
      </c>
      <c r="G1471" s="89">
        <f t="shared" si="22"/>
        <v>0.12038809155139063</v>
      </c>
    </row>
    <row r="1472" spans="1:7" x14ac:dyDescent="0.6">
      <c r="A1472" s="76">
        <v>510597</v>
      </c>
      <c r="B1472" s="87">
        <v>0.46104000000000001</v>
      </c>
      <c r="C1472" s="88">
        <v>42.016199999999998</v>
      </c>
      <c r="D1472" s="88">
        <v>0.23025000000000001</v>
      </c>
      <c r="E1472" s="76">
        <v>0</v>
      </c>
      <c r="F1472" s="89" cm="1">
        <f t="array" ref="F1472">5*LOG10(((c_light/1000/H_0_SAM)*(B1472/60)*SUMPRODUCT($J$2:$AD$2,1/SQRT(Omega_m*(1+$J$1:$AD$1*B1472)^3+Omega_L)))*(1+B1472)*100000)</f>
        <v>42.124726819936143</v>
      </c>
      <c r="G1472" s="89">
        <f t="shared" si="22"/>
        <v>0.1085268199361451</v>
      </c>
    </row>
    <row r="1473" spans="1:7" x14ac:dyDescent="0.6">
      <c r="A1473" s="76" t="s">
        <v>1410</v>
      </c>
      <c r="B1473" s="87">
        <v>0.46163999999999999</v>
      </c>
      <c r="C1473" s="88">
        <v>41.983899999999998</v>
      </c>
      <c r="D1473" s="88">
        <v>0.13844000000000001</v>
      </c>
      <c r="E1473" s="76">
        <v>0</v>
      </c>
      <c r="F1473" s="89" cm="1">
        <f t="array" ref="F1473">5*LOG10(((c_light/1000/H_0_SAM)*(B1473/60)*SUMPRODUCT($J$2:$AD$2,1/SQRT(Omega_m*(1+$J$1:$AD$1*B1473)^3+Omega_L)))*(1+B1473)*100000)</f>
        <v>42.128081526236144</v>
      </c>
      <c r="G1473" s="89">
        <f t="shared" si="22"/>
        <v>0.14418152623614588</v>
      </c>
    </row>
    <row r="1474" spans="1:7" x14ac:dyDescent="0.6">
      <c r="A1474" s="76" t="s">
        <v>1411</v>
      </c>
      <c r="B1474" s="87">
        <v>0.46643000000000001</v>
      </c>
      <c r="C1474" s="88">
        <v>42.342399999999998</v>
      </c>
      <c r="D1474" s="88">
        <v>0.39649000000000001</v>
      </c>
      <c r="E1474" s="76">
        <v>0</v>
      </c>
      <c r="F1474" s="89" cm="1">
        <f t="array" ref="F1474">5*LOG10(((c_light/1000/H_0_SAM)*(B1474/60)*SUMPRODUCT($J$2:$AD$2,1/SQRT(Omega_m*(1+$J$1:$AD$1*B1474)^3+Omega_L)))*(1+B1474)*100000)</f>
        <v>42.15471869228719</v>
      </c>
      <c r="G1474" s="89">
        <f t="shared" si="22"/>
        <v>-0.18768130771280767</v>
      </c>
    </row>
    <row r="1475" spans="1:7" x14ac:dyDescent="0.6">
      <c r="A1475" s="76">
        <v>215</v>
      </c>
      <c r="B1475" s="87">
        <v>0.46654000000000001</v>
      </c>
      <c r="C1475" s="88">
        <v>42.048000000000002</v>
      </c>
      <c r="D1475" s="88">
        <v>0.13592000000000001</v>
      </c>
      <c r="E1475" s="76">
        <v>0</v>
      </c>
      <c r="F1475" s="89" cm="1">
        <f t="array" ref="F1475">5*LOG10(((c_light/1000/H_0_SAM)*(B1475/60)*SUMPRODUCT($J$2:$AD$2,1/SQRT(Omega_m*(1+$J$1:$AD$1*B1475)^3+Omega_L)))*(1+B1475)*100000)</f>
        <v>42.155327405909269</v>
      </c>
      <c r="G1475" s="89">
        <f t="shared" si="22"/>
        <v>0.10732740590926682</v>
      </c>
    </row>
    <row r="1476" spans="1:7" x14ac:dyDescent="0.6">
      <c r="A1476" s="76" t="s">
        <v>1412</v>
      </c>
      <c r="B1476" s="87">
        <v>0.46842</v>
      </c>
      <c r="C1476" s="88">
        <v>41.973300000000002</v>
      </c>
      <c r="D1476" s="88">
        <v>0.20615</v>
      </c>
      <c r="E1476" s="76">
        <v>0</v>
      </c>
      <c r="F1476" s="89" cm="1">
        <f t="array" ref="F1476">5*LOG10(((c_light/1000/H_0_SAM)*(B1476/60)*SUMPRODUCT($J$2:$AD$2,1/SQRT(Omega_m*(1+$J$1:$AD$1*B1476)^3+Omega_L)))*(1+B1476)*100000)</f>
        <v>42.165710270399792</v>
      </c>
      <c r="G1476" s="89">
        <f t="shared" si="22"/>
        <v>0.19241027039979031</v>
      </c>
    </row>
    <row r="1477" spans="1:7" x14ac:dyDescent="0.6">
      <c r="A1477" s="76">
        <v>1339149</v>
      </c>
      <c r="B1477" s="87">
        <v>0.46887000000000001</v>
      </c>
      <c r="C1477" s="88">
        <v>41.763100000000001</v>
      </c>
      <c r="D1477" s="88">
        <v>0.23402999999999999</v>
      </c>
      <c r="E1477" s="76">
        <v>0</v>
      </c>
      <c r="F1477" s="89" cm="1">
        <f t="array" ref="F1477">5*LOG10(((c_light/1000/H_0_SAM)*(B1477/60)*SUMPRODUCT($J$2:$AD$2,1/SQRT(Omega_m*(1+$J$1:$AD$1*B1477)^3+Omega_L)))*(1+B1477)*100000)</f>
        <v>42.16818977477952</v>
      </c>
      <c r="G1477" s="89">
        <f t="shared" si="22"/>
        <v>0.40508977477951902</v>
      </c>
    </row>
    <row r="1478" spans="1:7" x14ac:dyDescent="0.6">
      <c r="A1478" s="76" t="s">
        <v>1413</v>
      </c>
      <c r="B1478" s="87">
        <v>0.47042</v>
      </c>
      <c r="C1478" s="88">
        <v>42.2151</v>
      </c>
      <c r="D1478" s="88">
        <v>0.40451999999999999</v>
      </c>
      <c r="E1478" s="76">
        <v>0</v>
      </c>
      <c r="F1478" s="89" cm="1">
        <f t="array" ref="F1478">5*LOG10(((c_light/1000/H_0_SAM)*(B1478/60)*SUMPRODUCT($J$2:$AD$2,1/SQRT(Omega_m*(1+$J$1:$AD$1*B1478)^3+Omega_L)))*(1+B1478)*100000)</f>
        <v>42.176713360656848</v>
      </c>
      <c r="G1478" s="89">
        <f t="shared" ref="G1478:G1541" si="23">F1478-C1478</f>
        <v>-3.8386639343151785E-2</v>
      </c>
    </row>
    <row r="1479" spans="1:7" x14ac:dyDescent="0.6">
      <c r="A1479" s="76" t="s">
        <v>1414</v>
      </c>
      <c r="B1479" s="87">
        <v>0.47065000000000001</v>
      </c>
      <c r="C1479" s="88">
        <v>42.013500000000001</v>
      </c>
      <c r="D1479" s="88">
        <v>0.18064</v>
      </c>
      <c r="E1479" s="76">
        <v>0</v>
      </c>
      <c r="F1479" s="89" cm="1">
        <f t="array" ref="F1479">5*LOG10(((c_light/1000/H_0_SAM)*(B1479/60)*SUMPRODUCT($J$2:$AD$2,1/SQRT(Omega_m*(1+$J$1:$AD$1*B1479)^3+Omega_L)))*(1+B1479)*100000)</f>
        <v>42.177975921726024</v>
      </c>
      <c r="G1479" s="89">
        <f t="shared" si="23"/>
        <v>0.16447592172602299</v>
      </c>
    </row>
    <row r="1480" spans="1:7" x14ac:dyDescent="0.6">
      <c r="A1480" s="76">
        <v>370367</v>
      </c>
      <c r="B1480" s="87">
        <v>0.47162999999999999</v>
      </c>
      <c r="C1480" s="88">
        <v>41.979799999999997</v>
      </c>
      <c r="D1480" s="88">
        <v>0.21090999999999999</v>
      </c>
      <c r="E1480" s="76">
        <v>0</v>
      </c>
      <c r="F1480" s="89" cm="1">
        <f t="array" ref="F1480">5*LOG10(((c_light/1000/H_0_SAM)*(B1480/60)*SUMPRODUCT($J$2:$AD$2,1/SQRT(Omega_m*(1+$J$1:$AD$1*B1480)^3+Omega_L)))*(1+B1480)*100000)</f>
        <v>42.183349097075471</v>
      </c>
      <c r="G1480" s="89">
        <f t="shared" si="23"/>
        <v>0.20354909707547364</v>
      </c>
    </row>
    <row r="1481" spans="1:7" x14ac:dyDescent="0.6">
      <c r="A1481" s="76">
        <v>1316437</v>
      </c>
      <c r="B1481" s="87">
        <v>0.47204000000000002</v>
      </c>
      <c r="C1481" s="88">
        <v>42.037399999999998</v>
      </c>
      <c r="D1481" s="88">
        <v>0.25691000000000003</v>
      </c>
      <c r="E1481" s="76">
        <v>0</v>
      </c>
      <c r="F1481" s="89" cm="1">
        <f t="array" ref="F1481">5*LOG10(((c_light/1000/H_0_SAM)*(B1481/60)*SUMPRODUCT($J$2:$AD$2,1/SQRT(Omega_m*(1+$J$1:$AD$1*B1481)^3+Omega_L)))*(1+B1481)*100000)</f>
        <v>42.185593973281541</v>
      </c>
      <c r="G1481" s="89">
        <f t="shared" si="23"/>
        <v>0.14819397328154338</v>
      </c>
    </row>
    <row r="1482" spans="1:7" x14ac:dyDescent="0.6">
      <c r="A1482" s="76" t="s">
        <v>1415</v>
      </c>
      <c r="B1482" s="87">
        <v>0.47565000000000002</v>
      </c>
      <c r="C1482" s="88">
        <v>41.938000000000002</v>
      </c>
      <c r="D1482" s="88">
        <v>0.17710999999999999</v>
      </c>
      <c r="E1482" s="76">
        <v>0</v>
      </c>
      <c r="F1482" s="89" cm="1">
        <f t="array" ref="F1482">5*LOG10(((c_light/1000/H_0_SAM)*(B1482/60)*SUMPRODUCT($J$2:$AD$2,1/SQRT(Omega_m*(1+$J$1:$AD$1*B1482)^3+Omega_L)))*(1+B1482)*100000)</f>
        <v>42.205281798412869</v>
      </c>
      <c r="G1482" s="89">
        <f t="shared" si="23"/>
        <v>0.26728179841286703</v>
      </c>
    </row>
    <row r="1483" spans="1:7" x14ac:dyDescent="0.6">
      <c r="A1483" s="76">
        <v>370329</v>
      </c>
      <c r="B1483" s="87">
        <v>0.47786000000000001</v>
      </c>
      <c r="C1483" s="88">
        <v>42.226900000000001</v>
      </c>
      <c r="D1483" s="88">
        <v>0.22828000000000001</v>
      </c>
      <c r="E1483" s="76">
        <v>0</v>
      </c>
      <c r="F1483" s="89" cm="1">
        <f t="array" ref="F1483">5*LOG10(((c_light/1000/H_0_SAM)*(B1483/60)*SUMPRODUCT($J$2:$AD$2,1/SQRT(Omega_m*(1+$J$1:$AD$1*B1483)^3+Omega_L)))*(1+B1483)*100000)</f>
        <v>42.217265859668188</v>
      </c>
      <c r="G1483" s="89">
        <f t="shared" si="23"/>
        <v>-9.6341403318120911E-3</v>
      </c>
    </row>
    <row r="1484" spans="1:7" x14ac:dyDescent="0.6">
      <c r="A1484" s="76">
        <v>310146</v>
      </c>
      <c r="B1484" s="87">
        <v>0.47941</v>
      </c>
      <c r="C1484" s="88">
        <v>41.869500000000002</v>
      </c>
      <c r="D1484" s="88">
        <v>0.20388000000000001</v>
      </c>
      <c r="E1484" s="76">
        <v>0</v>
      </c>
      <c r="F1484" s="89" cm="1">
        <f t="array" ref="F1484">5*LOG10(((c_light/1000/H_0_SAM)*(B1484/60)*SUMPRODUCT($J$2:$AD$2,1/SQRT(Omega_m*(1+$J$1:$AD$1*B1484)^3+Omega_L)))*(1+B1484)*100000)</f>
        <v>42.225640189331763</v>
      </c>
      <c r="G1484" s="89">
        <f t="shared" si="23"/>
        <v>0.35614018933176084</v>
      </c>
    </row>
    <row r="1485" spans="1:7" x14ac:dyDescent="0.6">
      <c r="A1485" s="76">
        <v>1306537</v>
      </c>
      <c r="B1485" s="87">
        <v>0.47946</v>
      </c>
      <c r="C1485" s="88">
        <v>42.0107</v>
      </c>
      <c r="D1485" s="88">
        <v>0.19899</v>
      </c>
      <c r="E1485" s="76">
        <v>0</v>
      </c>
      <c r="F1485" s="89" cm="1">
        <f t="array" ref="F1485">5*LOG10(((c_light/1000/H_0_SAM)*(B1485/60)*SUMPRODUCT($J$2:$AD$2,1/SQRT(Omega_m*(1+$J$1:$AD$1*B1485)^3+Omega_L)))*(1+B1485)*100000)</f>
        <v>42.225909908578679</v>
      </c>
      <c r="G1485" s="89">
        <f t="shared" si="23"/>
        <v>0.21520990857867872</v>
      </c>
    </row>
    <row r="1486" spans="1:7" x14ac:dyDescent="0.6">
      <c r="A1486" s="76">
        <v>560054</v>
      </c>
      <c r="B1486" s="87">
        <v>0.47987999999999997</v>
      </c>
      <c r="C1486" s="88">
        <v>41.895600000000002</v>
      </c>
      <c r="D1486" s="88">
        <v>0.23780000000000001</v>
      </c>
      <c r="E1486" s="76">
        <v>0</v>
      </c>
      <c r="F1486" s="89" cm="1">
        <f t="array" ref="F1486">5*LOG10(((c_light/1000/H_0_SAM)*(B1486/60)*SUMPRODUCT($J$2:$AD$2,1/SQRT(Omega_m*(1+$J$1:$AD$1*B1486)^3+Omega_L)))*(1+B1486)*100000)</f>
        <v>42.228174515607975</v>
      </c>
      <c r="G1486" s="89">
        <f t="shared" si="23"/>
        <v>0.33257451560797335</v>
      </c>
    </row>
    <row r="1487" spans="1:7" x14ac:dyDescent="0.6">
      <c r="A1487" s="76" t="s">
        <v>1416</v>
      </c>
      <c r="B1487" s="87">
        <v>0.48064000000000001</v>
      </c>
      <c r="C1487" s="88">
        <v>42.004100000000001</v>
      </c>
      <c r="D1487" s="88">
        <v>0.16036</v>
      </c>
      <c r="E1487" s="76">
        <v>0</v>
      </c>
      <c r="F1487" s="89" cm="1">
        <f t="array" ref="F1487">5*LOG10(((c_light/1000/H_0_SAM)*(B1487/60)*SUMPRODUCT($J$2:$AD$2,1/SQRT(Omega_m*(1+$J$1:$AD$1*B1487)^3+Omega_L)))*(1+B1487)*100000)</f>
        <v>42.232267683042714</v>
      </c>
      <c r="G1487" s="89">
        <f t="shared" si="23"/>
        <v>0.22816768304271307</v>
      </c>
    </row>
    <row r="1488" spans="1:7" x14ac:dyDescent="0.6">
      <c r="A1488" s="76" t="s">
        <v>1417</v>
      </c>
      <c r="B1488" s="87">
        <v>0.48065000000000002</v>
      </c>
      <c r="C1488" s="88">
        <v>41.974800000000002</v>
      </c>
      <c r="D1488" s="88">
        <v>0.13922000000000001</v>
      </c>
      <c r="E1488" s="76">
        <v>0</v>
      </c>
      <c r="F1488" s="89" cm="1">
        <f t="array" ref="F1488">5*LOG10(((c_light/1000/H_0_SAM)*(B1488/60)*SUMPRODUCT($J$2:$AD$2,1/SQRT(Omega_m*(1+$J$1:$AD$1*B1488)^3+Omega_L)))*(1+B1488)*100000)</f>
        <v>42.232321500277891</v>
      </c>
      <c r="G1488" s="89">
        <f t="shared" si="23"/>
        <v>0.257521500277889</v>
      </c>
    </row>
    <row r="1489" spans="1:7" x14ac:dyDescent="0.6">
      <c r="A1489" s="76">
        <v>120044</v>
      </c>
      <c r="B1489" s="87">
        <v>0.48164000000000001</v>
      </c>
      <c r="C1489" s="88">
        <v>42.305500000000002</v>
      </c>
      <c r="D1489" s="88">
        <v>0.21088999999999999</v>
      </c>
      <c r="E1489" s="76">
        <v>0</v>
      </c>
      <c r="F1489" s="89" cm="1">
        <f t="array" ref="F1489">5*LOG10(((c_light/1000/H_0_SAM)*(B1489/60)*SUMPRODUCT($J$2:$AD$2,1/SQRT(Omega_m*(1+$J$1:$AD$1*B1489)^3+Omega_L)))*(1+B1489)*100000)</f>
        <v>42.237644245857133</v>
      </c>
      <c r="G1489" s="89">
        <f t="shared" si="23"/>
        <v>-6.7855754142868818E-2</v>
      </c>
    </row>
    <row r="1490" spans="1:7" x14ac:dyDescent="0.6">
      <c r="A1490" s="76" t="s">
        <v>1418</v>
      </c>
      <c r="B1490" s="87">
        <v>0.48887999999999998</v>
      </c>
      <c r="C1490" s="88">
        <v>42.084200000000003</v>
      </c>
      <c r="D1490" s="88">
        <v>0.19972999999999999</v>
      </c>
      <c r="E1490" s="76">
        <v>0</v>
      </c>
      <c r="F1490" s="89" cm="1">
        <f t="array" ref="F1490">5*LOG10(((c_light/1000/H_0_SAM)*(B1490/60)*SUMPRODUCT($J$2:$AD$2,1/SQRT(Omega_m*(1+$J$1:$AD$1*B1490)^3+Omega_L)))*(1+B1490)*100000)</f>
        <v>42.276262873620489</v>
      </c>
      <c r="G1490" s="89">
        <f t="shared" si="23"/>
        <v>0.19206287362048613</v>
      </c>
    </row>
    <row r="1491" spans="1:7" x14ac:dyDescent="0.6">
      <c r="A1491" s="76">
        <v>1292145</v>
      </c>
      <c r="B1491" s="87">
        <v>0.49243999999999999</v>
      </c>
      <c r="C1491" s="88">
        <v>42.278300000000002</v>
      </c>
      <c r="D1491" s="88">
        <v>0.33539999999999998</v>
      </c>
      <c r="E1491" s="76">
        <v>0</v>
      </c>
      <c r="F1491" s="89" cm="1">
        <f t="array" ref="F1491">5*LOG10(((c_light/1000/H_0_SAM)*(B1491/60)*SUMPRODUCT($J$2:$AD$2,1/SQRT(Omega_m*(1+$J$1:$AD$1*B1491)^3+Omega_L)))*(1+B1491)*100000)</f>
        <v>42.295056840322765</v>
      </c>
      <c r="G1491" s="89">
        <f t="shared" si="23"/>
        <v>1.6756840322763367E-2</v>
      </c>
    </row>
    <row r="1492" spans="1:7" x14ac:dyDescent="0.6">
      <c r="A1492" s="76">
        <v>1343208</v>
      </c>
      <c r="B1492" s="87">
        <v>0.49498999999999999</v>
      </c>
      <c r="C1492" s="88">
        <v>42.082099999999997</v>
      </c>
      <c r="D1492" s="88">
        <v>0.16500999999999999</v>
      </c>
      <c r="E1492" s="76">
        <v>0</v>
      </c>
      <c r="F1492" s="89" cm="1">
        <f t="array" ref="F1492">5*LOG10(((c_light/1000/H_0_SAM)*(B1492/60)*SUMPRODUCT($J$2:$AD$2,1/SQRT(Omega_m*(1+$J$1:$AD$1*B1492)^3+Omega_L)))*(1+B1492)*100000)</f>
        <v>42.308441010642497</v>
      </c>
      <c r="G1492" s="89">
        <f t="shared" si="23"/>
        <v>0.2263410106424999</v>
      </c>
    </row>
    <row r="1493" spans="1:7" x14ac:dyDescent="0.6">
      <c r="A1493" s="76">
        <v>1305504</v>
      </c>
      <c r="B1493" s="87">
        <v>0.49565999999999999</v>
      </c>
      <c r="C1493" s="88">
        <v>42.145299999999999</v>
      </c>
      <c r="D1493" s="88">
        <v>0.12092</v>
      </c>
      <c r="E1493" s="76">
        <v>0</v>
      </c>
      <c r="F1493" s="89" cm="1">
        <f t="array" ref="F1493">5*LOG10(((c_light/1000/H_0_SAM)*(B1493/60)*SUMPRODUCT($J$2:$AD$2,1/SQRT(Omega_m*(1+$J$1:$AD$1*B1493)^3+Omega_L)))*(1+B1493)*100000)</f>
        <v>42.311946955489333</v>
      </c>
      <c r="G1493" s="89">
        <f t="shared" si="23"/>
        <v>0.16664695548933395</v>
      </c>
    </row>
    <row r="1494" spans="1:7" x14ac:dyDescent="0.6">
      <c r="A1494" s="76" t="s">
        <v>1419</v>
      </c>
      <c r="B1494" s="87">
        <v>0.49579000000000001</v>
      </c>
      <c r="C1494" s="88">
        <v>42.081699999999998</v>
      </c>
      <c r="D1494" s="88">
        <v>0.15393999999999999</v>
      </c>
      <c r="E1494" s="76">
        <v>0</v>
      </c>
      <c r="F1494" s="89" cm="1">
        <f t="array" ref="F1494">5*LOG10(((c_light/1000/H_0_SAM)*(B1494/60)*SUMPRODUCT($J$2:$AD$2,1/SQRT(Omega_m*(1+$J$1:$AD$1*B1494)^3+Omega_L)))*(1+B1494)*100000)</f>
        <v>42.312626700770302</v>
      </c>
      <c r="G1494" s="89">
        <f t="shared" si="23"/>
        <v>0.23092670077030419</v>
      </c>
    </row>
    <row r="1495" spans="1:7" x14ac:dyDescent="0.6">
      <c r="A1495" s="76" t="s">
        <v>1420</v>
      </c>
      <c r="B1495" s="87">
        <v>0.49739</v>
      </c>
      <c r="C1495" s="88">
        <v>42.126800000000003</v>
      </c>
      <c r="D1495" s="88">
        <v>0.22586000000000001</v>
      </c>
      <c r="E1495" s="76">
        <v>0</v>
      </c>
      <c r="F1495" s="89" cm="1">
        <f t="array" ref="F1495">5*LOG10(((c_light/1000/H_0_SAM)*(B1495/60)*SUMPRODUCT($J$2:$AD$2,1/SQRT(Omega_m*(1+$J$1:$AD$1*B1495)^3+Omega_L)))*(1+B1495)*100000)</f>
        <v>42.320979192811315</v>
      </c>
      <c r="G1495" s="89">
        <f t="shared" si="23"/>
        <v>0.19417919281131191</v>
      </c>
    </row>
    <row r="1496" spans="1:7" x14ac:dyDescent="0.6">
      <c r="A1496" s="76" t="s">
        <v>1421</v>
      </c>
      <c r="B1496" s="87">
        <v>0.50066999999999995</v>
      </c>
      <c r="C1496" s="88">
        <v>42.256999999999998</v>
      </c>
      <c r="D1496" s="88">
        <v>0.25381999999999999</v>
      </c>
      <c r="E1496" s="76">
        <v>0</v>
      </c>
      <c r="F1496" s="89" cm="1">
        <f t="array" ref="F1496">5*LOG10(((c_light/1000/H_0_SAM)*(B1496/60)*SUMPRODUCT($J$2:$AD$2,1/SQRT(Omega_m*(1+$J$1:$AD$1*B1496)^3+Omega_L)))*(1+B1496)*100000)</f>
        <v>42.338023630232946</v>
      </c>
      <c r="G1496" s="89">
        <f t="shared" si="23"/>
        <v>8.1023630232948562E-2</v>
      </c>
    </row>
    <row r="1497" spans="1:7" x14ac:dyDescent="0.6">
      <c r="A1497" s="76">
        <v>350374</v>
      </c>
      <c r="B1497" s="87">
        <v>0.50097999999999998</v>
      </c>
      <c r="C1497" s="88">
        <v>42.116500000000002</v>
      </c>
      <c r="D1497" s="88">
        <v>0.28312999999999999</v>
      </c>
      <c r="E1497" s="76">
        <v>0</v>
      </c>
      <c r="F1497" s="89" cm="1">
        <f t="array" ref="F1497">5*LOG10(((c_light/1000/H_0_SAM)*(B1497/60)*SUMPRODUCT($J$2:$AD$2,1/SQRT(Omega_m*(1+$J$1:$AD$1*B1497)^3+Omega_L)))*(1+B1497)*100000)</f>
        <v>42.339629137639847</v>
      </c>
      <c r="G1497" s="89">
        <f t="shared" si="23"/>
        <v>0.22312913763984454</v>
      </c>
    </row>
    <row r="1498" spans="1:7" x14ac:dyDescent="0.6">
      <c r="A1498" s="76">
        <v>1337272</v>
      </c>
      <c r="B1498" s="87">
        <v>0.50282000000000004</v>
      </c>
      <c r="C1498" s="88">
        <v>42.161000000000001</v>
      </c>
      <c r="D1498" s="88">
        <v>0.21854999999999999</v>
      </c>
      <c r="E1498" s="76">
        <v>0</v>
      </c>
      <c r="F1498" s="89" cm="1">
        <f t="array" ref="F1498">5*LOG10(((c_light/1000/H_0_SAM)*(B1498/60)*SUMPRODUCT($J$2:$AD$2,1/SQRT(Omega_m*(1+$J$1:$AD$1*B1498)^3+Omega_L)))*(1+B1498)*100000)</f>
        <v>42.349139536538715</v>
      </c>
      <c r="G1498" s="89">
        <f t="shared" si="23"/>
        <v>0.18813953653871351</v>
      </c>
    </row>
    <row r="1499" spans="1:7" x14ac:dyDescent="0.6">
      <c r="A1499" s="76">
        <v>30006</v>
      </c>
      <c r="B1499" s="87">
        <v>0.50285000000000002</v>
      </c>
      <c r="C1499" s="88">
        <v>42.070300000000003</v>
      </c>
      <c r="D1499" s="88">
        <v>0.31286999999999998</v>
      </c>
      <c r="E1499" s="76">
        <v>0</v>
      </c>
      <c r="F1499" s="89" cm="1">
        <f t="array" ref="F1499">5*LOG10(((c_light/1000/H_0_SAM)*(B1499/60)*SUMPRODUCT($J$2:$AD$2,1/SQRT(Omega_m*(1+$J$1:$AD$1*B1499)^3+Omega_L)))*(1+B1499)*100000)</f>
        <v>42.349294327772718</v>
      </c>
      <c r="G1499" s="89">
        <f t="shared" si="23"/>
        <v>0.27899432777271471</v>
      </c>
    </row>
    <row r="1500" spans="1:7" x14ac:dyDescent="0.6">
      <c r="A1500" s="76">
        <v>510457</v>
      </c>
      <c r="B1500" s="87">
        <v>0.50305999999999995</v>
      </c>
      <c r="C1500" s="88">
        <v>42.148400000000002</v>
      </c>
      <c r="D1500" s="88">
        <v>0.31128</v>
      </c>
      <c r="E1500" s="76">
        <v>0</v>
      </c>
      <c r="F1500" s="89" cm="1">
        <f t="array" ref="F1500">5*LOG10(((c_light/1000/H_0_SAM)*(B1500/60)*SUMPRODUCT($J$2:$AD$2,1/SQRT(Omega_m*(1+$J$1:$AD$1*B1500)^3+Omega_L)))*(1+B1500)*100000)</f>
        <v>42.350377624815138</v>
      </c>
      <c r="G1500" s="89">
        <f t="shared" si="23"/>
        <v>0.20197762481513593</v>
      </c>
    </row>
    <row r="1501" spans="1:7" x14ac:dyDescent="0.6">
      <c r="A1501" s="76" t="s">
        <v>1422</v>
      </c>
      <c r="B1501" s="87">
        <v>0.50316000000000005</v>
      </c>
      <c r="C1501" s="88">
        <v>42.144399999999997</v>
      </c>
      <c r="D1501" s="88">
        <v>0.22869</v>
      </c>
      <c r="E1501" s="76">
        <v>0</v>
      </c>
      <c r="F1501" s="89" cm="1">
        <f t="array" ref="F1501">5*LOG10(((c_light/1000/H_0_SAM)*(B1501/60)*SUMPRODUCT($J$2:$AD$2,1/SQRT(Omega_m*(1+$J$1:$AD$1*B1501)^3+Omega_L)))*(1+B1501)*100000)</f>
        <v>42.350893332012028</v>
      </c>
      <c r="G1501" s="89">
        <f t="shared" si="23"/>
        <v>0.20649333201203035</v>
      </c>
    </row>
    <row r="1502" spans="1:7" x14ac:dyDescent="0.6">
      <c r="A1502" s="76">
        <v>1335472</v>
      </c>
      <c r="B1502" s="87">
        <v>0.50592999999999999</v>
      </c>
      <c r="C1502" s="88">
        <v>42.079000000000001</v>
      </c>
      <c r="D1502" s="88">
        <v>0.16669999999999999</v>
      </c>
      <c r="E1502" s="76">
        <v>0</v>
      </c>
      <c r="F1502" s="89" cm="1">
        <f t="array" ref="F1502">5*LOG10(((c_light/1000/H_0_SAM)*(B1502/60)*SUMPRODUCT($J$2:$AD$2,1/SQRT(Omega_m*(1+$J$1:$AD$1*B1502)^3+Omega_L)))*(1+B1502)*100000)</f>
        <v>42.365140474624681</v>
      </c>
      <c r="G1502" s="89">
        <f t="shared" si="23"/>
        <v>0.28614047462468051</v>
      </c>
    </row>
    <row r="1503" spans="1:7" x14ac:dyDescent="0.6">
      <c r="A1503" s="76">
        <v>1343759</v>
      </c>
      <c r="B1503" s="87">
        <v>0.50614999999999999</v>
      </c>
      <c r="C1503" s="88">
        <v>42.104300000000002</v>
      </c>
      <c r="D1503" s="88">
        <v>0.15171000000000001</v>
      </c>
      <c r="E1503" s="76">
        <v>0</v>
      </c>
      <c r="F1503" s="89" cm="1">
        <f t="array" ref="F1503">5*LOG10(((c_light/1000/H_0_SAM)*(B1503/60)*SUMPRODUCT($J$2:$AD$2,1/SQRT(Omega_m*(1+$J$1:$AD$1*B1503)^3+Omega_L)))*(1+B1503)*100000)</f>
        <v>42.366268888822979</v>
      </c>
      <c r="G1503" s="89">
        <f t="shared" si="23"/>
        <v>0.26196888882297742</v>
      </c>
    </row>
    <row r="1504" spans="1:7" x14ac:dyDescent="0.6">
      <c r="A1504" s="76">
        <v>310091</v>
      </c>
      <c r="B1504" s="87">
        <v>0.50724999999999998</v>
      </c>
      <c r="C1504" s="88">
        <v>42.235799999999998</v>
      </c>
      <c r="D1504" s="88">
        <v>0.18096999999999999</v>
      </c>
      <c r="E1504" s="76">
        <v>0</v>
      </c>
      <c r="F1504" s="89" cm="1">
        <f t="array" ref="F1504">5*LOG10(((c_light/1000/H_0_SAM)*(B1504/60)*SUMPRODUCT($J$2:$AD$2,1/SQRT(Omega_m*(1+$J$1:$AD$1*B1504)^3+Omega_L)))*(1+B1504)*100000)</f>
        <v>42.371904090516431</v>
      </c>
      <c r="G1504" s="89">
        <f t="shared" si="23"/>
        <v>0.13610409051643302</v>
      </c>
    </row>
    <row r="1505" spans="1:7" x14ac:dyDescent="0.6">
      <c r="A1505" s="76" t="s">
        <v>1423</v>
      </c>
      <c r="B1505" s="87">
        <v>0.50739000000000001</v>
      </c>
      <c r="C1505" s="88">
        <v>42.241900000000001</v>
      </c>
      <c r="D1505" s="88">
        <v>0.28882000000000002</v>
      </c>
      <c r="E1505" s="76">
        <v>0</v>
      </c>
      <c r="F1505" s="89" cm="1">
        <f t="array" ref="F1505">5*LOG10(((c_light/1000/H_0_SAM)*(B1505/60)*SUMPRODUCT($J$2:$AD$2,1/SQRT(Omega_m*(1+$J$1:$AD$1*B1505)^3+Omega_L)))*(1+B1505)*100000)</f>
        <v>42.37262047819749</v>
      </c>
      <c r="G1505" s="89">
        <f t="shared" si="23"/>
        <v>0.13072047819748889</v>
      </c>
    </row>
    <row r="1506" spans="1:7" x14ac:dyDescent="0.6">
      <c r="A1506" s="76">
        <v>90201</v>
      </c>
      <c r="B1506" s="87">
        <v>0.50824999999999998</v>
      </c>
      <c r="C1506" s="88">
        <v>42.019300000000001</v>
      </c>
      <c r="D1506" s="88">
        <v>0.18431</v>
      </c>
      <c r="E1506" s="76">
        <v>0</v>
      </c>
      <c r="F1506" s="89" cm="1">
        <f t="array" ref="F1506">5*LOG10(((c_light/1000/H_0_SAM)*(B1506/60)*SUMPRODUCT($J$2:$AD$2,1/SQRT(Omega_m*(1+$J$1:$AD$1*B1506)^3+Omega_L)))*(1+B1506)*100000)</f>
        <v>42.377017094640557</v>
      </c>
      <c r="G1506" s="89">
        <f t="shared" si="23"/>
        <v>0.3577170946405559</v>
      </c>
    </row>
    <row r="1507" spans="1:7" x14ac:dyDescent="0.6">
      <c r="A1507" s="76">
        <v>180313</v>
      </c>
      <c r="B1507" s="87">
        <v>0.51015999999999995</v>
      </c>
      <c r="C1507" s="88">
        <v>42.094499999999996</v>
      </c>
      <c r="D1507" s="88">
        <v>0.14441000000000001</v>
      </c>
      <c r="E1507" s="76">
        <v>0</v>
      </c>
      <c r="F1507" s="89" cm="1">
        <f t="array" ref="F1507">5*LOG10(((c_light/1000/H_0_SAM)*(B1507/60)*SUMPRODUCT($J$2:$AD$2,1/SQRT(Omega_m*(1+$J$1:$AD$1*B1507)^3+Omega_L)))*(1+B1507)*100000)</f>
        <v>42.386756842095814</v>
      </c>
      <c r="G1507" s="89">
        <f t="shared" si="23"/>
        <v>0.29225684209581715</v>
      </c>
    </row>
    <row r="1508" spans="1:7" x14ac:dyDescent="0.6">
      <c r="A1508" s="76">
        <v>110484</v>
      </c>
      <c r="B1508" s="87">
        <v>0.51095000000000002</v>
      </c>
      <c r="C1508" s="88">
        <v>42.058300000000003</v>
      </c>
      <c r="D1508" s="88">
        <v>0.23907999999999999</v>
      </c>
      <c r="E1508" s="76">
        <v>0</v>
      </c>
      <c r="F1508" s="89" cm="1">
        <f t="array" ref="F1508">5*LOG10(((c_light/1000/H_0_SAM)*(B1508/60)*SUMPRODUCT($J$2:$AD$2,1/SQRT(Omega_m*(1+$J$1:$AD$1*B1508)^3+Omega_L)))*(1+B1508)*100000)</f>
        <v>42.390775356918198</v>
      </c>
      <c r="G1508" s="89">
        <f t="shared" si="23"/>
        <v>0.33247535691819508</v>
      </c>
    </row>
    <row r="1509" spans="1:7" x14ac:dyDescent="0.6">
      <c r="A1509" s="76" t="s">
        <v>1424</v>
      </c>
      <c r="B1509" s="87">
        <v>0.51168999999999998</v>
      </c>
      <c r="C1509" s="88">
        <v>42.388500000000001</v>
      </c>
      <c r="D1509" s="88">
        <v>0.22728000000000001</v>
      </c>
      <c r="E1509" s="76">
        <v>0</v>
      </c>
      <c r="F1509" s="89" cm="1">
        <f t="array" ref="F1509">5*LOG10(((c_light/1000/H_0_SAM)*(B1509/60)*SUMPRODUCT($J$2:$AD$2,1/SQRT(Omega_m*(1+$J$1:$AD$1*B1509)^3+Omega_L)))*(1+B1509)*100000)</f>
        <v>42.39453426709477</v>
      </c>
      <c r="G1509" s="89">
        <f t="shared" si="23"/>
        <v>6.0342670947690635E-3</v>
      </c>
    </row>
    <row r="1510" spans="1:7" x14ac:dyDescent="0.6">
      <c r="A1510" s="76" t="s">
        <v>1425</v>
      </c>
      <c r="B1510" s="87">
        <v>0.51387000000000005</v>
      </c>
      <c r="C1510" s="88">
        <v>42.256700000000002</v>
      </c>
      <c r="D1510" s="88">
        <v>0.35965999999999998</v>
      </c>
      <c r="E1510" s="76">
        <v>0</v>
      </c>
      <c r="F1510" s="89" cm="1">
        <f t="array" ref="F1510">5*LOG10(((c_light/1000/H_0_SAM)*(B1510/60)*SUMPRODUCT($J$2:$AD$2,1/SQRT(Omega_m*(1+$J$1:$AD$1*B1510)^3+Omega_L)))*(1+B1510)*100000)</f>
        <v>42.405578327484022</v>
      </c>
      <c r="G1510" s="89">
        <f t="shared" si="23"/>
        <v>0.14887832748402019</v>
      </c>
    </row>
    <row r="1511" spans="1:7" x14ac:dyDescent="0.6">
      <c r="A1511" s="76" t="s">
        <v>1426</v>
      </c>
      <c r="B1511" s="87">
        <v>0.51436999999999999</v>
      </c>
      <c r="C1511" s="88">
        <v>42.225900000000003</v>
      </c>
      <c r="D1511" s="88">
        <v>0.19616</v>
      </c>
      <c r="E1511" s="76">
        <v>0</v>
      </c>
      <c r="F1511" s="89" cm="1">
        <f t="array" ref="F1511">5*LOG10(((c_light/1000/H_0_SAM)*(B1511/60)*SUMPRODUCT($J$2:$AD$2,1/SQRT(Omega_m*(1+$J$1:$AD$1*B1511)^3+Omega_L)))*(1+B1511)*100000)</f>
        <v>42.408105187773401</v>
      </c>
      <c r="G1511" s="89">
        <f t="shared" si="23"/>
        <v>0.18220518777339834</v>
      </c>
    </row>
    <row r="1512" spans="1:7" x14ac:dyDescent="0.6">
      <c r="A1512" s="76" t="s">
        <v>1427</v>
      </c>
      <c r="B1512" s="87">
        <v>0.51468999999999998</v>
      </c>
      <c r="C1512" s="88">
        <v>42.325899999999997</v>
      </c>
      <c r="D1512" s="88">
        <v>0.40292</v>
      </c>
      <c r="E1512" s="76">
        <v>0</v>
      </c>
      <c r="F1512" s="89" cm="1">
        <f t="array" ref="F1512">5*LOG10(((c_light/1000/H_0_SAM)*(B1512/60)*SUMPRODUCT($J$2:$AD$2,1/SQRT(Omega_m*(1+$J$1:$AD$1*B1512)^3+Omega_L)))*(1+B1512)*100000)</f>
        <v>42.409721172393233</v>
      </c>
      <c r="G1512" s="89">
        <f t="shared" si="23"/>
        <v>8.3821172393236054E-2</v>
      </c>
    </row>
    <row r="1513" spans="1:7" x14ac:dyDescent="0.6">
      <c r="A1513" s="76">
        <v>1338430</v>
      </c>
      <c r="B1513" s="87">
        <v>0.51726000000000005</v>
      </c>
      <c r="C1513" s="88">
        <v>42.093200000000003</v>
      </c>
      <c r="D1513" s="88">
        <v>0.19044</v>
      </c>
      <c r="E1513" s="76">
        <v>0</v>
      </c>
      <c r="F1513" s="89" cm="1">
        <f t="array" ref="F1513">5*LOG10(((c_light/1000/H_0_SAM)*(B1513/60)*SUMPRODUCT($J$2:$AD$2,1/SQRT(Omega_m*(1+$J$1:$AD$1*B1513)^3+Omega_L)))*(1+B1513)*100000)</f>
        <v>42.422665553979485</v>
      </c>
      <c r="G1513" s="89">
        <f t="shared" si="23"/>
        <v>0.32946555397948174</v>
      </c>
    </row>
    <row r="1514" spans="1:7" x14ac:dyDescent="0.6">
      <c r="A1514" s="76">
        <v>1334470</v>
      </c>
      <c r="B1514" s="87">
        <v>0.51883000000000001</v>
      </c>
      <c r="C1514" s="88">
        <v>42.194899999999997</v>
      </c>
      <c r="D1514" s="88">
        <v>0.25041999999999998</v>
      </c>
      <c r="E1514" s="76">
        <v>0</v>
      </c>
      <c r="F1514" s="89" cm="1">
        <f t="array" ref="F1514">5*LOG10(((c_light/1000/H_0_SAM)*(B1514/60)*SUMPRODUCT($J$2:$AD$2,1/SQRT(Omega_m*(1+$J$1:$AD$1*B1514)^3+Omega_L)))*(1+B1514)*100000)</f>
        <v>42.430543621883324</v>
      </c>
      <c r="G1514" s="89">
        <f t="shared" si="23"/>
        <v>0.23564362188332666</v>
      </c>
    </row>
    <row r="1515" spans="1:7" x14ac:dyDescent="0.6">
      <c r="A1515" s="76">
        <v>310260</v>
      </c>
      <c r="B1515" s="87">
        <v>0.51885000000000003</v>
      </c>
      <c r="C1515" s="88">
        <v>42.182400000000001</v>
      </c>
      <c r="D1515" s="88">
        <v>0.20956</v>
      </c>
      <c r="E1515" s="76">
        <v>0</v>
      </c>
      <c r="F1515" s="89" cm="1">
        <f t="array" ref="F1515">5*LOG10(((c_light/1000/H_0_SAM)*(B1515/60)*SUMPRODUCT($J$2:$AD$2,1/SQRT(Omega_m*(1+$J$1:$AD$1*B1515)^3+Omega_L)))*(1+B1515)*100000)</f>
        <v>42.430643835398946</v>
      </c>
      <c r="G1515" s="89">
        <f t="shared" si="23"/>
        <v>0.24824383539894512</v>
      </c>
    </row>
    <row r="1516" spans="1:7" x14ac:dyDescent="0.6">
      <c r="A1516" s="76">
        <v>450175</v>
      </c>
      <c r="B1516" s="87">
        <v>0.51941000000000004</v>
      </c>
      <c r="C1516" s="88">
        <v>42.2438</v>
      </c>
      <c r="D1516" s="88">
        <v>0.31511</v>
      </c>
      <c r="E1516" s="76">
        <v>0</v>
      </c>
      <c r="F1516" s="89" cm="1">
        <f t="array" ref="F1516">5*LOG10(((c_light/1000/H_0_SAM)*(B1516/60)*SUMPRODUCT($J$2:$AD$2,1/SQRT(Omega_m*(1+$J$1:$AD$1*B1516)^3+Omega_L)))*(1+B1516)*100000)</f>
        <v>42.433448346476901</v>
      </c>
      <c r="G1516" s="89">
        <f t="shared" si="23"/>
        <v>0.18964834647690054</v>
      </c>
    </row>
    <row r="1517" spans="1:7" x14ac:dyDescent="0.6">
      <c r="A1517" s="76" t="s">
        <v>1428</v>
      </c>
      <c r="B1517" s="87">
        <v>0.51968000000000003</v>
      </c>
      <c r="C1517" s="88">
        <v>42.290500000000002</v>
      </c>
      <c r="D1517" s="88">
        <v>0.19645000000000001</v>
      </c>
      <c r="E1517" s="76">
        <v>0</v>
      </c>
      <c r="F1517" s="89" cm="1">
        <f t="array" ref="F1517">5*LOG10(((c_light/1000/H_0_SAM)*(B1517/60)*SUMPRODUCT($J$2:$AD$2,1/SQRT(Omega_m*(1+$J$1:$AD$1*B1517)^3+Omega_L)))*(1+B1517)*100000)</f>
        <v>42.43479951007383</v>
      </c>
      <c r="G1517" s="89">
        <f t="shared" si="23"/>
        <v>0.14429951007382869</v>
      </c>
    </row>
    <row r="1518" spans="1:7" x14ac:dyDescent="0.6">
      <c r="A1518" s="76" t="s">
        <v>1429</v>
      </c>
      <c r="B1518" s="87">
        <v>0.52271000000000001</v>
      </c>
      <c r="C1518" s="88">
        <v>42.349600000000002</v>
      </c>
      <c r="D1518" s="88">
        <v>0.27393000000000001</v>
      </c>
      <c r="E1518" s="76">
        <v>0</v>
      </c>
      <c r="F1518" s="89" cm="1">
        <f t="array" ref="F1518">5*LOG10(((c_light/1000/H_0_SAM)*(B1518/60)*SUMPRODUCT($J$2:$AD$2,1/SQRT(Omega_m*(1+$J$1:$AD$1*B1518)^3+Omega_L)))*(1+B1518)*100000)</f>
        <v>42.449917650611127</v>
      </c>
      <c r="G1518" s="89">
        <f t="shared" si="23"/>
        <v>0.10031765061112452</v>
      </c>
    </row>
    <row r="1519" spans="1:7" x14ac:dyDescent="0.6">
      <c r="A1519" s="76">
        <v>1295921</v>
      </c>
      <c r="B1519" s="87">
        <v>0.52400000000000002</v>
      </c>
      <c r="C1519" s="88">
        <v>42.177399999999999</v>
      </c>
      <c r="D1519" s="88">
        <v>0.36924000000000001</v>
      </c>
      <c r="E1519" s="76">
        <v>0</v>
      </c>
      <c r="F1519" s="89" cm="1">
        <f t="array" ref="F1519">5*LOG10(((c_light/1000/H_0_SAM)*(B1519/60)*SUMPRODUCT($J$2:$AD$2,1/SQRT(Omega_m*(1+$J$1:$AD$1*B1519)^3+Omega_L)))*(1+B1519)*100000)</f>
        <v>42.456329189980131</v>
      </c>
      <c r="G1519" s="89">
        <f t="shared" si="23"/>
        <v>0.27892918998013272</v>
      </c>
    </row>
    <row r="1520" spans="1:7" x14ac:dyDescent="0.6">
      <c r="A1520" s="76">
        <v>1322229</v>
      </c>
      <c r="B1520" s="87">
        <v>0.5262</v>
      </c>
      <c r="C1520" s="88">
        <v>42.170200000000001</v>
      </c>
      <c r="D1520" s="88">
        <v>0.22327</v>
      </c>
      <c r="E1520" s="76">
        <v>0</v>
      </c>
      <c r="F1520" s="89" cm="1">
        <f t="array" ref="F1520">5*LOG10(((c_light/1000/H_0_SAM)*(B1520/60)*SUMPRODUCT($J$2:$AD$2,1/SQRT(Omega_m*(1+$J$1:$AD$1*B1520)^3+Omega_L)))*(1+B1520)*100000)</f>
        <v>42.467229562990163</v>
      </c>
      <c r="G1520" s="89">
        <f t="shared" si="23"/>
        <v>0.29702956299016137</v>
      </c>
    </row>
    <row r="1521" spans="1:7" x14ac:dyDescent="0.6">
      <c r="A1521" s="76">
        <v>50005</v>
      </c>
      <c r="B1521" s="87">
        <v>0.52859</v>
      </c>
      <c r="C1521" s="88">
        <v>42.085500000000003</v>
      </c>
      <c r="D1521" s="88">
        <v>0.18883</v>
      </c>
      <c r="E1521" s="76">
        <v>0</v>
      </c>
      <c r="F1521" s="89" cm="1">
        <f t="array" ref="F1521">5*LOG10(((c_light/1000/H_0_SAM)*(B1521/60)*SUMPRODUCT($J$2:$AD$2,1/SQRT(Omega_m*(1+$J$1:$AD$1*B1521)^3+Omega_L)))*(1+B1521)*100000)</f>
        <v>42.479023042584565</v>
      </c>
      <c r="G1521" s="89">
        <f t="shared" si="23"/>
        <v>0.39352304258456172</v>
      </c>
    </row>
    <row r="1522" spans="1:7" x14ac:dyDescent="0.6">
      <c r="A1522" s="76">
        <v>1322979</v>
      </c>
      <c r="B1522" s="87">
        <v>0.52937000000000001</v>
      </c>
      <c r="C1522" s="88">
        <v>42.2913</v>
      </c>
      <c r="D1522" s="88">
        <v>0.14102000000000001</v>
      </c>
      <c r="E1522" s="76">
        <v>0</v>
      </c>
      <c r="F1522" s="89" cm="1">
        <f t="array" ref="F1522">5*LOG10(((c_light/1000/H_0_SAM)*(B1522/60)*SUMPRODUCT($J$2:$AD$2,1/SQRT(Omega_m*(1+$J$1:$AD$1*B1522)^3+Omega_L)))*(1+B1522)*100000)</f>
        <v>42.482861145671372</v>
      </c>
      <c r="G1522" s="89">
        <f t="shared" si="23"/>
        <v>0.19156114567137195</v>
      </c>
    </row>
    <row r="1523" spans="1:7" x14ac:dyDescent="0.6">
      <c r="A1523" s="76">
        <v>330106</v>
      </c>
      <c r="B1523" s="87">
        <v>0.53098999999999996</v>
      </c>
      <c r="C1523" s="88">
        <v>41.880200000000002</v>
      </c>
      <c r="D1523" s="88">
        <v>0.23430999999999999</v>
      </c>
      <c r="E1523" s="76">
        <v>0</v>
      </c>
      <c r="F1523" s="89" cm="1">
        <f t="array" ref="F1523">5*LOG10(((c_light/1000/H_0_SAM)*(B1523/60)*SUMPRODUCT($J$2:$AD$2,1/SQRT(Omega_m*(1+$J$1:$AD$1*B1523)^3+Omega_L)))*(1+B1523)*100000)</f>
        <v>42.490815680890734</v>
      </c>
      <c r="G1523" s="89">
        <f t="shared" si="23"/>
        <v>0.61061568089073148</v>
      </c>
    </row>
    <row r="1524" spans="1:7" x14ac:dyDescent="0.6">
      <c r="A1524" s="76">
        <v>160066</v>
      </c>
      <c r="B1524" s="87">
        <v>0.53110999999999997</v>
      </c>
      <c r="C1524" s="88">
        <v>42.510899999999999</v>
      </c>
      <c r="D1524" s="88">
        <v>0.28927000000000003</v>
      </c>
      <c r="E1524" s="76">
        <v>0</v>
      </c>
      <c r="F1524" s="89" cm="1">
        <f t="array" ref="F1524">5*LOG10(((c_light/1000/H_0_SAM)*(B1524/60)*SUMPRODUCT($J$2:$AD$2,1/SQRT(Omega_m*(1+$J$1:$AD$1*B1524)^3+Omega_L)))*(1+B1524)*100000)</f>
        <v>42.491404000308407</v>
      </c>
      <c r="G1524" s="89">
        <f t="shared" si="23"/>
        <v>-1.9495999691592658E-2</v>
      </c>
    </row>
    <row r="1525" spans="1:7" x14ac:dyDescent="0.6">
      <c r="A1525" s="76">
        <v>1338471</v>
      </c>
      <c r="B1525" s="87">
        <v>0.53124000000000005</v>
      </c>
      <c r="C1525" s="88">
        <v>42.525300000000001</v>
      </c>
      <c r="D1525" s="88">
        <v>0.38092999999999999</v>
      </c>
      <c r="E1525" s="76">
        <v>0</v>
      </c>
      <c r="F1525" s="89" cm="1">
        <f t="array" ref="F1525">5*LOG10(((c_light/1000/H_0_SAM)*(B1525/60)*SUMPRODUCT($J$2:$AD$2,1/SQRT(Omega_m*(1+$J$1:$AD$1*B1525)^3+Omega_L)))*(1+B1525)*100000)</f>
        <v>42.492041205725883</v>
      </c>
      <c r="G1525" s="89">
        <f t="shared" si="23"/>
        <v>-3.3258794274118486E-2</v>
      </c>
    </row>
    <row r="1526" spans="1:7" x14ac:dyDescent="0.6">
      <c r="A1526" s="76">
        <v>1337703</v>
      </c>
      <c r="B1526" s="87">
        <v>0.53225</v>
      </c>
      <c r="C1526" s="88">
        <v>41.982100000000003</v>
      </c>
      <c r="D1526" s="88">
        <v>0.22198000000000001</v>
      </c>
      <c r="E1526" s="76">
        <v>0</v>
      </c>
      <c r="F1526" s="89" cm="1">
        <f t="array" ref="F1526">5*LOG10(((c_light/1000/H_0_SAM)*(B1526/60)*SUMPRODUCT($J$2:$AD$2,1/SQRT(Omega_m*(1+$J$1:$AD$1*B1526)^3+Omega_L)))*(1+B1526)*100000)</f>
        <v>42.496986827259839</v>
      </c>
      <c r="G1526" s="89">
        <f t="shared" si="23"/>
        <v>0.51488682725983637</v>
      </c>
    </row>
    <row r="1527" spans="1:7" x14ac:dyDescent="0.6">
      <c r="A1527" s="76" t="s">
        <v>1430</v>
      </c>
      <c r="B1527" s="87">
        <v>0.53271000000000002</v>
      </c>
      <c r="C1527" s="88">
        <v>42.247199999999999</v>
      </c>
      <c r="D1527" s="88">
        <v>0.29435</v>
      </c>
      <c r="E1527" s="76">
        <v>0</v>
      </c>
      <c r="F1527" s="89" cm="1">
        <f t="array" ref="F1527">5*LOG10(((c_light/1000/H_0_SAM)*(B1527/60)*SUMPRODUCT($J$2:$AD$2,1/SQRT(Omega_m*(1+$J$1:$AD$1*B1527)^3+Omega_L)))*(1+B1527)*100000)</f>
        <v>42.49923637265298</v>
      </c>
      <c r="G1527" s="89">
        <f t="shared" si="23"/>
        <v>0.25203637265298084</v>
      </c>
    </row>
    <row r="1528" spans="1:7" x14ac:dyDescent="0.6">
      <c r="A1528" s="76" t="s">
        <v>1431</v>
      </c>
      <c r="B1528" s="87">
        <v>0.53371999999999997</v>
      </c>
      <c r="C1528" s="88">
        <v>42.164900000000003</v>
      </c>
      <c r="D1528" s="88">
        <v>0.27382000000000001</v>
      </c>
      <c r="E1528" s="76">
        <v>0</v>
      </c>
      <c r="F1528" s="89" cm="1">
        <f t="array" ref="F1528">5*LOG10(((c_light/1000/H_0_SAM)*(B1528/60)*SUMPRODUCT($J$2:$AD$2,1/SQRT(Omega_m*(1+$J$1:$AD$1*B1528)^3+Omega_L)))*(1+B1528)*100000)</f>
        <v>42.50416920820971</v>
      </c>
      <c r="G1528" s="89">
        <f t="shared" si="23"/>
        <v>0.33926920820970707</v>
      </c>
    </row>
    <row r="1529" spans="1:7" x14ac:dyDescent="0.6">
      <c r="A1529" s="76" t="s">
        <v>1432</v>
      </c>
      <c r="B1529" s="87">
        <v>0.53434999999999999</v>
      </c>
      <c r="C1529" s="88">
        <v>42.143300000000004</v>
      </c>
      <c r="D1529" s="88">
        <v>0.22528999999999999</v>
      </c>
      <c r="E1529" s="76">
        <v>0</v>
      </c>
      <c r="F1529" s="89" cm="1">
        <f t="array" ref="F1529">5*LOG10(((c_light/1000/H_0_SAM)*(B1529/60)*SUMPRODUCT($J$2:$AD$2,1/SQRT(Omega_m*(1+$J$1:$AD$1*B1529)^3+Omega_L)))*(1+B1529)*100000)</f>
        <v>42.507241693978663</v>
      </c>
      <c r="G1529" s="89">
        <f t="shared" si="23"/>
        <v>0.36394169397865994</v>
      </c>
    </row>
    <row r="1530" spans="1:7" x14ac:dyDescent="0.6">
      <c r="A1530" s="76" t="s">
        <v>1433</v>
      </c>
      <c r="B1530" s="87">
        <v>0.53534000000000004</v>
      </c>
      <c r="C1530" s="88">
        <v>42.320500000000003</v>
      </c>
      <c r="D1530" s="88">
        <v>0.20469999999999999</v>
      </c>
      <c r="E1530" s="76">
        <v>0</v>
      </c>
      <c r="F1530" s="89" cm="1">
        <f t="array" ref="F1530">5*LOG10(((c_light/1000/H_0_SAM)*(B1530/60)*SUMPRODUCT($J$2:$AD$2,1/SQRT(Omega_m*(1+$J$1:$AD$1*B1530)^3+Omega_L)))*(1+B1530)*100000)</f>
        <v>42.512063028259853</v>
      </c>
      <c r="G1530" s="89">
        <f t="shared" si="23"/>
        <v>0.19156302825984994</v>
      </c>
    </row>
    <row r="1531" spans="1:7" x14ac:dyDescent="0.6">
      <c r="A1531" s="76" t="s">
        <v>1434</v>
      </c>
      <c r="B1531" s="87">
        <v>0.53571999999999997</v>
      </c>
      <c r="C1531" s="88">
        <v>42.2134</v>
      </c>
      <c r="D1531" s="88">
        <v>0.20951</v>
      </c>
      <c r="E1531" s="76">
        <v>0</v>
      </c>
      <c r="F1531" s="89" cm="1">
        <f t="array" ref="F1531">5*LOG10(((c_light/1000/H_0_SAM)*(B1531/60)*SUMPRODUCT($J$2:$AD$2,1/SQRT(Omega_m*(1+$J$1:$AD$1*B1531)^3+Omega_L)))*(1+B1531)*100000)</f>
        <v>42.513911420601325</v>
      </c>
      <c r="G1531" s="89">
        <f t="shared" si="23"/>
        <v>0.30051142060132463</v>
      </c>
    </row>
    <row r="1532" spans="1:7" x14ac:dyDescent="0.6">
      <c r="A1532" s="76">
        <v>1289656</v>
      </c>
      <c r="B1532" s="87">
        <v>0.53942000000000001</v>
      </c>
      <c r="C1532" s="88">
        <v>42.333799999999997</v>
      </c>
      <c r="D1532" s="88">
        <v>0.24448</v>
      </c>
      <c r="E1532" s="76">
        <v>0</v>
      </c>
      <c r="F1532" s="89" cm="1">
        <f t="array" ref="F1532">5*LOG10(((c_light/1000/H_0_SAM)*(B1532/60)*SUMPRODUCT($J$2:$AD$2,1/SQRT(Omega_m*(1+$J$1:$AD$1*B1532)^3+Omega_L)))*(1+B1532)*100000)</f>
        <v>42.531844906667267</v>
      </c>
      <c r="G1532" s="89">
        <f t="shared" si="23"/>
        <v>0.19804490666727048</v>
      </c>
    </row>
    <row r="1533" spans="1:7" x14ac:dyDescent="0.6">
      <c r="A1533" s="76">
        <v>110426</v>
      </c>
      <c r="B1533" s="87">
        <v>0.54096999999999995</v>
      </c>
      <c r="C1533" s="88">
        <v>42.2791</v>
      </c>
      <c r="D1533" s="88">
        <v>0.23344999999999999</v>
      </c>
      <c r="E1533" s="76">
        <v>0</v>
      </c>
      <c r="F1533" s="89" cm="1">
        <f t="array" ref="F1533">5*LOG10(((c_light/1000/H_0_SAM)*(B1533/60)*SUMPRODUCT($J$2:$AD$2,1/SQRT(Omega_m*(1+$J$1:$AD$1*B1533)^3+Omega_L)))*(1+B1533)*100000)</f>
        <v>42.539323299280191</v>
      </c>
      <c r="G1533" s="89">
        <f t="shared" si="23"/>
        <v>0.26022329928019161</v>
      </c>
    </row>
    <row r="1534" spans="1:7" x14ac:dyDescent="0.6">
      <c r="A1534" s="76">
        <v>1324542</v>
      </c>
      <c r="B1534" s="87">
        <v>0.54152</v>
      </c>
      <c r="C1534" s="88">
        <v>42.53</v>
      </c>
      <c r="D1534" s="88">
        <v>0.24246999999999999</v>
      </c>
      <c r="E1534" s="76">
        <v>0</v>
      </c>
      <c r="F1534" s="89" cm="1">
        <f t="array" ref="F1534">5*LOG10(((c_light/1000/H_0_SAM)*(B1534/60)*SUMPRODUCT($J$2:$AD$2,1/SQRT(Omega_m*(1+$J$1:$AD$1*B1534)^3+Omega_L)))*(1+B1534)*100000)</f>
        <v>42.541972088992921</v>
      </c>
      <c r="G1534" s="89">
        <f t="shared" si="23"/>
        <v>1.1972088992919794E-2</v>
      </c>
    </row>
    <row r="1535" spans="1:7" x14ac:dyDescent="0.6">
      <c r="A1535" s="76">
        <v>520041</v>
      </c>
      <c r="B1535" s="87">
        <v>0.54544999999999999</v>
      </c>
      <c r="C1535" s="88">
        <v>42.563299999999998</v>
      </c>
      <c r="D1535" s="88">
        <v>0.19139999999999999</v>
      </c>
      <c r="E1535" s="76">
        <v>0</v>
      </c>
      <c r="F1535" s="89" cm="1">
        <f t="array" ref="F1535">5*LOG10(((c_light/1000/H_0_SAM)*(B1535/60)*SUMPRODUCT($J$2:$AD$2,1/SQRT(Omega_m*(1+$J$1:$AD$1*B1535)^3+Omega_L)))*(1+B1535)*100000)</f>
        <v>42.560825726392395</v>
      </c>
      <c r="G1535" s="89">
        <f t="shared" si="23"/>
        <v>-2.4742736076035499E-3</v>
      </c>
    </row>
    <row r="1536" spans="1:7" x14ac:dyDescent="0.6">
      <c r="A1536" s="76" t="s">
        <v>1435</v>
      </c>
      <c r="B1536" s="87">
        <v>0.54834000000000005</v>
      </c>
      <c r="C1536" s="88">
        <v>42.023499999999999</v>
      </c>
      <c r="D1536" s="88">
        <v>0.36321999999999999</v>
      </c>
      <c r="E1536" s="76">
        <v>0</v>
      </c>
      <c r="F1536" s="89" cm="1">
        <f t="array" ref="F1536">5*LOG10(((c_light/1000/H_0_SAM)*(B1536/60)*SUMPRODUCT($J$2:$AD$2,1/SQRT(Omega_m*(1+$J$1:$AD$1*B1536)^3+Omega_L)))*(1+B1536)*100000)</f>
        <v>42.574608885986024</v>
      </c>
      <c r="G1536" s="89">
        <f t="shared" si="23"/>
        <v>0.55110888598602514</v>
      </c>
    </row>
    <row r="1537" spans="1:7" x14ac:dyDescent="0.6">
      <c r="A1537" s="76">
        <v>1306980</v>
      </c>
      <c r="B1537" s="87">
        <v>0.54881000000000002</v>
      </c>
      <c r="C1537" s="88">
        <v>42.169499999999999</v>
      </c>
      <c r="D1537" s="88">
        <v>0.37855</v>
      </c>
      <c r="E1537" s="76">
        <v>0</v>
      </c>
      <c r="F1537" s="89" cm="1">
        <f t="array" ref="F1537">5*LOG10(((c_light/1000/H_0_SAM)*(B1537/60)*SUMPRODUCT($J$2:$AD$2,1/SQRT(Omega_m*(1+$J$1:$AD$1*B1537)^3+Omega_L)))*(1+B1537)*100000)</f>
        <v>42.576843984478678</v>
      </c>
      <c r="G1537" s="89">
        <f t="shared" si="23"/>
        <v>0.40734398447867903</v>
      </c>
    </row>
    <row r="1538" spans="1:7" x14ac:dyDescent="0.6">
      <c r="A1538" s="76">
        <v>50201</v>
      </c>
      <c r="B1538" s="87">
        <v>0.55020999999999998</v>
      </c>
      <c r="C1538" s="88">
        <v>42.325299999999999</v>
      </c>
      <c r="D1538" s="88">
        <v>0.19588</v>
      </c>
      <c r="E1538" s="76">
        <v>0</v>
      </c>
      <c r="F1538" s="89" cm="1">
        <f t="array" ref="F1538">5*LOG10(((c_light/1000/H_0_SAM)*(B1538/60)*SUMPRODUCT($J$2:$AD$2,1/SQRT(Omega_m*(1+$J$1:$AD$1*B1538)^3+Omega_L)))*(1+B1538)*100000)</f>
        <v>42.58349108413352</v>
      </c>
      <c r="G1538" s="89">
        <f t="shared" si="23"/>
        <v>0.25819108413352154</v>
      </c>
    </row>
    <row r="1539" spans="1:7" x14ac:dyDescent="0.6">
      <c r="A1539" s="76" t="s">
        <v>1436</v>
      </c>
      <c r="B1539" s="87">
        <v>0.55032999999999999</v>
      </c>
      <c r="C1539" s="88">
        <v>42.372799999999998</v>
      </c>
      <c r="D1539" s="88">
        <v>0.20846000000000001</v>
      </c>
      <c r="E1539" s="76">
        <v>0</v>
      </c>
      <c r="F1539" s="89" cm="1">
        <f t="array" ref="F1539">5*LOG10(((c_light/1000/H_0_SAM)*(B1539/60)*SUMPRODUCT($J$2:$AD$2,1/SQRT(Omega_m*(1+$J$1:$AD$1*B1539)^3+Omega_L)))*(1+B1539)*100000)</f>
        <v>42.584060095867216</v>
      </c>
      <c r="G1539" s="89">
        <f t="shared" si="23"/>
        <v>0.2112600958672175</v>
      </c>
    </row>
    <row r="1540" spans="1:7" x14ac:dyDescent="0.6">
      <c r="A1540" s="76">
        <v>1339450</v>
      </c>
      <c r="B1540" s="87">
        <v>0.55045999999999995</v>
      </c>
      <c r="C1540" s="88">
        <v>42.410400000000003</v>
      </c>
      <c r="D1540" s="88">
        <v>0.37625999999999998</v>
      </c>
      <c r="E1540" s="76">
        <v>0</v>
      </c>
      <c r="F1540" s="89" cm="1">
        <f t="array" ref="F1540">5*LOG10(((c_light/1000/H_0_SAM)*(B1540/60)*SUMPRODUCT($J$2:$AD$2,1/SQRT(Omega_m*(1+$J$1:$AD$1*B1540)^3+Omega_L)))*(1+B1540)*100000)</f>
        <v>42.584676393698999</v>
      </c>
      <c r="G1540" s="89">
        <f t="shared" si="23"/>
        <v>0.17427639369899595</v>
      </c>
    </row>
    <row r="1541" spans="1:7" x14ac:dyDescent="0.6">
      <c r="A1541" s="76" t="s">
        <v>1437</v>
      </c>
      <c r="B1541" s="87">
        <v>0.55266999999999999</v>
      </c>
      <c r="C1541" s="88">
        <v>42.193800000000003</v>
      </c>
      <c r="D1541" s="88">
        <v>0.24415000000000001</v>
      </c>
      <c r="E1541" s="76">
        <v>0</v>
      </c>
      <c r="F1541" s="89" cm="1">
        <f t="array" ref="F1541">5*LOG10(((c_light/1000/H_0_SAM)*(B1541/60)*SUMPRODUCT($J$2:$AD$2,1/SQRT(Omega_m*(1+$J$1:$AD$1*B1541)^3+Omega_L)))*(1+B1541)*100000)</f>
        <v>42.595132583489161</v>
      </c>
      <c r="G1541" s="89">
        <f t="shared" si="23"/>
        <v>0.40133258348915746</v>
      </c>
    </row>
    <row r="1542" spans="1:7" x14ac:dyDescent="0.6">
      <c r="A1542" s="76" t="s">
        <v>1438</v>
      </c>
      <c r="B1542" s="87">
        <v>0.55374999999999996</v>
      </c>
      <c r="C1542" s="88">
        <v>42.49</v>
      </c>
      <c r="D1542" s="88">
        <v>0.20713000000000001</v>
      </c>
      <c r="E1542" s="76">
        <v>0</v>
      </c>
      <c r="F1542" s="89" cm="1">
        <f t="array" ref="F1542">5*LOG10(((c_light/1000/H_0_SAM)*(B1542/60)*SUMPRODUCT($J$2:$AD$2,1/SQRT(Omega_m*(1+$J$1:$AD$1*B1542)^3+Omega_L)))*(1+B1542)*100000)</f>
        <v>42.600228109335568</v>
      </c>
      <c r="G1542" s="89">
        <f t="shared" ref="G1542:G1605" si="24">F1542-C1542</f>
        <v>0.1102281093355657</v>
      </c>
    </row>
    <row r="1543" spans="1:7" x14ac:dyDescent="0.6">
      <c r="A1543" s="76">
        <v>1337117</v>
      </c>
      <c r="B1543" s="87">
        <v>0.55384</v>
      </c>
      <c r="C1543" s="88">
        <v>42.082700000000003</v>
      </c>
      <c r="D1543" s="88">
        <v>0.17741000000000001</v>
      </c>
      <c r="E1543" s="76">
        <v>0</v>
      </c>
      <c r="F1543" s="89" cm="1">
        <f t="array" ref="F1543">5*LOG10(((c_light/1000/H_0_SAM)*(B1543/60)*SUMPRODUCT($J$2:$AD$2,1/SQRT(Omega_m*(1+$J$1:$AD$1*B1543)^3+Omega_L)))*(1+B1543)*100000)</f>
        <v>42.600652314725878</v>
      </c>
      <c r="G1543" s="89">
        <f t="shared" si="24"/>
        <v>0.51795231472587488</v>
      </c>
    </row>
    <row r="1544" spans="1:7" x14ac:dyDescent="0.6">
      <c r="A1544" s="76" t="s">
        <v>1439</v>
      </c>
      <c r="B1544" s="87">
        <v>0.55781999999999998</v>
      </c>
      <c r="C1544" s="88">
        <v>42.438899999999997</v>
      </c>
      <c r="D1544" s="88">
        <v>0.19519</v>
      </c>
      <c r="E1544" s="76">
        <v>0</v>
      </c>
      <c r="F1544" s="89" cm="1">
        <f t="array" ref="F1544">5*LOG10(((c_light/1000/H_0_SAM)*(B1544/60)*SUMPRODUCT($J$2:$AD$2,1/SQRT(Omega_m*(1+$J$1:$AD$1*B1544)^3+Omega_L)))*(1+B1544)*100000)</f>
        <v>42.619347113908795</v>
      </c>
      <c r="G1544" s="89">
        <f t="shared" si="24"/>
        <v>0.18044711390879797</v>
      </c>
    </row>
    <row r="1545" spans="1:7" x14ac:dyDescent="0.6">
      <c r="A1545" s="76" t="s">
        <v>1440</v>
      </c>
      <c r="B1545" s="87">
        <v>0.55881999999999998</v>
      </c>
      <c r="C1545" s="88">
        <v>42.7331</v>
      </c>
      <c r="D1545" s="88">
        <v>0.38329999999999997</v>
      </c>
      <c r="E1545" s="76">
        <v>0</v>
      </c>
      <c r="F1545" s="89" cm="1">
        <f t="array" ref="F1545">5*LOG10(((c_light/1000/H_0_SAM)*(B1545/60)*SUMPRODUCT($J$2:$AD$2,1/SQRT(Omega_m*(1+$J$1:$AD$1*B1545)^3+Omega_L)))*(1+B1545)*100000)</f>
        <v>42.624024581005877</v>
      </c>
      <c r="G1545" s="89">
        <f t="shared" si="24"/>
        <v>-0.10907541899412365</v>
      </c>
    </row>
    <row r="1546" spans="1:7" x14ac:dyDescent="0.6">
      <c r="A1546" s="76" t="s">
        <v>1441</v>
      </c>
      <c r="B1546" s="87">
        <v>0.55881999999999998</v>
      </c>
      <c r="C1546" s="88">
        <v>42.297499999999999</v>
      </c>
      <c r="D1546" s="88">
        <v>0.35621999999999998</v>
      </c>
      <c r="E1546" s="76">
        <v>0</v>
      </c>
      <c r="F1546" s="89" cm="1">
        <f t="array" ref="F1546">5*LOG10(((c_light/1000/H_0_SAM)*(B1546/60)*SUMPRODUCT($J$2:$AD$2,1/SQRT(Omega_m*(1+$J$1:$AD$1*B1546)^3+Omega_L)))*(1+B1546)*100000)</f>
        <v>42.624024581005877</v>
      </c>
      <c r="G1546" s="89">
        <f t="shared" si="24"/>
        <v>0.32652458100587722</v>
      </c>
    </row>
    <row r="1547" spans="1:7" x14ac:dyDescent="0.6">
      <c r="A1547" s="76">
        <v>1289555</v>
      </c>
      <c r="B1547" s="87">
        <v>0.56181000000000003</v>
      </c>
      <c r="C1547" s="88">
        <v>42.293700000000001</v>
      </c>
      <c r="D1547" s="88">
        <v>0.22783</v>
      </c>
      <c r="E1547" s="76">
        <v>0</v>
      </c>
      <c r="F1547" s="89" cm="1">
        <f t="array" ref="F1547">5*LOG10(((c_light/1000/H_0_SAM)*(B1547/60)*SUMPRODUCT($J$2:$AD$2,1/SQRT(Omega_m*(1+$J$1:$AD$1*B1547)^3+Omega_L)))*(1+B1547)*100000)</f>
        <v>42.63796338950371</v>
      </c>
      <c r="G1547" s="89">
        <f t="shared" si="24"/>
        <v>0.34426338950370905</v>
      </c>
    </row>
    <row r="1548" spans="1:7" x14ac:dyDescent="0.6">
      <c r="A1548" s="76">
        <v>1303952</v>
      </c>
      <c r="B1548" s="87">
        <v>0.56269000000000002</v>
      </c>
      <c r="C1548" s="88">
        <v>42.601599999999998</v>
      </c>
      <c r="D1548" s="88">
        <v>0.26523999999999998</v>
      </c>
      <c r="E1548" s="76">
        <v>0</v>
      </c>
      <c r="F1548" s="89" cm="1">
        <f t="array" ref="F1548">5*LOG10(((c_light/1000/H_0_SAM)*(B1548/60)*SUMPRODUCT($J$2:$AD$2,1/SQRT(Omega_m*(1+$J$1:$AD$1*B1548)^3+Omega_L)))*(1+B1548)*100000)</f>
        <v>42.642052488872594</v>
      </c>
      <c r="G1548" s="89">
        <f t="shared" si="24"/>
        <v>4.0452488872595893E-2</v>
      </c>
    </row>
    <row r="1549" spans="1:7" x14ac:dyDescent="0.6">
      <c r="A1549" s="76" t="s">
        <v>1442</v>
      </c>
      <c r="B1549" s="87">
        <v>0.56283000000000005</v>
      </c>
      <c r="C1549" s="88">
        <v>42.429600000000001</v>
      </c>
      <c r="D1549" s="88">
        <v>0.23471</v>
      </c>
      <c r="E1549" s="76">
        <v>0</v>
      </c>
      <c r="F1549" s="89" cm="1">
        <f t="array" ref="F1549">5*LOG10(((c_light/1000/H_0_SAM)*(B1549/60)*SUMPRODUCT($J$2:$AD$2,1/SQRT(Omega_m*(1+$J$1:$AD$1*B1549)^3+Omega_L)))*(1+B1549)*100000)</f>
        <v>42.642702472528242</v>
      </c>
      <c r="G1549" s="89">
        <f t="shared" si="24"/>
        <v>0.21310247252824155</v>
      </c>
    </row>
    <row r="1550" spans="1:7" x14ac:dyDescent="0.6">
      <c r="A1550" s="76">
        <v>1285317</v>
      </c>
      <c r="B1550" s="87">
        <v>0.56437000000000004</v>
      </c>
      <c r="C1550" s="88">
        <v>42.392800000000001</v>
      </c>
      <c r="D1550" s="88">
        <v>0.22111</v>
      </c>
      <c r="E1550" s="76">
        <v>0</v>
      </c>
      <c r="F1550" s="89" cm="1">
        <f t="array" ref="F1550">5*LOG10(((c_light/1000/H_0_SAM)*(B1550/60)*SUMPRODUCT($J$2:$AD$2,1/SQRT(Omega_m*(1+$J$1:$AD$1*B1550)^3+Omega_L)))*(1+B1550)*100000)</f>
        <v>42.64984226813808</v>
      </c>
      <c r="G1550" s="89">
        <f t="shared" si="24"/>
        <v>0.25704226813807907</v>
      </c>
    </row>
    <row r="1551" spans="1:7" x14ac:dyDescent="0.6">
      <c r="A1551" s="76">
        <v>1330903</v>
      </c>
      <c r="B1551" s="87">
        <v>0.56437000000000004</v>
      </c>
      <c r="C1551" s="88">
        <v>42.488100000000003</v>
      </c>
      <c r="D1551" s="88">
        <v>0.20759</v>
      </c>
      <c r="E1551" s="76">
        <v>0</v>
      </c>
      <c r="F1551" s="89" cm="1">
        <f t="array" ref="F1551">5*LOG10(((c_light/1000/H_0_SAM)*(B1551/60)*SUMPRODUCT($J$2:$AD$2,1/SQRT(Omega_m*(1+$J$1:$AD$1*B1551)^3+Omega_L)))*(1+B1551)*100000)</f>
        <v>42.64984226813808</v>
      </c>
      <c r="G1551" s="89">
        <f t="shared" si="24"/>
        <v>0.16174226813807735</v>
      </c>
    </row>
    <row r="1552" spans="1:7" x14ac:dyDescent="0.6">
      <c r="A1552" s="76">
        <v>1338278</v>
      </c>
      <c r="B1552" s="87">
        <v>0.56437000000000004</v>
      </c>
      <c r="C1552" s="88">
        <v>42.396900000000002</v>
      </c>
      <c r="D1552" s="88">
        <v>0.29651</v>
      </c>
      <c r="E1552" s="76">
        <v>0</v>
      </c>
      <c r="F1552" s="89" cm="1">
        <f t="array" ref="F1552">5*LOG10(((c_light/1000/H_0_SAM)*(B1552/60)*SUMPRODUCT($J$2:$AD$2,1/SQRT(Omega_m*(1+$J$1:$AD$1*B1552)^3+Omega_L)))*(1+B1552)*100000)</f>
        <v>42.64984226813808</v>
      </c>
      <c r="G1552" s="89">
        <f t="shared" si="24"/>
        <v>0.25294226813807796</v>
      </c>
    </row>
    <row r="1553" spans="1:7" x14ac:dyDescent="0.6">
      <c r="A1553" s="76" t="s">
        <v>1443</v>
      </c>
      <c r="B1553" s="87">
        <v>0.56481000000000003</v>
      </c>
      <c r="C1553" s="88">
        <v>42.487299999999998</v>
      </c>
      <c r="D1553" s="88">
        <v>0.19275</v>
      </c>
      <c r="E1553" s="76">
        <v>0</v>
      </c>
      <c r="F1553" s="89" cm="1">
        <f t="array" ref="F1553">5*LOG10(((c_light/1000/H_0_SAM)*(B1553/60)*SUMPRODUCT($J$2:$AD$2,1/SQRT(Omega_m*(1+$J$1:$AD$1*B1553)^3+Omega_L)))*(1+B1553)*100000)</f>
        <v>42.651878842032957</v>
      </c>
      <c r="G1553" s="89">
        <f t="shared" si="24"/>
        <v>0.16457884203295947</v>
      </c>
    </row>
    <row r="1554" spans="1:7" x14ac:dyDescent="0.6">
      <c r="A1554" s="76">
        <v>1317454</v>
      </c>
      <c r="B1554" s="87">
        <v>0.56879000000000002</v>
      </c>
      <c r="C1554" s="88">
        <v>42.240699999999997</v>
      </c>
      <c r="D1554" s="88">
        <v>0.26234000000000002</v>
      </c>
      <c r="E1554" s="76">
        <v>0</v>
      </c>
      <c r="F1554" s="89" cm="1">
        <f t="array" ref="F1554">5*LOG10(((c_light/1000/H_0_SAM)*(B1554/60)*SUMPRODUCT($J$2:$AD$2,1/SQRT(Omega_m*(1+$J$1:$AD$1*B1554)^3+Omega_L)))*(1+B1554)*100000)</f>
        <v>42.670233022895339</v>
      </c>
      <c r="G1554" s="89">
        <f t="shared" si="24"/>
        <v>0.42953302289534179</v>
      </c>
    </row>
    <row r="1555" spans="1:7" x14ac:dyDescent="0.6">
      <c r="A1555" s="76">
        <v>1306785</v>
      </c>
      <c r="B1555" s="87">
        <v>0.57542000000000004</v>
      </c>
      <c r="C1555" s="88">
        <v>42.191200000000002</v>
      </c>
      <c r="D1555" s="88">
        <v>0.45286999999999999</v>
      </c>
      <c r="E1555" s="76">
        <v>0</v>
      </c>
      <c r="F1555" s="89" cm="1">
        <f t="array" ref="F1555">5*LOG10(((c_light/1000/H_0_SAM)*(B1555/60)*SUMPRODUCT($J$2:$AD$2,1/SQRT(Omega_m*(1+$J$1:$AD$1*B1555)^3+Omega_L)))*(1+B1555)*100000)</f>
        <v>42.700541070542705</v>
      </c>
      <c r="G1555" s="89">
        <f t="shared" si="24"/>
        <v>0.50934107054270328</v>
      </c>
    </row>
    <row r="1556" spans="1:7" x14ac:dyDescent="0.6">
      <c r="A1556" s="76" t="s">
        <v>1444</v>
      </c>
      <c r="B1556" s="87">
        <v>0.57577</v>
      </c>
      <c r="C1556" s="88">
        <v>42.591500000000003</v>
      </c>
      <c r="D1556" s="88">
        <v>0.21315999999999999</v>
      </c>
      <c r="E1556" s="76">
        <v>0</v>
      </c>
      <c r="F1556" s="89" cm="1">
        <f t="array" ref="F1556">5*LOG10(((c_light/1000/H_0_SAM)*(B1556/60)*SUMPRODUCT($J$2:$AD$2,1/SQRT(Omega_m*(1+$J$1:$AD$1*B1556)^3+Omega_L)))*(1+B1556)*100000)</f>
        <v>42.702131884864876</v>
      </c>
      <c r="G1556" s="89">
        <f t="shared" si="24"/>
        <v>0.11063188486487263</v>
      </c>
    </row>
    <row r="1557" spans="1:7" x14ac:dyDescent="0.6">
      <c r="A1557" s="76">
        <v>50203</v>
      </c>
      <c r="B1557" s="87">
        <v>0.57618999999999998</v>
      </c>
      <c r="C1557" s="88">
        <v>42.488700000000001</v>
      </c>
      <c r="D1557" s="88">
        <v>0.2021</v>
      </c>
      <c r="E1557" s="76">
        <v>0</v>
      </c>
      <c r="F1557" s="89" cm="1">
        <f t="array" ref="F1557">5*LOG10(((c_light/1000/H_0_SAM)*(B1557/60)*SUMPRODUCT($J$2:$AD$2,1/SQRT(Omega_m*(1+$J$1:$AD$1*B1557)^3+Omega_L)))*(1+B1557)*100000)</f>
        <v>42.704039659468627</v>
      </c>
      <c r="G1557" s="89">
        <f t="shared" si="24"/>
        <v>0.21533965946862565</v>
      </c>
    </row>
    <row r="1558" spans="1:7" x14ac:dyDescent="0.6">
      <c r="A1558" s="76" t="s">
        <v>1445</v>
      </c>
      <c r="B1558" s="87">
        <v>0.57667999999999997</v>
      </c>
      <c r="C1558" s="88">
        <v>42.426299999999998</v>
      </c>
      <c r="D1558" s="88">
        <v>0.16683999999999999</v>
      </c>
      <c r="E1558" s="76">
        <v>0</v>
      </c>
      <c r="F1558" s="89" cm="1">
        <f t="array" ref="F1558">5*LOG10(((c_light/1000/H_0_SAM)*(B1558/60)*SUMPRODUCT($J$2:$AD$2,1/SQRT(Omega_m*(1+$J$1:$AD$1*B1558)^3+Omega_L)))*(1+B1558)*100000)</f>
        <v>42.7062637406638</v>
      </c>
      <c r="G1558" s="89">
        <f t="shared" si="24"/>
        <v>0.2799637406638027</v>
      </c>
    </row>
    <row r="1559" spans="1:7" x14ac:dyDescent="0.6">
      <c r="A1559" s="76">
        <v>1337228</v>
      </c>
      <c r="B1559" s="87">
        <v>0.57737000000000005</v>
      </c>
      <c r="C1559" s="88">
        <v>42.645000000000003</v>
      </c>
      <c r="D1559" s="88">
        <v>0.29094999999999999</v>
      </c>
      <c r="E1559" s="76">
        <v>0</v>
      </c>
      <c r="F1559" s="89" cm="1">
        <f t="array" ref="F1559">5*LOG10(((c_light/1000/H_0_SAM)*(B1559/60)*SUMPRODUCT($J$2:$AD$2,1/SQRT(Omega_m*(1+$J$1:$AD$1*B1559)^3+Omega_L)))*(1+B1559)*100000)</f>
        <v>42.709392591820212</v>
      </c>
      <c r="G1559" s="89">
        <f t="shared" si="24"/>
        <v>6.4392591820208622E-2</v>
      </c>
    </row>
    <row r="1560" spans="1:7" x14ac:dyDescent="0.6">
      <c r="A1560" s="76" t="s">
        <v>1446</v>
      </c>
      <c r="B1560" s="87">
        <v>0.57830000000000004</v>
      </c>
      <c r="C1560" s="88">
        <v>42.417400000000001</v>
      </c>
      <c r="D1560" s="88">
        <v>0.24485000000000001</v>
      </c>
      <c r="E1560" s="76">
        <v>0</v>
      </c>
      <c r="F1560" s="89" cm="1">
        <f t="array" ref="F1560">5*LOG10(((c_light/1000/H_0_SAM)*(B1560/60)*SUMPRODUCT($J$2:$AD$2,1/SQRT(Omega_m*(1+$J$1:$AD$1*B1560)^3+Omega_L)))*(1+B1560)*100000)</f>
        <v>42.713604166725759</v>
      </c>
      <c r="G1560" s="89">
        <f t="shared" si="24"/>
        <v>0.296204166725758</v>
      </c>
    </row>
    <row r="1561" spans="1:7" x14ac:dyDescent="0.6">
      <c r="A1561" s="76">
        <v>110721</v>
      </c>
      <c r="B1561" s="87">
        <v>0.57830999999999999</v>
      </c>
      <c r="C1561" s="88">
        <v>42.4512</v>
      </c>
      <c r="D1561" s="88">
        <v>0.24118000000000001</v>
      </c>
      <c r="E1561" s="76">
        <v>0</v>
      </c>
      <c r="F1561" s="89" cm="1">
        <f t="array" ref="F1561">5*LOG10(((c_light/1000/H_0_SAM)*(B1561/60)*SUMPRODUCT($J$2:$AD$2,1/SQRT(Omega_m*(1+$J$1:$AD$1*B1561)^3+Omega_L)))*(1+B1561)*100000)</f>
        <v>42.713649417771862</v>
      </c>
      <c r="G1561" s="89">
        <f t="shared" si="24"/>
        <v>0.2624494177718617</v>
      </c>
    </row>
    <row r="1562" spans="1:7" x14ac:dyDescent="0.6">
      <c r="A1562" s="76" t="s">
        <v>1447</v>
      </c>
      <c r="B1562" s="87">
        <v>0.57882</v>
      </c>
      <c r="C1562" s="88">
        <v>42.427199999999999</v>
      </c>
      <c r="D1562" s="88">
        <v>0.21439</v>
      </c>
      <c r="E1562" s="76">
        <v>0</v>
      </c>
      <c r="F1562" s="89" cm="1">
        <f t="array" ref="F1562">5*LOG10(((c_light/1000/H_0_SAM)*(B1562/60)*SUMPRODUCT($J$2:$AD$2,1/SQRT(Omega_m*(1+$J$1:$AD$1*B1562)^3+Omega_L)))*(1+B1562)*100000)</f>
        <v>42.715956243516032</v>
      </c>
      <c r="G1562" s="89">
        <f t="shared" si="24"/>
        <v>0.28875624351603335</v>
      </c>
    </row>
    <row r="1563" spans="1:7" x14ac:dyDescent="0.6">
      <c r="A1563" s="76">
        <v>1332059</v>
      </c>
      <c r="B1563" s="87">
        <v>0.57891000000000004</v>
      </c>
      <c r="C1563" s="88">
        <v>42.531700000000001</v>
      </c>
      <c r="D1563" s="88">
        <v>0.23169000000000001</v>
      </c>
      <c r="E1563" s="76">
        <v>0</v>
      </c>
      <c r="F1563" s="89" cm="1">
        <f t="array" ref="F1563">5*LOG10(((c_light/1000/H_0_SAM)*(B1563/60)*SUMPRODUCT($J$2:$AD$2,1/SQRT(Omega_m*(1+$J$1:$AD$1*B1563)^3+Omega_L)))*(1+B1563)*100000)</f>
        <v>42.716363131482808</v>
      </c>
      <c r="G1563" s="89">
        <f t="shared" si="24"/>
        <v>0.18466313148280733</v>
      </c>
    </row>
    <row r="1564" spans="1:7" x14ac:dyDescent="0.6">
      <c r="A1564" s="76" t="s">
        <v>1448</v>
      </c>
      <c r="B1564" s="87">
        <v>0.57967000000000002</v>
      </c>
      <c r="C1564" s="88">
        <v>42.392299999999999</v>
      </c>
      <c r="D1564" s="88">
        <v>0.23116</v>
      </c>
      <c r="E1564" s="76">
        <v>0</v>
      </c>
      <c r="F1564" s="89" cm="1">
        <f t="array" ref="F1564">5*LOG10(((c_light/1000/H_0_SAM)*(B1564/60)*SUMPRODUCT($J$2:$AD$2,1/SQRT(Omega_m*(1+$J$1:$AD$1*B1564)^3+Omega_L)))*(1+B1564)*100000)</f>
        <v>42.719796698019614</v>
      </c>
      <c r="G1564" s="89">
        <f t="shared" si="24"/>
        <v>0.32749669801961545</v>
      </c>
    </row>
    <row r="1565" spans="1:7" x14ac:dyDescent="0.6">
      <c r="A1565" s="76" t="s">
        <v>1449</v>
      </c>
      <c r="B1565" s="87">
        <v>0.58067000000000002</v>
      </c>
      <c r="C1565" s="88">
        <v>42.573</v>
      </c>
      <c r="D1565" s="88">
        <v>0.26250000000000001</v>
      </c>
      <c r="E1565" s="76">
        <v>0</v>
      </c>
      <c r="F1565" s="89" cm="1">
        <f t="array" ref="F1565">5*LOG10(((c_light/1000/H_0_SAM)*(B1565/60)*SUMPRODUCT($J$2:$AD$2,1/SQRT(Omega_m*(1+$J$1:$AD$1*B1565)^3+Omega_L)))*(1+B1565)*100000)</f>
        <v>42.724308087506529</v>
      </c>
      <c r="G1565" s="89">
        <f t="shared" si="24"/>
        <v>0.15130808750652847</v>
      </c>
    </row>
    <row r="1566" spans="1:7" x14ac:dyDescent="0.6">
      <c r="A1566" s="76" t="s">
        <v>1450</v>
      </c>
      <c r="B1566" s="87">
        <v>0.58079999999999998</v>
      </c>
      <c r="C1566" s="88">
        <v>42.706099999999999</v>
      </c>
      <c r="D1566" s="88">
        <v>0.23982000000000001</v>
      </c>
      <c r="E1566" s="76">
        <v>0</v>
      </c>
      <c r="F1566" s="89" cm="1">
        <f t="array" ref="F1566">5*LOG10(((c_light/1000/H_0_SAM)*(B1566/60)*SUMPRODUCT($J$2:$AD$2,1/SQRT(Omega_m*(1+$J$1:$AD$1*B1566)^3+Omega_L)))*(1+B1566)*100000)</f>
        <v>42.724894029945034</v>
      </c>
      <c r="G1566" s="89">
        <f t="shared" si="24"/>
        <v>1.8794029945034652E-2</v>
      </c>
    </row>
    <row r="1567" spans="1:7" x14ac:dyDescent="0.6">
      <c r="A1567" s="76" t="s">
        <v>1451</v>
      </c>
      <c r="B1567" s="87">
        <v>0.58301000000000003</v>
      </c>
      <c r="C1567" s="88">
        <v>42.540799999999997</v>
      </c>
      <c r="D1567" s="88">
        <v>0.16803000000000001</v>
      </c>
      <c r="E1567" s="76">
        <v>0</v>
      </c>
      <c r="F1567" s="89" cm="1">
        <f t="array" ref="F1567">5*LOG10(((c_light/1000/H_0_SAM)*(B1567/60)*SUMPRODUCT($J$2:$AD$2,1/SQRT(Omega_m*(1+$J$1:$AD$1*B1567)^3+Omega_L)))*(1+B1567)*100000)</f>
        <v>42.734836172922243</v>
      </c>
      <c r="G1567" s="89">
        <f t="shared" si="24"/>
        <v>0.19403617292224595</v>
      </c>
    </row>
    <row r="1568" spans="1:7" x14ac:dyDescent="0.6">
      <c r="A1568" s="76" t="s">
        <v>1452</v>
      </c>
      <c r="B1568" s="87">
        <v>0.58330000000000004</v>
      </c>
      <c r="C1568" s="88">
        <v>42.797400000000003</v>
      </c>
      <c r="D1568" s="88">
        <v>0.1862</v>
      </c>
      <c r="E1568" s="76">
        <v>0</v>
      </c>
      <c r="F1568" s="89" cm="1">
        <f t="array" ref="F1568">5*LOG10(((c_light/1000/H_0_SAM)*(B1568/60)*SUMPRODUCT($J$2:$AD$2,1/SQRT(Omega_m*(1+$J$1:$AD$1*B1568)^3+Omega_L)))*(1+B1568)*100000)</f>
        <v>42.736138158827053</v>
      </c>
      <c r="G1568" s="89">
        <f t="shared" si="24"/>
        <v>-6.1261841172949971E-2</v>
      </c>
    </row>
    <row r="1569" spans="1:7" x14ac:dyDescent="0.6">
      <c r="A1569" s="76" t="s">
        <v>1453</v>
      </c>
      <c r="B1569" s="87">
        <v>0.58382000000000001</v>
      </c>
      <c r="C1569" s="88">
        <v>42.476500000000001</v>
      </c>
      <c r="D1569" s="88">
        <v>0.19849</v>
      </c>
      <c r="E1569" s="76">
        <v>0</v>
      </c>
      <c r="F1569" s="89" cm="1">
        <f t="array" ref="F1569">5*LOG10(((c_light/1000/H_0_SAM)*(B1569/60)*SUMPRODUCT($J$2:$AD$2,1/SQRT(Omega_m*(1+$J$1:$AD$1*B1569)^3+Omega_L)))*(1+B1569)*100000)</f>
        <v>42.738471225920669</v>
      </c>
      <c r="G1569" s="89">
        <f t="shared" si="24"/>
        <v>0.26197122592066791</v>
      </c>
    </row>
    <row r="1570" spans="1:7" x14ac:dyDescent="0.6">
      <c r="A1570" s="76" t="s">
        <v>1454</v>
      </c>
      <c r="B1570" s="87">
        <v>0.58382000000000001</v>
      </c>
      <c r="C1570" s="88">
        <v>42.648899999999998</v>
      </c>
      <c r="D1570" s="88">
        <v>0.18475</v>
      </c>
      <c r="E1570" s="76">
        <v>0</v>
      </c>
      <c r="F1570" s="89" cm="1">
        <f t="array" ref="F1570">5*LOG10(((c_light/1000/H_0_SAM)*(B1570/60)*SUMPRODUCT($J$2:$AD$2,1/SQRT(Omega_m*(1+$J$1:$AD$1*B1570)^3+Omega_L)))*(1+B1570)*100000)</f>
        <v>42.738471225920669</v>
      </c>
      <c r="G1570" s="89">
        <f t="shared" si="24"/>
        <v>8.9571225920671793E-2</v>
      </c>
    </row>
    <row r="1571" spans="1:7" x14ac:dyDescent="0.6">
      <c r="A1571" s="76">
        <v>1338387</v>
      </c>
      <c r="B1571" s="87">
        <v>0.58389999999999997</v>
      </c>
      <c r="C1571" s="88">
        <v>42.419899999999998</v>
      </c>
      <c r="D1571" s="88">
        <v>0.19936999999999999</v>
      </c>
      <c r="E1571" s="76">
        <v>0</v>
      </c>
      <c r="F1571" s="89" cm="1">
        <f t="array" ref="F1571">5*LOG10(((c_light/1000/H_0_SAM)*(B1571/60)*SUMPRODUCT($J$2:$AD$2,1/SQRT(Omega_m*(1+$J$1:$AD$1*B1571)^3+Omega_L)))*(1+B1571)*100000)</f>
        <v>42.738829985317793</v>
      </c>
      <c r="G1571" s="89">
        <f t="shared" si="24"/>
        <v>0.31892998531779426</v>
      </c>
    </row>
    <row r="1572" spans="1:7" x14ac:dyDescent="0.6">
      <c r="A1572" s="76" t="s">
        <v>1455</v>
      </c>
      <c r="B1572" s="87">
        <v>0.58582000000000001</v>
      </c>
      <c r="C1572" s="88">
        <v>42.707000000000001</v>
      </c>
      <c r="D1572" s="88">
        <v>0.37297000000000002</v>
      </c>
      <c r="E1572" s="76">
        <v>0</v>
      </c>
      <c r="F1572" s="89" cm="1">
        <f t="array" ref="F1572">5*LOG10(((c_light/1000/H_0_SAM)*(B1572/60)*SUMPRODUCT($J$2:$AD$2,1/SQRT(Omega_m*(1+$J$1:$AD$1*B1572)^3+Omega_L)))*(1+B1572)*100000)</f>
        <v>42.747426328137131</v>
      </c>
      <c r="G1572" s="89">
        <f t="shared" si="24"/>
        <v>4.0426328137129985E-2</v>
      </c>
    </row>
    <row r="1573" spans="1:7" x14ac:dyDescent="0.6">
      <c r="A1573" s="76" t="s">
        <v>1456</v>
      </c>
      <c r="B1573" s="87">
        <v>0.58730000000000004</v>
      </c>
      <c r="C1573" s="88">
        <v>42.624099999999999</v>
      </c>
      <c r="D1573" s="88">
        <v>0.20304</v>
      </c>
      <c r="E1573" s="76">
        <v>0</v>
      </c>
      <c r="F1573" s="89" cm="1">
        <f t="array" ref="F1573">5*LOG10(((c_light/1000/H_0_SAM)*(B1573/60)*SUMPRODUCT($J$2:$AD$2,1/SQRT(Omega_m*(1+$J$1:$AD$1*B1573)^3+Omega_L)))*(1+B1573)*100000)</f>
        <v>42.754034551007301</v>
      </c>
      <c r="G1573" s="89">
        <f t="shared" si="24"/>
        <v>0.12993455100730245</v>
      </c>
    </row>
    <row r="1574" spans="1:7" x14ac:dyDescent="0.6">
      <c r="A1574" s="76" t="s">
        <v>1457</v>
      </c>
      <c r="B1574" s="87">
        <v>0.58879000000000004</v>
      </c>
      <c r="C1574" s="88">
        <v>42.502099999999999</v>
      </c>
      <c r="D1574" s="88">
        <v>0.22003</v>
      </c>
      <c r="E1574" s="76">
        <v>0</v>
      </c>
      <c r="F1574" s="89" cm="1">
        <f t="array" ref="F1574">5*LOG10(((c_light/1000/H_0_SAM)*(B1574/60)*SUMPRODUCT($J$2:$AD$2,1/SQRT(Omega_m*(1+$J$1:$AD$1*B1574)^3+Omega_L)))*(1+B1574)*100000)</f>
        <v>42.760671567383298</v>
      </c>
      <c r="G1574" s="89">
        <f t="shared" si="24"/>
        <v>0.25857156738329934</v>
      </c>
    </row>
    <row r="1575" spans="1:7" x14ac:dyDescent="0.6">
      <c r="A1575" s="76" t="s">
        <v>1458</v>
      </c>
      <c r="B1575" s="87">
        <v>0.59028999999999998</v>
      </c>
      <c r="C1575" s="88">
        <v>42.515599999999999</v>
      </c>
      <c r="D1575" s="88">
        <v>0.24825</v>
      </c>
      <c r="E1575" s="76">
        <v>0</v>
      </c>
      <c r="F1575" s="89" cm="1">
        <f t="array" ref="F1575">5*LOG10(((c_light/1000/H_0_SAM)*(B1575/60)*SUMPRODUCT($J$2:$AD$2,1/SQRT(Omega_m*(1+$J$1:$AD$1*B1575)^3+Omega_L)))*(1+B1575)*100000)</f>
        <v>42.76733713304165</v>
      </c>
      <c r="G1575" s="89">
        <f t="shared" si="24"/>
        <v>0.25173713304165091</v>
      </c>
    </row>
    <row r="1576" spans="1:7" x14ac:dyDescent="0.6">
      <c r="A1576" s="76" t="s">
        <v>1459</v>
      </c>
      <c r="B1576" s="87">
        <v>0.59179000000000004</v>
      </c>
      <c r="C1576" s="88">
        <v>42.450800000000001</v>
      </c>
      <c r="D1576" s="88">
        <v>0.25583</v>
      </c>
      <c r="E1576" s="76">
        <v>0</v>
      </c>
      <c r="F1576" s="89" cm="1">
        <f t="array" ref="F1576">5*LOG10(((c_light/1000/H_0_SAM)*(B1576/60)*SUMPRODUCT($J$2:$AD$2,1/SQRT(Omega_m*(1+$J$1:$AD$1*B1576)^3+Omega_L)))*(1+B1576)*100000)</f>
        <v>42.773986726905555</v>
      </c>
      <c r="G1576" s="89">
        <f t="shared" si="24"/>
        <v>0.32318672690555417</v>
      </c>
    </row>
    <row r="1577" spans="1:7" x14ac:dyDescent="0.6">
      <c r="A1577" s="76" t="s">
        <v>1460</v>
      </c>
      <c r="B1577" s="87">
        <v>0.60067000000000004</v>
      </c>
      <c r="C1577" s="88">
        <v>42.611600000000003</v>
      </c>
      <c r="D1577" s="88">
        <v>0.27883999999999998</v>
      </c>
      <c r="E1577" s="76">
        <v>0</v>
      </c>
      <c r="F1577" s="89" cm="1">
        <f t="array" ref="F1577">5*LOG10(((c_light/1000/H_0_SAM)*(B1577/60)*SUMPRODUCT($J$2:$AD$2,1/SQRT(Omega_m*(1+$J$1:$AD$1*B1577)^3+Omega_L)))*(1+B1577)*100000)</f>
        <v>42.813029229690045</v>
      </c>
      <c r="G1577" s="89">
        <f t="shared" si="24"/>
        <v>0.20142922969004218</v>
      </c>
    </row>
    <row r="1578" spans="1:7" x14ac:dyDescent="0.6">
      <c r="A1578" s="76">
        <v>1338233</v>
      </c>
      <c r="B1578" s="87">
        <v>0.60155000000000003</v>
      </c>
      <c r="C1578" s="88">
        <v>42.7562</v>
      </c>
      <c r="D1578" s="88">
        <v>0.39478000000000002</v>
      </c>
      <c r="E1578" s="76">
        <v>0</v>
      </c>
      <c r="F1578" s="89" cm="1">
        <f t="array" ref="F1578">5*LOG10(((c_light/1000/H_0_SAM)*(B1578/60)*SUMPRODUCT($J$2:$AD$2,1/SQRT(Omega_m*(1+$J$1:$AD$1*B1578)^3+Omega_L)))*(1+B1578)*100000)</f>
        <v>42.816868553902296</v>
      </c>
      <c r="G1578" s="89">
        <f t="shared" si="24"/>
        <v>6.0668553902296196E-2</v>
      </c>
    </row>
    <row r="1579" spans="1:7" x14ac:dyDescent="0.6">
      <c r="A1579" s="76" t="s">
        <v>1461</v>
      </c>
      <c r="B1579" s="87">
        <v>0.60328000000000004</v>
      </c>
      <c r="C1579" s="88">
        <v>42.750300000000003</v>
      </c>
      <c r="D1579" s="88">
        <v>0.2001</v>
      </c>
      <c r="E1579" s="76">
        <v>0</v>
      </c>
      <c r="F1579" s="89" cm="1">
        <f t="array" ref="F1579">5*LOG10(((c_light/1000/H_0_SAM)*(B1579/60)*SUMPRODUCT($J$2:$AD$2,1/SQRT(Omega_m*(1+$J$1:$AD$1*B1579)^3+Omega_L)))*(1+B1579)*100000)</f>
        <v>42.824400861216319</v>
      </c>
      <c r="G1579" s="89">
        <f t="shared" si="24"/>
        <v>7.410086121631565E-2</v>
      </c>
    </row>
    <row r="1580" spans="1:7" x14ac:dyDescent="0.6">
      <c r="A1580" s="76">
        <v>1335564</v>
      </c>
      <c r="B1580" s="87">
        <v>0.60626000000000002</v>
      </c>
      <c r="C1580" s="88">
        <v>42.6158</v>
      </c>
      <c r="D1580" s="88">
        <v>0.27507999999999999</v>
      </c>
      <c r="E1580" s="76">
        <v>0</v>
      </c>
      <c r="F1580" s="89" cm="1">
        <f t="array" ref="F1580">5*LOG10(((c_light/1000/H_0_SAM)*(B1580/60)*SUMPRODUCT($J$2:$AD$2,1/SQRT(Omega_m*(1+$J$1:$AD$1*B1580)^3+Omega_L)))*(1+B1580)*100000)</f>
        <v>42.837327822263155</v>
      </c>
      <c r="G1580" s="89">
        <f t="shared" si="24"/>
        <v>0.22152782226315537</v>
      </c>
    </row>
    <row r="1581" spans="1:7" x14ac:dyDescent="0.6">
      <c r="A1581" s="76" t="s">
        <v>1462</v>
      </c>
      <c r="B1581" s="87">
        <v>0.60826999999999998</v>
      </c>
      <c r="C1581" s="88">
        <v>42.590400000000002</v>
      </c>
      <c r="D1581" s="88">
        <v>0.22839000000000001</v>
      </c>
      <c r="E1581" s="76">
        <v>0</v>
      </c>
      <c r="F1581" s="89" cm="1">
        <f t="array" ref="F1581">5*LOG10(((c_light/1000/H_0_SAM)*(B1581/60)*SUMPRODUCT($J$2:$AD$2,1/SQRT(Omega_m*(1+$J$1:$AD$1*B1581)^3+Omega_L)))*(1+B1581)*100000)</f>
        <v>42.846013117584477</v>
      </c>
      <c r="G1581" s="89">
        <f t="shared" si="24"/>
        <v>0.25561311758447403</v>
      </c>
    </row>
    <row r="1582" spans="1:7" x14ac:dyDescent="0.6">
      <c r="A1582" s="76">
        <v>1302141</v>
      </c>
      <c r="B1582" s="87">
        <v>0.60875999999999997</v>
      </c>
      <c r="C1582" s="88">
        <v>42.428199999999997</v>
      </c>
      <c r="D1582" s="88">
        <v>0.35032999999999997</v>
      </c>
      <c r="E1582" s="76">
        <v>0</v>
      </c>
      <c r="F1582" s="89" cm="1">
        <f t="array" ref="F1582">5*LOG10(((c_light/1000/H_0_SAM)*(B1582/60)*SUMPRODUCT($J$2:$AD$2,1/SQRT(Omega_m*(1+$J$1:$AD$1*B1582)^3+Omega_L)))*(1+B1582)*100000)</f>
        <v>42.848126311737964</v>
      </c>
      <c r="G1582" s="89">
        <f t="shared" si="24"/>
        <v>0.41992631173796724</v>
      </c>
    </row>
    <row r="1583" spans="1:7" x14ac:dyDescent="0.6">
      <c r="A1583" s="76">
        <v>1332413</v>
      </c>
      <c r="B1583" s="87">
        <v>0.60877999999999999</v>
      </c>
      <c r="C1583" s="88">
        <v>42.617899999999999</v>
      </c>
      <c r="D1583" s="88">
        <v>0.23075000000000001</v>
      </c>
      <c r="E1583" s="76">
        <v>0</v>
      </c>
      <c r="F1583" s="89" cm="1">
        <f t="array" ref="F1583">5*LOG10(((c_light/1000/H_0_SAM)*(B1583/60)*SUMPRODUCT($J$2:$AD$2,1/SQRT(Omega_m*(1+$J$1:$AD$1*B1583)^3+Omega_L)))*(1+B1583)*100000)</f>
        <v>42.848212530371804</v>
      </c>
      <c r="G1583" s="89">
        <f t="shared" si="24"/>
        <v>0.23031253037180477</v>
      </c>
    </row>
    <row r="1584" spans="1:7" x14ac:dyDescent="0.6">
      <c r="A1584" s="76" t="s">
        <v>1463</v>
      </c>
      <c r="B1584" s="87">
        <v>0.60980999999999996</v>
      </c>
      <c r="C1584" s="88">
        <v>42.687600000000003</v>
      </c>
      <c r="D1584" s="88">
        <v>0.32147999999999999</v>
      </c>
      <c r="E1584" s="76">
        <v>0</v>
      </c>
      <c r="F1584" s="89" cm="1">
        <f t="array" ref="F1584">5*LOG10(((c_light/1000/H_0_SAM)*(B1584/60)*SUMPRODUCT($J$2:$AD$2,1/SQRT(Omega_m*(1+$J$1:$AD$1*B1584)^3+Omega_L)))*(1+B1584)*100000)</f>
        <v>42.852649170721016</v>
      </c>
      <c r="G1584" s="89">
        <f t="shared" si="24"/>
        <v>0.16504917072101222</v>
      </c>
    </row>
    <row r="1585" spans="1:7" x14ac:dyDescent="0.6">
      <c r="A1585" s="76" t="s">
        <v>1464</v>
      </c>
      <c r="B1585" s="87">
        <v>0.61070999999999998</v>
      </c>
      <c r="C1585" s="88">
        <v>42.668599999999998</v>
      </c>
      <c r="D1585" s="88">
        <v>0.18423999999999999</v>
      </c>
      <c r="E1585" s="76">
        <v>0</v>
      </c>
      <c r="F1585" s="89" cm="1">
        <f t="array" ref="F1585">5*LOG10(((c_light/1000/H_0_SAM)*(B1585/60)*SUMPRODUCT($J$2:$AD$2,1/SQRT(Omega_m*(1+$J$1:$AD$1*B1585)^3+Omega_L)))*(1+B1585)*100000)</f>
        <v>42.856520045394348</v>
      </c>
      <c r="G1585" s="89">
        <f t="shared" si="24"/>
        <v>0.1879200453943497</v>
      </c>
    </row>
    <row r="1586" spans="1:7" x14ac:dyDescent="0.6">
      <c r="A1586" s="76" t="s">
        <v>1465</v>
      </c>
      <c r="B1586" s="87">
        <v>0.61126999999999998</v>
      </c>
      <c r="C1586" s="88">
        <v>42.904899999999998</v>
      </c>
      <c r="D1586" s="88">
        <v>0.24768999999999999</v>
      </c>
      <c r="E1586" s="76">
        <v>0</v>
      </c>
      <c r="F1586" s="89" cm="1">
        <f t="array" ref="F1586">5*LOG10(((c_light/1000/H_0_SAM)*(B1586/60)*SUMPRODUCT($J$2:$AD$2,1/SQRT(Omega_m*(1+$J$1:$AD$1*B1586)^3+Omega_L)))*(1+B1586)*100000)</f>
        <v>42.858925865904958</v>
      </c>
      <c r="G1586" s="89">
        <f t="shared" si="24"/>
        <v>-4.5974134095040142E-2</v>
      </c>
    </row>
    <row r="1587" spans="1:7" x14ac:dyDescent="0.6">
      <c r="A1587" s="76">
        <v>1295305</v>
      </c>
      <c r="B1587" s="87">
        <v>0.61177000000000004</v>
      </c>
      <c r="C1587" s="88">
        <v>42.701000000000001</v>
      </c>
      <c r="D1587" s="88">
        <v>0.16444</v>
      </c>
      <c r="E1587" s="76">
        <v>0</v>
      </c>
      <c r="F1587" s="89" cm="1">
        <f t="array" ref="F1587">5*LOG10(((c_light/1000/H_0_SAM)*(B1587/60)*SUMPRODUCT($J$2:$AD$2,1/SQRT(Omega_m*(1+$J$1:$AD$1*B1587)^3+Omega_L)))*(1+B1587)*100000)</f>
        <v>42.861072157838358</v>
      </c>
      <c r="G1587" s="89">
        <f t="shared" si="24"/>
        <v>0.16007215783835704</v>
      </c>
    </row>
    <row r="1588" spans="1:7" x14ac:dyDescent="0.6">
      <c r="A1588" s="76" t="s">
        <v>1466</v>
      </c>
      <c r="B1588" s="87">
        <v>0.61577000000000004</v>
      </c>
      <c r="C1588" s="88">
        <v>42.708500000000001</v>
      </c>
      <c r="D1588" s="88">
        <v>0.34727000000000002</v>
      </c>
      <c r="E1588" s="76">
        <v>0</v>
      </c>
      <c r="F1588" s="89" cm="1">
        <f t="array" ref="F1588">5*LOG10(((c_light/1000/H_0_SAM)*(B1588/60)*SUMPRODUCT($J$2:$AD$2,1/SQRT(Omega_m*(1+$J$1:$AD$1*B1588)^3+Omega_L)))*(1+B1588)*100000)</f>
        <v>42.878182956276731</v>
      </c>
      <c r="G1588" s="89">
        <f t="shared" si="24"/>
        <v>0.16968295627673058</v>
      </c>
    </row>
    <row r="1589" spans="1:7" x14ac:dyDescent="0.6">
      <c r="A1589" s="76">
        <v>1308957</v>
      </c>
      <c r="B1589" s="87">
        <v>0.61875000000000002</v>
      </c>
      <c r="C1589" s="88">
        <v>42.7164</v>
      </c>
      <c r="D1589" s="88">
        <v>0.38875999999999999</v>
      </c>
      <c r="E1589" s="76">
        <v>0</v>
      </c>
      <c r="F1589" s="89" cm="1">
        <f t="array" ref="F1589">5*LOG10(((c_light/1000/H_0_SAM)*(B1589/60)*SUMPRODUCT($J$2:$AD$2,1/SQRT(Omega_m*(1+$J$1:$AD$1*B1589)^3+Omega_L)))*(1+B1589)*100000)</f>
        <v>42.890862222098491</v>
      </c>
      <c r="G1589" s="89">
        <f t="shared" si="24"/>
        <v>0.17446222209849083</v>
      </c>
    </row>
    <row r="1590" spans="1:7" x14ac:dyDescent="0.6">
      <c r="A1590" s="76">
        <v>1335868</v>
      </c>
      <c r="B1590" s="87">
        <v>0.61941000000000002</v>
      </c>
      <c r="C1590" s="88">
        <v>42.694800000000001</v>
      </c>
      <c r="D1590" s="88">
        <v>0.27529999999999999</v>
      </c>
      <c r="E1590" s="76">
        <v>0</v>
      </c>
      <c r="F1590" s="89" cm="1">
        <f t="array" ref="F1590">5*LOG10(((c_light/1000/H_0_SAM)*(B1590/60)*SUMPRODUCT($J$2:$AD$2,1/SQRT(Omega_m*(1+$J$1:$AD$1*B1590)^3+Omega_L)))*(1+B1590)*100000)</f>
        <v>42.893662556407122</v>
      </c>
      <c r="G1590" s="89">
        <f t="shared" si="24"/>
        <v>0.19886255640712136</v>
      </c>
    </row>
    <row r="1591" spans="1:7" x14ac:dyDescent="0.6">
      <c r="A1591" s="76">
        <v>202</v>
      </c>
      <c r="B1591" s="87">
        <v>0.61982999999999999</v>
      </c>
      <c r="C1591" s="88">
        <v>42.755699999999997</v>
      </c>
      <c r="D1591" s="88">
        <v>0.15486</v>
      </c>
      <c r="E1591" s="76">
        <v>0</v>
      </c>
      <c r="F1591" s="89" cm="1">
        <f t="array" ref="F1591">5*LOG10(((c_light/1000/H_0_SAM)*(B1591/60)*SUMPRODUCT($J$2:$AD$2,1/SQRT(Omega_m*(1+$J$1:$AD$1*B1591)^3+Omega_L)))*(1+B1591)*100000)</f>
        <v>42.895443115885932</v>
      </c>
      <c r="G1591" s="89">
        <f t="shared" si="24"/>
        <v>0.1397431158859348</v>
      </c>
    </row>
    <row r="1592" spans="1:7" x14ac:dyDescent="0.6">
      <c r="A1592" s="76" t="s">
        <v>1467</v>
      </c>
      <c r="B1592" s="87">
        <v>0.62070000000000003</v>
      </c>
      <c r="C1592" s="88">
        <v>42.698799999999999</v>
      </c>
      <c r="D1592" s="88">
        <v>0.26813999999999999</v>
      </c>
      <c r="E1592" s="76">
        <v>0</v>
      </c>
      <c r="F1592" s="89" cm="1">
        <f t="array" ref="F1592">5*LOG10(((c_light/1000/H_0_SAM)*(B1592/60)*SUMPRODUCT($J$2:$AD$2,1/SQRT(Omega_m*(1+$J$1:$AD$1*B1592)^3+Omega_L)))*(1+B1592)*100000)</f>
        <v>42.899127784150352</v>
      </c>
      <c r="G1592" s="89">
        <f t="shared" si="24"/>
        <v>0.20032778415035324</v>
      </c>
    </row>
    <row r="1593" spans="1:7" x14ac:dyDescent="0.6">
      <c r="A1593" s="76" t="s">
        <v>1468</v>
      </c>
      <c r="B1593" s="87">
        <v>0.62182999999999999</v>
      </c>
      <c r="C1593" s="88">
        <v>42.589399999999998</v>
      </c>
      <c r="D1593" s="88">
        <v>0.27561999999999998</v>
      </c>
      <c r="E1593" s="76">
        <v>0</v>
      </c>
      <c r="F1593" s="89" cm="1">
        <f t="array" ref="F1593">5*LOG10(((c_light/1000/H_0_SAM)*(B1593/60)*SUMPRODUCT($J$2:$AD$2,1/SQRT(Omega_m*(1+$J$1:$AD$1*B1593)^3+Omega_L)))*(1+B1593)*100000)</f>
        <v>42.903906318551101</v>
      </c>
      <c r="G1593" s="89">
        <f t="shared" si="24"/>
        <v>0.31450631855110345</v>
      </c>
    </row>
    <row r="1594" spans="1:7" x14ac:dyDescent="0.6">
      <c r="A1594" s="76" t="s">
        <v>1469</v>
      </c>
      <c r="B1594" s="87">
        <v>0.62524999999999997</v>
      </c>
      <c r="C1594" s="88">
        <v>42.657699999999998</v>
      </c>
      <c r="D1594" s="88">
        <v>0.21515000000000001</v>
      </c>
      <c r="E1594" s="76">
        <v>0</v>
      </c>
      <c r="F1594" s="89" cm="1">
        <f t="array" ref="F1594">5*LOG10(((c_light/1000/H_0_SAM)*(B1594/60)*SUMPRODUCT($J$2:$AD$2,1/SQRT(Omega_m*(1+$J$1:$AD$1*B1594)^3+Omega_L)))*(1+B1594)*100000)</f>
        <v>42.918318800875845</v>
      </c>
      <c r="G1594" s="89">
        <f t="shared" si="24"/>
        <v>0.26061880087584655</v>
      </c>
    </row>
    <row r="1595" spans="1:7" x14ac:dyDescent="0.6">
      <c r="A1595" s="76" t="s">
        <v>1470</v>
      </c>
      <c r="B1595" s="87">
        <v>0.62724999999999997</v>
      </c>
      <c r="C1595" s="88">
        <v>42.585000000000001</v>
      </c>
      <c r="D1595" s="88">
        <v>0.24404000000000001</v>
      </c>
      <c r="E1595" s="76">
        <v>0</v>
      </c>
      <c r="F1595" s="89" cm="1">
        <f t="array" ref="F1595">5*LOG10(((c_light/1000/H_0_SAM)*(B1595/60)*SUMPRODUCT($J$2:$AD$2,1/SQRT(Omega_m*(1+$J$1:$AD$1*B1595)^3+Omega_L)))*(1+B1595)*100000)</f>
        <v>42.926712560634712</v>
      </c>
      <c r="G1595" s="89">
        <f t="shared" si="24"/>
        <v>0.34171256063471134</v>
      </c>
    </row>
    <row r="1596" spans="1:7" x14ac:dyDescent="0.6">
      <c r="A1596" s="76" t="s">
        <v>1471</v>
      </c>
      <c r="B1596" s="87">
        <v>0.63077000000000005</v>
      </c>
      <c r="C1596" s="88">
        <v>42.663200000000003</v>
      </c>
      <c r="D1596" s="88">
        <v>0.20286000000000001</v>
      </c>
      <c r="E1596" s="76">
        <v>0</v>
      </c>
      <c r="F1596" s="89" cm="1">
        <f t="array" ref="F1596">5*LOG10(((c_light/1000/H_0_SAM)*(B1596/60)*SUMPRODUCT($J$2:$AD$2,1/SQRT(Omega_m*(1+$J$1:$AD$1*B1596)^3+Omega_L)))*(1+B1596)*100000)</f>
        <v>42.941424121873894</v>
      </c>
      <c r="G1596" s="89">
        <f t="shared" si="24"/>
        <v>0.27822412187389034</v>
      </c>
    </row>
    <row r="1597" spans="1:7" x14ac:dyDescent="0.6">
      <c r="A1597" s="76" t="s">
        <v>1472</v>
      </c>
      <c r="B1597" s="87">
        <v>0.63183</v>
      </c>
      <c r="C1597" s="88">
        <v>42.311100000000003</v>
      </c>
      <c r="D1597" s="88">
        <v>0.32695000000000002</v>
      </c>
      <c r="E1597" s="76">
        <v>0</v>
      </c>
      <c r="F1597" s="89" cm="1">
        <f t="array" ref="F1597">5*LOG10(((c_light/1000/H_0_SAM)*(B1597/60)*SUMPRODUCT($J$2:$AD$2,1/SQRT(Omega_m*(1+$J$1:$AD$1*B1597)^3+Omega_L)))*(1+B1597)*100000)</f>
        <v>42.945839052814378</v>
      </c>
      <c r="G1597" s="89">
        <f t="shared" si="24"/>
        <v>0.63473905281437482</v>
      </c>
    </row>
    <row r="1598" spans="1:7" x14ac:dyDescent="0.6">
      <c r="A1598" s="76" t="s">
        <v>1473</v>
      </c>
      <c r="B1598" s="87">
        <v>0.63224999999999998</v>
      </c>
      <c r="C1598" s="88">
        <v>42.849299999999999</v>
      </c>
      <c r="D1598" s="88">
        <v>0.32366</v>
      </c>
      <c r="E1598" s="76">
        <v>0</v>
      </c>
      <c r="F1598" s="89" cm="1">
        <f t="array" ref="F1598">5*LOG10(((c_light/1000/H_0_SAM)*(B1598/60)*SUMPRODUCT($J$2:$AD$2,1/SQRT(Omega_m*(1+$J$1:$AD$1*B1598)^3+Omega_L)))*(1+B1598)*100000)</f>
        <v>42.947586421489106</v>
      </c>
      <c r="G1598" s="89">
        <f t="shared" si="24"/>
        <v>9.8286421489106601E-2</v>
      </c>
    </row>
    <row r="1599" spans="1:7" x14ac:dyDescent="0.6">
      <c r="A1599" s="76">
        <v>1330642</v>
      </c>
      <c r="B1599" s="87">
        <v>0.63399000000000005</v>
      </c>
      <c r="C1599" s="88">
        <v>42.597200000000001</v>
      </c>
      <c r="D1599" s="88">
        <v>0.14760999999999999</v>
      </c>
      <c r="E1599" s="76">
        <v>0</v>
      </c>
      <c r="F1599" s="89" cm="1">
        <f t="array" ref="F1599">5*LOG10(((c_light/1000/H_0_SAM)*(B1599/60)*SUMPRODUCT($J$2:$AD$2,1/SQRT(Omega_m*(1+$J$1:$AD$1*B1599)^3+Omega_L)))*(1+B1599)*100000)</f>
        <v>42.95481380602623</v>
      </c>
      <c r="G1599" s="89">
        <f t="shared" si="24"/>
        <v>0.3576138060262295</v>
      </c>
    </row>
    <row r="1600" spans="1:7" x14ac:dyDescent="0.6">
      <c r="A1600" s="76" t="s">
        <v>1474</v>
      </c>
      <c r="B1600" s="87">
        <v>0.63776999999999995</v>
      </c>
      <c r="C1600" s="88">
        <v>42.529800000000002</v>
      </c>
      <c r="D1600" s="88">
        <v>0.44288</v>
      </c>
      <c r="E1600" s="76">
        <v>0</v>
      </c>
      <c r="F1600" s="89" cm="1">
        <f t="array" ref="F1600">5*LOG10(((c_light/1000/H_0_SAM)*(B1600/60)*SUMPRODUCT($J$2:$AD$2,1/SQRT(Omega_m*(1+$J$1:$AD$1*B1600)^3+Omega_L)))*(1+B1600)*100000)</f>
        <v>42.970450020541271</v>
      </c>
      <c r="G1600" s="89">
        <f t="shared" si="24"/>
        <v>0.44065002054126978</v>
      </c>
    </row>
    <row r="1601" spans="1:7" x14ac:dyDescent="0.6">
      <c r="A1601" s="76">
        <v>1343871</v>
      </c>
      <c r="B1601" s="87">
        <v>0.63793999999999995</v>
      </c>
      <c r="C1601" s="88">
        <v>42.863700000000001</v>
      </c>
      <c r="D1601" s="88">
        <v>0.31081999999999999</v>
      </c>
      <c r="E1601" s="76">
        <v>0</v>
      </c>
      <c r="F1601" s="89" cm="1">
        <f t="array" ref="F1601">5*LOG10(((c_light/1000/H_0_SAM)*(B1601/60)*SUMPRODUCT($J$2:$AD$2,1/SQRT(Omega_m*(1+$J$1:$AD$1*B1601)^3+Omega_L)))*(1+B1601)*100000)</f>
        <v>42.97115116739252</v>
      </c>
      <c r="G1601" s="89">
        <f t="shared" si="24"/>
        <v>0.1074511673925187</v>
      </c>
    </row>
    <row r="1602" spans="1:7" x14ac:dyDescent="0.6">
      <c r="A1602" s="76" t="s">
        <v>1475</v>
      </c>
      <c r="B1602" s="87">
        <v>0.63824000000000003</v>
      </c>
      <c r="C1602" s="88">
        <v>42.659399999999998</v>
      </c>
      <c r="D1602" s="88">
        <v>0.36752000000000001</v>
      </c>
      <c r="E1602" s="76">
        <v>0</v>
      </c>
      <c r="F1602" s="89" cm="1">
        <f t="array" ref="F1602">5*LOG10(((c_light/1000/H_0_SAM)*(B1602/60)*SUMPRODUCT($J$2:$AD$2,1/SQRT(Omega_m*(1+$J$1:$AD$1*B1602)^3+Omega_L)))*(1+B1602)*100000)</f>
        <v>42.972388052698463</v>
      </c>
      <c r="G1602" s="89">
        <f t="shared" si="24"/>
        <v>0.31298805269846497</v>
      </c>
    </row>
    <row r="1603" spans="1:7" x14ac:dyDescent="0.6">
      <c r="A1603" s="76">
        <v>1337325</v>
      </c>
      <c r="B1603" s="87">
        <v>0.63873000000000002</v>
      </c>
      <c r="C1603" s="88">
        <v>42.7804</v>
      </c>
      <c r="D1603" s="88">
        <v>0.26164999999999999</v>
      </c>
      <c r="E1603" s="76">
        <v>0</v>
      </c>
      <c r="F1603" s="89" cm="1">
        <f t="array" ref="F1603">5*LOG10(((c_light/1000/H_0_SAM)*(B1603/60)*SUMPRODUCT($J$2:$AD$2,1/SQRT(Omega_m*(1+$J$1:$AD$1*B1603)^3+Omega_L)))*(1+B1603)*100000)</f>
        <v>42.974407111973818</v>
      </c>
      <c r="G1603" s="89">
        <f t="shared" si="24"/>
        <v>0.19400711197381781</v>
      </c>
    </row>
    <row r="1604" spans="1:7" x14ac:dyDescent="0.6">
      <c r="A1604" s="76">
        <v>1334879</v>
      </c>
      <c r="B1604" s="87">
        <v>0.63934000000000002</v>
      </c>
      <c r="C1604" s="88">
        <v>42.79</v>
      </c>
      <c r="D1604" s="88">
        <v>0.17183999999999999</v>
      </c>
      <c r="E1604" s="76">
        <v>0</v>
      </c>
      <c r="F1604" s="89" cm="1">
        <f t="array" ref="F1604">5*LOG10(((c_light/1000/H_0_SAM)*(B1604/60)*SUMPRODUCT($J$2:$AD$2,1/SQRT(Omega_m*(1+$J$1:$AD$1*B1604)^3+Omega_L)))*(1+B1604)*100000)</f>
        <v>42.976918580487904</v>
      </c>
      <c r="G1604" s="89">
        <f t="shared" si="24"/>
        <v>0.18691858048790522</v>
      </c>
    </row>
    <row r="1605" spans="1:7" x14ac:dyDescent="0.6">
      <c r="A1605" s="76" t="s">
        <v>1476</v>
      </c>
      <c r="B1605" s="87">
        <v>0.64185000000000003</v>
      </c>
      <c r="C1605" s="88">
        <v>42.8476</v>
      </c>
      <c r="D1605" s="88">
        <v>0.25694</v>
      </c>
      <c r="E1605" s="76">
        <v>0</v>
      </c>
      <c r="F1605" s="89" cm="1">
        <f t="array" ref="F1605">5*LOG10(((c_light/1000/H_0_SAM)*(B1605/60)*SUMPRODUCT($J$2:$AD$2,1/SQRT(Omega_m*(1+$J$1:$AD$1*B1605)^3+Omega_L)))*(1+B1605)*100000)</f>
        <v>42.987228765033841</v>
      </c>
      <c r="G1605" s="89">
        <f t="shared" si="24"/>
        <v>0.13962876503384081</v>
      </c>
    </row>
    <row r="1606" spans="1:7" x14ac:dyDescent="0.6">
      <c r="A1606" s="76">
        <v>1308568</v>
      </c>
      <c r="B1606" s="87">
        <v>0.64310999999999996</v>
      </c>
      <c r="C1606" s="88">
        <v>42.360900000000001</v>
      </c>
      <c r="D1606" s="88">
        <v>0.40783999999999998</v>
      </c>
      <c r="E1606" s="76">
        <v>0</v>
      </c>
      <c r="F1606" s="89" cm="1">
        <f t="array" ref="F1606">5*LOG10(((c_light/1000/H_0_SAM)*(B1606/60)*SUMPRODUCT($J$2:$AD$2,1/SQRT(Omega_m*(1+$J$1:$AD$1*B1606)^3+Omega_L)))*(1+B1606)*100000)</f>
        <v>42.992389965682641</v>
      </c>
      <c r="G1606" s="89">
        <f t="shared" ref="G1606:G1669" si="25">F1606-C1606</f>
        <v>0.63148996568263982</v>
      </c>
    </row>
    <row r="1607" spans="1:7" x14ac:dyDescent="0.6">
      <c r="A1607" s="76" t="s">
        <v>1477</v>
      </c>
      <c r="B1607" s="87">
        <v>0.64371</v>
      </c>
      <c r="C1607" s="88">
        <v>42.799199999999999</v>
      </c>
      <c r="D1607" s="88">
        <v>0.30984</v>
      </c>
      <c r="E1607" s="76">
        <v>0</v>
      </c>
      <c r="F1607" s="89" cm="1">
        <f t="array" ref="F1607">5*LOG10(((c_light/1000/H_0_SAM)*(B1607/60)*SUMPRODUCT($J$2:$AD$2,1/SQRT(Omega_m*(1+$J$1:$AD$1*B1607)^3+Omega_L)))*(1+B1607)*100000)</f>
        <v>42.99484430454914</v>
      </c>
      <c r="G1607" s="89">
        <f t="shared" si="25"/>
        <v>0.19564430454914117</v>
      </c>
    </row>
    <row r="1608" spans="1:7" x14ac:dyDescent="0.6">
      <c r="A1608" s="76" t="s">
        <v>1478</v>
      </c>
      <c r="B1608" s="87">
        <v>0.64371</v>
      </c>
      <c r="C1608" s="88">
        <v>42.803400000000003</v>
      </c>
      <c r="D1608" s="88">
        <v>0.31652999999999998</v>
      </c>
      <c r="E1608" s="76">
        <v>0</v>
      </c>
      <c r="F1608" s="89" cm="1">
        <f t="array" ref="F1608">5*LOG10(((c_light/1000/H_0_SAM)*(B1608/60)*SUMPRODUCT($J$2:$AD$2,1/SQRT(Omega_m*(1+$J$1:$AD$1*B1608)^3+Omega_L)))*(1+B1608)*100000)</f>
        <v>42.99484430454914</v>
      </c>
      <c r="G1608" s="89">
        <f t="shared" si="25"/>
        <v>0.19144430454913675</v>
      </c>
    </row>
    <row r="1609" spans="1:7" x14ac:dyDescent="0.6">
      <c r="A1609" s="76" t="s">
        <v>1479</v>
      </c>
      <c r="B1609" s="87">
        <v>0.64770000000000005</v>
      </c>
      <c r="C1609" s="88">
        <v>42.819000000000003</v>
      </c>
      <c r="D1609" s="88">
        <v>0.28843000000000002</v>
      </c>
      <c r="E1609" s="76">
        <v>0</v>
      </c>
      <c r="F1609" s="89" cm="1">
        <f t="array" ref="F1609">5*LOG10(((c_light/1000/H_0_SAM)*(B1609/60)*SUMPRODUCT($J$2:$AD$2,1/SQRT(Omega_m*(1+$J$1:$AD$1*B1609)^3+Omega_L)))*(1+B1609)*100000)</f>
        <v>43.011110573695525</v>
      </c>
      <c r="G1609" s="89">
        <f t="shared" si="25"/>
        <v>0.19211057369552265</v>
      </c>
    </row>
    <row r="1610" spans="1:7" x14ac:dyDescent="0.6">
      <c r="A1610" s="76">
        <v>1338266</v>
      </c>
      <c r="B1610" s="87">
        <v>0.64851999999999999</v>
      </c>
      <c r="C1610" s="88">
        <v>43.039700000000003</v>
      </c>
      <c r="D1610" s="88">
        <v>0.27237</v>
      </c>
      <c r="E1610" s="76">
        <v>0</v>
      </c>
      <c r="F1610" s="89" cm="1">
        <f t="array" ref="F1610">5*LOG10(((c_light/1000/H_0_SAM)*(B1610/60)*SUMPRODUCT($J$2:$AD$2,1/SQRT(Omega_m*(1+$J$1:$AD$1*B1610)^3+Omega_L)))*(1+B1610)*100000)</f>
        <v>43.014441714922988</v>
      </c>
      <c r="G1610" s="89">
        <f t="shared" si="25"/>
        <v>-2.525828507701533E-2</v>
      </c>
    </row>
    <row r="1611" spans="1:7" x14ac:dyDescent="0.6">
      <c r="A1611" s="76" t="s">
        <v>1480</v>
      </c>
      <c r="B1611" s="87">
        <v>0.64870000000000005</v>
      </c>
      <c r="C1611" s="88">
        <v>42.733499999999999</v>
      </c>
      <c r="D1611" s="88">
        <v>0.31068000000000001</v>
      </c>
      <c r="E1611" s="76">
        <v>0</v>
      </c>
      <c r="F1611" s="89" cm="1">
        <f t="array" ref="F1611">5*LOG10(((c_light/1000/H_0_SAM)*(B1611/60)*SUMPRODUCT($J$2:$AD$2,1/SQRT(Omega_m*(1+$J$1:$AD$1*B1611)^3+Omega_L)))*(1+B1611)*100000)</f>
        <v>43.015172405063012</v>
      </c>
      <c r="G1611" s="89">
        <f t="shared" si="25"/>
        <v>0.28167240506301283</v>
      </c>
    </row>
    <row r="1612" spans="1:7" x14ac:dyDescent="0.6">
      <c r="A1612" s="76">
        <v>1334707</v>
      </c>
      <c r="B1612" s="87">
        <v>0.64961999999999998</v>
      </c>
      <c r="C1612" s="88">
        <v>42.780500000000004</v>
      </c>
      <c r="D1612" s="88">
        <v>0.14957000000000001</v>
      </c>
      <c r="E1612" s="76">
        <v>0</v>
      </c>
      <c r="F1612" s="89" cm="1">
        <f t="array" ref="F1612">5*LOG10(((c_light/1000/H_0_SAM)*(B1612/60)*SUMPRODUCT($J$2:$AD$2,1/SQRT(Omega_m*(1+$J$1:$AD$1*B1612)^3+Omega_L)))*(1+B1612)*100000)</f>
        <v>43.018904035703976</v>
      </c>
      <c r="G1612" s="89">
        <f t="shared" si="25"/>
        <v>0.23840403570397228</v>
      </c>
    </row>
    <row r="1613" spans="1:7" x14ac:dyDescent="0.6">
      <c r="A1613" s="76" t="s">
        <v>1481</v>
      </c>
      <c r="B1613" s="87">
        <v>0.66213</v>
      </c>
      <c r="C1613" s="88">
        <v>42.979300000000002</v>
      </c>
      <c r="D1613" s="88">
        <v>0.27977000000000002</v>
      </c>
      <c r="E1613" s="76">
        <v>0</v>
      </c>
      <c r="F1613" s="89" cm="1">
        <f t="array" ref="F1613">5*LOG10(((c_light/1000/H_0_SAM)*(B1613/60)*SUMPRODUCT($J$2:$AD$2,1/SQRT(Omega_m*(1+$J$1:$AD$1*B1613)^3+Omega_L)))*(1+B1613)*100000)</f>
        <v>43.069153189496994</v>
      </c>
      <c r="G1613" s="89">
        <f t="shared" si="25"/>
        <v>8.9853189496992059E-2</v>
      </c>
    </row>
    <row r="1614" spans="1:7" x14ac:dyDescent="0.6">
      <c r="A1614" s="76" t="s">
        <v>1482</v>
      </c>
      <c r="B1614" s="87">
        <v>0.66469999999999996</v>
      </c>
      <c r="C1614" s="88">
        <v>42.869799999999998</v>
      </c>
      <c r="D1614" s="88">
        <v>0.23399</v>
      </c>
      <c r="E1614" s="76">
        <v>0</v>
      </c>
      <c r="F1614" s="89" cm="1">
        <f t="array" ref="F1614">5*LOG10(((c_light/1000/H_0_SAM)*(B1614/60)*SUMPRODUCT($J$2:$AD$2,1/SQRT(Omega_m*(1+$J$1:$AD$1*B1614)^3+Omega_L)))*(1+B1614)*100000)</f>
        <v>43.079364171738646</v>
      </c>
      <c r="G1614" s="89">
        <f t="shared" si="25"/>
        <v>0.2095641717386485</v>
      </c>
    </row>
    <row r="1615" spans="1:7" x14ac:dyDescent="0.6">
      <c r="A1615" s="76" t="s">
        <v>1483</v>
      </c>
      <c r="B1615" s="87">
        <v>0.67071999999999998</v>
      </c>
      <c r="C1615" s="88">
        <v>43.067700000000002</v>
      </c>
      <c r="D1615" s="88">
        <v>0.27479999999999999</v>
      </c>
      <c r="E1615" s="76">
        <v>0</v>
      </c>
      <c r="F1615" s="89" cm="1">
        <f t="array" ref="F1615">5*LOG10(((c_light/1000/H_0_SAM)*(B1615/60)*SUMPRODUCT($J$2:$AD$2,1/SQRT(Omega_m*(1+$J$1:$AD$1*B1615)^3+Omega_L)))*(1+B1615)*100000)</f>
        <v>43.10313603062415</v>
      </c>
      <c r="G1615" s="89">
        <f t="shared" si="25"/>
        <v>3.5436030624147463E-2</v>
      </c>
    </row>
    <row r="1616" spans="1:7" x14ac:dyDescent="0.6">
      <c r="A1616" s="76" t="s">
        <v>1484</v>
      </c>
      <c r="B1616" s="87">
        <v>0.67773000000000005</v>
      </c>
      <c r="C1616" s="88">
        <v>43.225099999999998</v>
      </c>
      <c r="D1616" s="88">
        <v>0.31180000000000002</v>
      </c>
      <c r="E1616" s="76">
        <v>0</v>
      </c>
      <c r="F1616" s="89" cm="1">
        <f t="array" ref="F1616">5*LOG10(((c_light/1000/H_0_SAM)*(B1616/60)*SUMPRODUCT($J$2:$AD$2,1/SQRT(Omega_m*(1+$J$1:$AD$1*B1616)^3+Omega_L)))*(1+B1616)*100000)</f>
        <v>43.130562231674318</v>
      </c>
      <c r="G1616" s="89">
        <f t="shared" si="25"/>
        <v>-9.4537768325679394E-2</v>
      </c>
    </row>
    <row r="1617" spans="1:7" x14ac:dyDescent="0.6">
      <c r="A1617" s="76" t="s">
        <v>1485</v>
      </c>
      <c r="B1617" s="87">
        <v>0.68189999999999995</v>
      </c>
      <c r="C1617" s="88">
        <v>42.837600000000002</v>
      </c>
      <c r="D1617" s="88">
        <v>0.23937</v>
      </c>
      <c r="E1617" s="76">
        <v>0</v>
      </c>
      <c r="F1617" s="89" cm="1">
        <f t="array" ref="F1617">5*LOG10(((c_light/1000/H_0_SAM)*(B1617/60)*SUMPRODUCT($J$2:$AD$2,1/SQRT(Omega_m*(1+$J$1:$AD$1*B1617)^3+Omega_L)))*(1+B1617)*100000)</f>
        <v>43.146749018542927</v>
      </c>
      <c r="G1617" s="89">
        <f t="shared" si="25"/>
        <v>0.30914901854292509</v>
      </c>
    </row>
    <row r="1618" spans="1:7" x14ac:dyDescent="0.6">
      <c r="A1618" s="76" t="s">
        <v>1486</v>
      </c>
      <c r="B1618" s="87">
        <v>0.68371999999999999</v>
      </c>
      <c r="C1618" s="88">
        <v>43.171599999999998</v>
      </c>
      <c r="D1618" s="88">
        <v>0.40772999999999998</v>
      </c>
      <c r="E1618" s="76">
        <v>0</v>
      </c>
      <c r="F1618" s="89" cm="1">
        <f t="array" ref="F1618">5*LOG10(((c_light/1000/H_0_SAM)*(B1618/60)*SUMPRODUCT($J$2:$AD$2,1/SQRT(Omega_m*(1+$J$1:$AD$1*B1618)^3+Omega_L)))*(1+B1618)*100000)</f>
        <v>43.153784160175199</v>
      </c>
      <c r="G1618" s="89">
        <f t="shared" si="25"/>
        <v>-1.7815839824798729E-2</v>
      </c>
    </row>
    <row r="1619" spans="1:7" x14ac:dyDescent="0.6">
      <c r="A1619" s="76" t="s">
        <v>1487</v>
      </c>
      <c r="B1619" s="87">
        <v>0.68518999999999997</v>
      </c>
      <c r="C1619" s="88">
        <v>43.016599999999997</v>
      </c>
      <c r="D1619" s="88">
        <v>0.36617</v>
      </c>
      <c r="E1619" s="76">
        <v>0</v>
      </c>
      <c r="F1619" s="89" cm="1">
        <f t="array" ref="F1619">5*LOG10(((c_light/1000/H_0_SAM)*(B1619/60)*SUMPRODUCT($J$2:$AD$2,1/SQRT(Omega_m*(1+$J$1:$AD$1*B1619)^3+Omega_L)))*(1+B1619)*100000)</f>
        <v>43.159453350280913</v>
      </c>
      <c r="G1619" s="89">
        <f t="shared" si="25"/>
        <v>0.14285335028091595</v>
      </c>
    </row>
    <row r="1620" spans="1:7" x14ac:dyDescent="0.6">
      <c r="A1620" s="76" t="s">
        <v>1488</v>
      </c>
      <c r="B1620" s="87">
        <v>0.68872</v>
      </c>
      <c r="C1620" s="88">
        <v>42.813699999999997</v>
      </c>
      <c r="D1620" s="88">
        <v>0.22650999999999999</v>
      </c>
      <c r="E1620" s="76">
        <v>0</v>
      </c>
      <c r="F1620" s="89" cm="1">
        <f t="array" ref="F1620">5*LOG10(((c_light/1000/H_0_SAM)*(B1620/60)*SUMPRODUCT($J$2:$AD$2,1/SQRT(Omega_m*(1+$J$1:$AD$1*B1620)^3+Omega_L)))*(1+B1620)*100000)</f>
        <v>43.173019826540049</v>
      </c>
      <c r="G1620" s="89">
        <f t="shared" si="25"/>
        <v>0.35931982654005168</v>
      </c>
    </row>
    <row r="1621" spans="1:7" x14ac:dyDescent="0.6">
      <c r="A1621" s="76">
        <v>1262715</v>
      </c>
      <c r="B1621" s="87">
        <v>0.68935000000000002</v>
      </c>
      <c r="C1621" s="88">
        <v>42.853499999999997</v>
      </c>
      <c r="D1621" s="88">
        <v>0.15676999999999999</v>
      </c>
      <c r="E1621" s="76">
        <v>0</v>
      </c>
      <c r="F1621" s="89" cm="1">
        <f t="array" ref="F1621">5*LOG10(((c_light/1000/H_0_SAM)*(B1621/60)*SUMPRODUCT($J$2:$AD$2,1/SQRT(Omega_m*(1+$J$1:$AD$1*B1621)^3+Omega_L)))*(1+B1621)*100000)</f>
        <v>43.175434052451664</v>
      </c>
      <c r="G1621" s="89">
        <f t="shared" si="25"/>
        <v>0.32193405245166673</v>
      </c>
    </row>
    <row r="1622" spans="1:7" x14ac:dyDescent="0.6">
      <c r="A1622" s="76">
        <v>1262214</v>
      </c>
      <c r="B1622" s="87">
        <v>0.68935999999999997</v>
      </c>
      <c r="C1622" s="88">
        <v>43.044400000000003</v>
      </c>
      <c r="D1622" s="88">
        <v>0.27199000000000001</v>
      </c>
      <c r="E1622" s="76">
        <v>0</v>
      </c>
      <c r="F1622" s="89" cm="1">
        <f t="array" ref="F1622">5*LOG10(((c_light/1000/H_0_SAM)*(B1622/60)*SUMPRODUCT($J$2:$AD$2,1/SQRT(Omega_m*(1+$J$1:$AD$1*B1622)^3+Omega_L)))*(1+B1622)*100000)</f>
        <v>43.175472356501167</v>
      </c>
      <c r="G1622" s="89">
        <f t="shared" si="25"/>
        <v>0.13107235650116422</v>
      </c>
    </row>
    <row r="1623" spans="1:7" x14ac:dyDescent="0.6">
      <c r="A1623" s="76" t="s">
        <v>1489</v>
      </c>
      <c r="B1623" s="87">
        <v>0.69072</v>
      </c>
      <c r="C1623" s="88">
        <v>42.914299999999997</v>
      </c>
      <c r="D1623" s="88">
        <v>0.42586000000000002</v>
      </c>
      <c r="E1623" s="76">
        <v>0</v>
      </c>
      <c r="F1623" s="89" cm="1">
        <f t="array" ref="F1623">5*LOG10(((c_light/1000/H_0_SAM)*(B1623/60)*SUMPRODUCT($J$2:$AD$2,1/SQRT(Omega_m*(1+$J$1:$AD$1*B1623)^3+Omega_L)))*(1+B1623)*100000)</f>
        <v>43.180676768019609</v>
      </c>
      <c r="G1623" s="89">
        <f t="shared" si="25"/>
        <v>0.26637676801961163</v>
      </c>
    </row>
    <row r="1624" spans="1:7" x14ac:dyDescent="0.6">
      <c r="A1624" s="76" t="s">
        <v>1490</v>
      </c>
      <c r="B1624" s="87">
        <v>0.69318000000000002</v>
      </c>
      <c r="C1624" s="88">
        <v>42.916200000000003</v>
      </c>
      <c r="D1624" s="88">
        <v>0.31802000000000002</v>
      </c>
      <c r="E1624" s="76">
        <v>0</v>
      </c>
      <c r="F1624" s="89" cm="1">
        <f t="array" ref="F1624">5*LOG10(((c_light/1000/H_0_SAM)*(B1624/60)*SUMPRODUCT($J$2:$AD$2,1/SQRT(Omega_m*(1+$J$1:$AD$1*B1624)^3+Omega_L)))*(1+B1624)*100000)</f>
        <v>43.190065804787672</v>
      </c>
      <c r="G1624" s="89">
        <f t="shared" si="25"/>
        <v>0.27386580478766831</v>
      </c>
    </row>
    <row r="1625" spans="1:7" x14ac:dyDescent="0.6">
      <c r="A1625" s="76" t="s">
        <v>1491</v>
      </c>
      <c r="B1625" s="87">
        <v>0.69718000000000002</v>
      </c>
      <c r="C1625" s="88">
        <v>42.969200000000001</v>
      </c>
      <c r="D1625" s="88">
        <v>0.21274000000000001</v>
      </c>
      <c r="E1625" s="76">
        <v>0</v>
      </c>
      <c r="F1625" s="89" cm="1">
        <f t="array" ref="F1625">5*LOG10(((c_light/1000/H_0_SAM)*(B1625/60)*SUMPRODUCT($J$2:$AD$2,1/SQRT(Omega_m*(1+$J$1:$AD$1*B1625)^3+Omega_L)))*(1+B1625)*100000)</f>
        <v>43.205264747303652</v>
      </c>
      <c r="G1625" s="89">
        <f t="shared" si="25"/>
        <v>0.23606474730365079</v>
      </c>
    </row>
    <row r="1626" spans="1:7" x14ac:dyDescent="0.6">
      <c r="A1626" s="76" t="s">
        <v>1492</v>
      </c>
      <c r="B1626" s="87">
        <v>0.69818000000000002</v>
      </c>
      <c r="C1626" s="88">
        <v>42.967100000000002</v>
      </c>
      <c r="D1626" s="88">
        <v>0.34281</v>
      </c>
      <c r="E1626" s="76">
        <v>0</v>
      </c>
      <c r="F1626" s="89" cm="1">
        <f t="array" ref="F1626">5*LOG10(((c_light/1000/H_0_SAM)*(B1626/60)*SUMPRODUCT($J$2:$AD$2,1/SQRT(Omega_m*(1+$J$1:$AD$1*B1626)^3+Omega_L)))*(1+B1626)*100000)</f>
        <v>43.209051454538489</v>
      </c>
      <c r="G1626" s="89">
        <f t="shared" si="25"/>
        <v>0.2419514545384871</v>
      </c>
    </row>
    <row r="1627" spans="1:7" x14ac:dyDescent="0.6">
      <c r="A1627" s="76" t="s">
        <v>1493</v>
      </c>
      <c r="B1627" s="87">
        <v>0.69918000000000002</v>
      </c>
      <c r="C1627" s="88">
        <v>42.940199999999997</v>
      </c>
      <c r="D1627" s="88">
        <v>0.33845999999999998</v>
      </c>
      <c r="E1627" s="76">
        <v>0</v>
      </c>
      <c r="F1627" s="89" cm="1">
        <f t="array" ref="F1627">5*LOG10(((c_light/1000/H_0_SAM)*(B1627/60)*SUMPRODUCT($J$2:$AD$2,1/SQRT(Omega_m*(1+$J$1:$AD$1*B1627)^3+Omega_L)))*(1+B1627)*100000)</f>
        <v>43.21283297838314</v>
      </c>
      <c r="G1627" s="89">
        <f t="shared" si="25"/>
        <v>0.27263297838314315</v>
      </c>
    </row>
    <row r="1628" spans="1:7" x14ac:dyDescent="0.6">
      <c r="A1628" s="76" t="s">
        <v>1494</v>
      </c>
      <c r="B1628" s="87">
        <v>0.69918000000000002</v>
      </c>
      <c r="C1628" s="88">
        <v>43.069099999999999</v>
      </c>
      <c r="D1628" s="88">
        <v>0.21535000000000001</v>
      </c>
      <c r="E1628" s="76">
        <v>0</v>
      </c>
      <c r="F1628" s="89" cm="1">
        <f t="array" ref="F1628">5*LOG10(((c_light/1000/H_0_SAM)*(B1628/60)*SUMPRODUCT($J$2:$AD$2,1/SQRT(Omega_m*(1+$J$1:$AD$1*B1628)^3+Omega_L)))*(1+B1628)*100000)</f>
        <v>43.21283297838314</v>
      </c>
      <c r="G1628" s="89">
        <f t="shared" si="25"/>
        <v>0.14373297838314159</v>
      </c>
    </row>
    <row r="1629" spans="1:7" x14ac:dyDescent="0.6">
      <c r="A1629" s="76">
        <v>1335718</v>
      </c>
      <c r="B1629" s="87">
        <v>0.69932000000000005</v>
      </c>
      <c r="C1629" s="88">
        <v>43.110700000000001</v>
      </c>
      <c r="D1629" s="88">
        <v>0.15590000000000001</v>
      </c>
      <c r="E1629" s="76">
        <v>0</v>
      </c>
      <c r="F1629" s="89" cm="1">
        <f t="array" ref="F1629">5*LOG10(((c_light/1000/H_0_SAM)*(B1629/60)*SUMPRODUCT($J$2:$AD$2,1/SQRT(Omega_m*(1+$J$1:$AD$1*B1629)^3+Omega_L)))*(1+B1629)*100000)</f>
        <v>43.21336197887787</v>
      </c>
      <c r="G1629" s="89">
        <f t="shared" si="25"/>
        <v>0.10266197887786888</v>
      </c>
    </row>
    <row r="1630" spans="1:7" x14ac:dyDescent="0.6">
      <c r="A1630" s="76" t="s">
        <v>1495</v>
      </c>
      <c r="B1630" s="87">
        <v>0.69991999999999999</v>
      </c>
      <c r="C1630" s="88">
        <v>43.114699999999999</v>
      </c>
      <c r="D1630" s="88">
        <v>0.29537999999999998</v>
      </c>
      <c r="E1630" s="76">
        <v>0</v>
      </c>
      <c r="F1630" s="89" cm="1">
        <f t="array" ref="F1630">5*LOG10(((c_light/1000/H_0_SAM)*(B1630/60)*SUMPRODUCT($J$2:$AD$2,1/SQRT(Omega_m*(1+$J$1:$AD$1*B1630)^3+Omega_L)))*(1+B1630)*100000)</f>
        <v>43.215627977127397</v>
      </c>
      <c r="G1630" s="89">
        <f t="shared" si="25"/>
        <v>0.10092797712739809</v>
      </c>
    </row>
    <row r="1631" spans="1:7" x14ac:dyDescent="0.6">
      <c r="A1631" s="76" t="s">
        <v>1496</v>
      </c>
      <c r="B1631" s="87">
        <v>0.70069999999999999</v>
      </c>
      <c r="C1631" s="88">
        <v>42.917000000000002</v>
      </c>
      <c r="D1631" s="88">
        <v>0.22319</v>
      </c>
      <c r="E1631" s="76">
        <v>0</v>
      </c>
      <c r="F1631" s="89" cm="1">
        <f t="array" ref="F1631">5*LOG10(((c_light/1000/H_0_SAM)*(B1631/60)*SUMPRODUCT($J$2:$AD$2,1/SQRT(Omega_m*(1+$J$1:$AD$1*B1631)^3+Omega_L)))*(1+B1631)*100000)</f>
        <v>43.218570998580432</v>
      </c>
      <c r="G1631" s="89">
        <f t="shared" si="25"/>
        <v>0.30157099858043068</v>
      </c>
    </row>
    <row r="1632" spans="1:7" x14ac:dyDescent="0.6">
      <c r="A1632" s="76" t="s">
        <v>1497</v>
      </c>
      <c r="B1632" s="87">
        <v>0.70116999999999996</v>
      </c>
      <c r="C1632" s="88">
        <v>43.096800000000002</v>
      </c>
      <c r="D1632" s="88">
        <v>0.26157999999999998</v>
      </c>
      <c r="E1632" s="76">
        <v>0</v>
      </c>
      <c r="F1632" s="89" cm="1">
        <f t="array" ref="F1632">5*LOG10(((c_light/1000/H_0_SAM)*(B1632/60)*SUMPRODUCT($J$2:$AD$2,1/SQRT(Omega_m*(1+$J$1:$AD$1*B1632)^3+Omega_L)))*(1+B1632)*100000)</f>
        <v>43.220342844868512</v>
      </c>
      <c r="G1632" s="89">
        <f t="shared" si="25"/>
        <v>0.12354284486850986</v>
      </c>
    </row>
    <row r="1633" spans="1:7" x14ac:dyDescent="0.6">
      <c r="A1633" s="76" t="s">
        <v>1498</v>
      </c>
      <c r="B1633" s="87">
        <v>0.70191999999999999</v>
      </c>
      <c r="C1633" s="88">
        <v>42.8962</v>
      </c>
      <c r="D1633" s="88">
        <v>0.46271000000000001</v>
      </c>
      <c r="E1633" s="76">
        <v>0</v>
      </c>
      <c r="F1633" s="89" cm="1">
        <f t="array" ref="F1633">5*LOG10(((c_light/1000/H_0_SAM)*(B1633/60)*SUMPRODUCT($J$2:$AD$2,1/SQRT(Omega_m*(1+$J$1:$AD$1*B1633)^3+Omega_L)))*(1+B1633)*100000)</f>
        <v>43.22316790725975</v>
      </c>
      <c r="G1633" s="89">
        <f t="shared" si="25"/>
        <v>0.32696790725974978</v>
      </c>
    </row>
    <row r="1634" spans="1:7" x14ac:dyDescent="0.6">
      <c r="A1634" s="76" t="s">
        <v>1499</v>
      </c>
      <c r="B1634" s="87">
        <v>0.70191999999999999</v>
      </c>
      <c r="C1634" s="88">
        <v>43.043300000000002</v>
      </c>
      <c r="D1634" s="88">
        <v>0.25274999999999997</v>
      </c>
      <c r="E1634" s="76">
        <v>0</v>
      </c>
      <c r="F1634" s="89" cm="1">
        <f t="array" ref="F1634">5*LOG10(((c_light/1000/H_0_SAM)*(B1634/60)*SUMPRODUCT($J$2:$AD$2,1/SQRT(Omega_m*(1+$J$1:$AD$1*B1634)^3+Omega_L)))*(1+B1634)*100000)</f>
        <v>43.22316790725975</v>
      </c>
      <c r="G1634" s="89">
        <f t="shared" si="25"/>
        <v>0.17986790725974799</v>
      </c>
    </row>
    <row r="1635" spans="1:7" x14ac:dyDescent="0.6">
      <c r="A1635" s="76" t="s">
        <v>1500</v>
      </c>
      <c r="B1635" s="87">
        <v>0.71570999999999996</v>
      </c>
      <c r="C1635" s="88">
        <v>42.994399999999999</v>
      </c>
      <c r="D1635" s="88">
        <v>0.24593000000000001</v>
      </c>
      <c r="E1635" s="76">
        <v>0</v>
      </c>
      <c r="F1635" s="89" cm="1">
        <f t="array" ref="F1635">5*LOG10(((c_light/1000/H_0_SAM)*(B1635/60)*SUMPRODUCT($J$2:$AD$2,1/SQRT(Omega_m*(1+$J$1:$AD$1*B1635)^3+Omega_L)))*(1+B1635)*100000)</f>
        <v>43.274602800422286</v>
      </c>
      <c r="G1635" s="89">
        <f t="shared" si="25"/>
        <v>0.28020280042228762</v>
      </c>
    </row>
    <row r="1636" spans="1:7" x14ac:dyDescent="0.6">
      <c r="A1636" s="76" t="s">
        <v>1501</v>
      </c>
      <c r="B1636" s="87">
        <v>0.71874000000000005</v>
      </c>
      <c r="C1636" s="88">
        <v>42.873899999999999</v>
      </c>
      <c r="D1636" s="88">
        <v>0.18842999999999999</v>
      </c>
      <c r="E1636" s="76">
        <v>0</v>
      </c>
      <c r="F1636" s="89" cm="1">
        <f t="array" ref="F1636">5*LOG10(((c_light/1000/H_0_SAM)*(B1636/60)*SUMPRODUCT($J$2:$AD$2,1/SQRT(Omega_m*(1+$J$1:$AD$1*B1636)^3+Omega_L)))*(1+B1636)*100000)</f>
        <v>43.285777015198235</v>
      </c>
      <c r="G1636" s="89">
        <f t="shared" si="25"/>
        <v>0.41187701519823605</v>
      </c>
    </row>
    <row r="1637" spans="1:7" x14ac:dyDescent="0.6">
      <c r="A1637" s="76">
        <v>1331993</v>
      </c>
      <c r="B1637" s="87">
        <v>0.71967999999999999</v>
      </c>
      <c r="C1637" s="88">
        <v>43.163800000000002</v>
      </c>
      <c r="D1637" s="88">
        <v>0.20455000000000001</v>
      </c>
      <c r="E1637" s="76">
        <v>0</v>
      </c>
      <c r="F1637" s="89" cm="1">
        <f t="array" ref="F1637">5*LOG10(((c_light/1000/H_0_SAM)*(B1637/60)*SUMPRODUCT($J$2:$AD$2,1/SQRT(Omega_m*(1+$J$1:$AD$1*B1637)^3+Omega_L)))*(1+B1637)*100000)</f>
        <v>43.28923442695136</v>
      </c>
      <c r="G1637" s="89">
        <f t="shared" si="25"/>
        <v>0.12543442695135809</v>
      </c>
    </row>
    <row r="1638" spans="1:7" x14ac:dyDescent="0.6">
      <c r="A1638" s="76" t="s">
        <v>1502</v>
      </c>
      <c r="B1638" s="87">
        <v>0.71969000000000005</v>
      </c>
      <c r="C1638" s="88">
        <v>42.97</v>
      </c>
      <c r="D1638" s="88">
        <v>0.34222999999999998</v>
      </c>
      <c r="E1638" s="76">
        <v>0</v>
      </c>
      <c r="F1638" s="89" cm="1">
        <f t="array" ref="F1638">5*LOG10(((c_light/1000/H_0_SAM)*(B1638/60)*SUMPRODUCT($J$2:$AD$2,1/SQRT(Omega_m*(1+$J$1:$AD$1*B1638)^3+Omega_L)))*(1+B1638)*100000)</f>
        <v>43.289271184648172</v>
      </c>
      <c r="G1638" s="89">
        <f t="shared" si="25"/>
        <v>0.31927118464817283</v>
      </c>
    </row>
    <row r="1639" spans="1:7" x14ac:dyDescent="0.6">
      <c r="A1639" s="76" t="s">
        <v>1503</v>
      </c>
      <c r="B1639" s="87">
        <v>0.72014999999999996</v>
      </c>
      <c r="C1639" s="88">
        <v>43.161200000000001</v>
      </c>
      <c r="D1639" s="88">
        <v>0.24315999999999999</v>
      </c>
      <c r="E1639" s="76">
        <v>0</v>
      </c>
      <c r="F1639" s="89" cm="1">
        <f t="array" ref="F1639">5*LOG10(((c_light/1000/H_0_SAM)*(B1639/60)*SUMPRODUCT($J$2:$AD$2,1/SQRT(Omega_m*(1+$J$1:$AD$1*B1639)^3+Omega_L)))*(1+B1639)*100000)</f>
        <v>43.290961509561612</v>
      </c>
      <c r="G1639" s="89">
        <f t="shared" si="25"/>
        <v>0.12976150956161092</v>
      </c>
    </row>
    <row r="1640" spans="1:7" x14ac:dyDescent="0.6">
      <c r="A1640" s="76" t="s">
        <v>1504</v>
      </c>
      <c r="B1640" s="87">
        <v>0.72074000000000005</v>
      </c>
      <c r="C1640" s="88">
        <v>43.045900000000003</v>
      </c>
      <c r="D1640" s="88">
        <v>0.30517</v>
      </c>
      <c r="E1640" s="76">
        <v>0</v>
      </c>
      <c r="F1640" s="89" cm="1">
        <f t="array" ref="F1640">5*LOG10(((c_light/1000/H_0_SAM)*(B1640/60)*SUMPRODUCT($J$2:$AD$2,1/SQRT(Omega_m*(1+$J$1:$AD$1*B1640)^3+Omega_L)))*(1+B1640)*100000)</f>
        <v>43.293128020190792</v>
      </c>
      <c r="G1640" s="89">
        <f t="shared" si="25"/>
        <v>0.24722802019078927</v>
      </c>
    </row>
    <row r="1641" spans="1:7" x14ac:dyDescent="0.6">
      <c r="A1641" s="76" t="s">
        <v>1505</v>
      </c>
      <c r="B1641" s="87">
        <v>0.72674000000000005</v>
      </c>
      <c r="C1641" s="88">
        <v>43.081099999999999</v>
      </c>
      <c r="D1641" s="88">
        <v>0.24836</v>
      </c>
      <c r="E1641" s="76">
        <v>0</v>
      </c>
      <c r="F1641" s="89" cm="1">
        <f t="array" ref="F1641">5*LOG10(((c_light/1000/H_0_SAM)*(B1641/60)*SUMPRODUCT($J$2:$AD$2,1/SQRT(Omega_m*(1+$J$1:$AD$1*B1641)^3+Omega_L)))*(1+B1641)*100000)</f>
        <v>43.315064235972748</v>
      </c>
      <c r="G1641" s="89">
        <f t="shared" si="25"/>
        <v>0.23396423597274918</v>
      </c>
    </row>
    <row r="1642" spans="1:7" x14ac:dyDescent="0.6">
      <c r="A1642" s="76" t="s">
        <v>1506</v>
      </c>
      <c r="B1642" s="87">
        <v>0.72774000000000005</v>
      </c>
      <c r="C1642" s="88">
        <v>43.008000000000003</v>
      </c>
      <c r="D1642" s="88">
        <v>0.25708999999999999</v>
      </c>
      <c r="E1642" s="76">
        <v>0</v>
      </c>
      <c r="F1642" s="89" cm="1">
        <f t="array" ref="F1642">5*LOG10(((c_light/1000/H_0_SAM)*(B1642/60)*SUMPRODUCT($J$2:$AD$2,1/SQRT(Omega_m*(1+$J$1:$AD$1*B1642)^3+Omega_L)))*(1+B1642)*100000)</f>
        <v>43.31870337065881</v>
      </c>
      <c r="G1642" s="89">
        <f t="shared" si="25"/>
        <v>0.31070337065880693</v>
      </c>
    </row>
    <row r="1643" spans="1:7" x14ac:dyDescent="0.6">
      <c r="A1643" s="76">
        <v>1304127</v>
      </c>
      <c r="B1643" s="87">
        <v>0.72865999999999997</v>
      </c>
      <c r="C1643" s="88">
        <v>43.005000000000003</v>
      </c>
      <c r="D1643" s="88">
        <v>0.28349999999999997</v>
      </c>
      <c r="E1643" s="76">
        <v>0</v>
      </c>
      <c r="F1643" s="89" cm="1">
        <f t="array" ref="F1643">5*LOG10(((c_light/1000/H_0_SAM)*(B1643/60)*SUMPRODUCT($J$2:$AD$2,1/SQRT(Omega_m*(1+$J$1:$AD$1*B1643)^3+Omega_L)))*(1+B1643)*100000)</f>
        <v>43.322047138666392</v>
      </c>
      <c r="G1643" s="89">
        <f t="shared" si="25"/>
        <v>0.31704713866638912</v>
      </c>
    </row>
    <row r="1644" spans="1:7" x14ac:dyDescent="0.6">
      <c r="A1644" s="76" t="s">
        <v>1507</v>
      </c>
      <c r="B1644" s="87">
        <v>0.73014000000000001</v>
      </c>
      <c r="C1644" s="88">
        <v>42.918599999999998</v>
      </c>
      <c r="D1644" s="88">
        <v>0.32196000000000002</v>
      </c>
      <c r="E1644" s="76">
        <v>0</v>
      </c>
      <c r="F1644" s="89" cm="1">
        <f t="array" ref="F1644">5*LOG10(((c_light/1000/H_0_SAM)*(B1644/60)*SUMPRODUCT($J$2:$AD$2,1/SQRT(Omega_m*(1+$J$1:$AD$1*B1644)^3+Omega_L)))*(1+B1644)*100000)</f>
        <v>43.327417750687459</v>
      </c>
      <c r="G1644" s="89">
        <f t="shared" si="25"/>
        <v>0.40881775068746151</v>
      </c>
    </row>
    <row r="1645" spans="1:7" x14ac:dyDescent="0.6">
      <c r="A1645" s="76">
        <v>1329166</v>
      </c>
      <c r="B1645" s="87">
        <v>0.73160999999999998</v>
      </c>
      <c r="C1645" s="88">
        <v>43.179900000000004</v>
      </c>
      <c r="D1645" s="88">
        <v>0.19642000000000001</v>
      </c>
      <c r="E1645" s="76">
        <v>0</v>
      </c>
      <c r="F1645" s="89" cm="1">
        <f t="array" ref="F1645">5*LOG10(((c_light/1000/H_0_SAM)*(B1645/60)*SUMPRODUCT($J$2:$AD$2,1/SQRT(Omega_m*(1+$J$1:$AD$1*B1645)^3+Omega_L)))*(1+B1645)*100000)</f>
        <v>43.332741740290075</v>
      </c>
      <c r="G1645" s="89">
        <f t="shared" si="25"/>
        <v>0.15284174029007147</v>
      </c>
    </row>
    <row r="1646" spans="1:7" x14ac:dyDescent="0.6">
      <c r="A1646" s="76" t="s">
        <v>1508</v>
      </c>
      <c r="B1646" s="87">
        <v>0.73368</v>
      </c>
      <c r="C1646" s="88">
        <v>42.984499999999997</v>
      </c>
      <c r="D1646" s="88">
        <v>0.19589999999999999</v>
      </c>
      <c r="E1646" s="76">
        <v>0</v>
      </c>
      <c r="F1646" s="89" cm="1">
        <f t="array" ref="F1646">5*LOG10(((c_light/1000/H_0_SAM)*(B1646/60)*SUMPRODUCT($J$2:$AD$2,1/SQRT(Omega_m*(1+$J$1:$AD$1*B1646)^3+Omega_L)))*(1+B1646)*100000)</f>
        <v>43.340221398468984</v>
      </c>
      <c r="G1646" s="89">
        <f t="shared" si="25"/>
        <v>0.35572139846898665</v>
      </c>
    </row>
    <row r="1647" spans="1:7" x14ac:dyDescent="0.6">
      <c r="A1647" s="76" t="s">
        <v>1509</v>
      </c>
      <c r="B1647" s="87">
        <v>0.73394999999999999</v>
      </c>
      <c r="C1647" s="88">
        <v>43.22</v>
      </c>
      <c r="D1647" s="88">
        <v>0.38829000000000002</v>
      </c>
      <c r="E1647" s="76">
        <v>0</v>
      </c>
      <c r="F1647" s="89" cm="1">
        <f t="array" ref="F1647">5*LOG10(((c_light/1000/H_0_SAM)*(B1647/60)*SUMPRODUCT($J$2:$AD$2,1/SQRT(Omega_m*(1+$J$1:$AD$1*B1647)^3+Omega_L)))*(1+B1647)*100000)</f>
        <v>43.341195511705131</v>
      </c>
      <c r="G1647" s="89">
        <f t="shared" si="25"/>
        <v>0.12119551170513176</v>
      </c>
    </row>
    <row r="1648" spans="1:7" x14ac:dyDescent="0.6">
      <c r="A1648" s="76" t="s">
        <v>1510</v>
      </c>
      <c r="B1648" s="87">
        <v>0.73494999999999999</v>
      </c>
      <c r="C1648" s="88">
        <v>43.253700000000002</v>
      </c>
      <c r="D1648" s="88">
        <v>0.22461999999999999</v>
      </c>
      <c r="E1648" s="76">
        <v>0</v>
      </c>
      <c r="F1648" s="89" cm="1">
        <f t="array" ref="F1648">5*LOG10(((c_light/1000/H_0_SAM)*(B1648/60)*SUMPRODUCT($J$2:$AD$2,1/SQRT(Omega_m*(1+$J$1:$AD$1*B1648)^3+Omega_L)))*(1+B1648)*100000)</f>
        <v>43.34480034320304</v>
      </c>
      <c r="G1648" s="89">
        <f t="shared" si="25"/>
        <v>9.1100343203038392E-2</v>
      </c>
    </row>
    <row r="1649" spans="1:7" x14ac:dyDescent="0.6">
      <c r="A1649" s="76" t="s">
        <v>1511</v>
      </c>
      <c r="B1649" s="87">
        <v>0.73568</v>
      </c>
      <c r="C1649" s="88">
        <v>43.180700000000002</v>
      </c>
      <c r="D1649" s="88">
        <v>0.25711000000000001</v>
      </c>
      <c r="E1649" s="76">
        <v>0</v>
      </c>
      <c r="F1649" s="89" cm="1">
        <f t="array" ref="F1649">5*LOG10(((c_light/1000/H_0_SAM)*(B1649/60)*SUMPRODUCT($J$2:$AD$2,1/SQRT(Omega_m*(1+$J$1:$AD$1*B1649)^3+Omega_L)))*(1+B1649)*100000)</f>
        <v>43.347428896704145</v>
      </c>
      <c r="G1649" s="89">
        <f t="shared" si="25"/>
        <v>0.16672889670414293</v>
      </c>
    </row>
    <row r="1650" spans="1:7" x14ac:dyDescent="0.6">
      <c r="A1650" s="76" t="s">
        <v>1512</v>
      </c>
      <c r="B1650" s="87">
        <v>0.73595999999999995</v>
      </c>
      <c r="C1650" s="88">
        <v>43.167499999999997</v>
      </c>
      <c r="D1650" s="88">
        <v>0.42564000000000002</v>
      </c>
      <c r="E1650" s="76">
        <v>0</v>
      </c>
      <c r="F1650" s="89" cm="1">
        <f t="array" ref="F1650">5*LOG10(((c_light/1000/H_0_SAM)*(B1650/60)*SUMPRODUCT($J$2:$AD$2,1/SQRT(Omega_m*(1+$J$1:$AD$1*B1650)^3+Omega_L)))*(1+B1650)*100000)</f>
        <v>43.348436444291934</v>
      </c>
      <c r="G1650" s="89">
        <f t="shared" si="25"/>
        <v>0.18093644429193745</v>
      </c>
    </row>
    <row r="1651" spans="1:7" x14ac:dyDescent="0.6">
      <c r="A1651" s="76" t="s">
        <v>1513</v>
      </c>
      <c r="B1651" s="87">
        <v>0.73675000000000002</v>
      </c>
      <c r="C1651" s="88">
        <v>42.991999999999997</v>
      </c>
      <c r="D1651" s="88">
        <v>0.21489</v>
      </c>
      <c r="E1651" s="76">
        <v>0</v>
      </c>
      <c r="F1651" s="89" cm="1">
        <f t="array" ref="F1651">5*LOG10(((c_light/1000/H_0_SAM)*(B1651/60)*SUMPRODUCT($J$2:$AD$2,1/SQRT(Omega_m*(1+$J$1:$AD$1*B1651)^3+Omega_L)))*(1+B1651)*100000)</f>
        <v>43.351277184023722</v>
      </c>
      <c r="G1651" s="89">
        <f t="shared" si="25"/>
        <v>0.35927718402372477</v>
      </c>
    </row>
    <row r="1652" spans="1:7" x14ac:dyDescent="0.6">
      <c r="A1652" s="76" t="s">
        <v>1514</v>
      </c>
      <c r="B1652" s="87">
        <v>0.74195999999999995</v>
      </c>
      <c r="C1652" s="88">
        <v>43.481299999999997</v>
      </c>
      <c r="D1652" s="88">
        <v>0.32513999999999998</v>
      </c>
      <c r="E1652" s="76">
        <v>0</v>
      </c>
      <c r="F1652" s="89" cm="1">
        <f t="array" ref="F1652">5*LOG10(((c_light/1000/H_0_SAM)*(B1652/60)*SUMPRODUCT($J$2:$AD$2,1/SQRT(Omega_m*(1+$J$1:$AD$1*B1652)^3+Omega_L)))*(1+B1652)*100000)</f>
        <v>43.369938708298321</v>
      </c>
      <c r="G1652" s="89">
        <f t="shared" si="25"/>
        <v>-0.11136129170167663</v>
      </c>
    </row>
    <row r="1653" spans="1:7" x14ac:dyDescent="0.6">
      <c r="A1653" s="76" t="s">
        <v>1515</v>
      </c>
      <c r="B1653" s="87">
        <v>0.74275999999999998</v>
      </c>
      <c r="C1653" s="88">
        <v>43.082500000000003</v>
      </c>
      <c r="D1653" s="88">
        <v>0.32718000000000003</v>
      </c>
      <c r="E1653" s="76">
        <v>0</v>
      </c>
      <c r="F1653" s="89" cm="1">
        <f t="array" ref="F1653">5*LOG10(((c_light/1000/H_0_SAM)*(B1653/60)*SUMPRODUCT($J$2:$AD$2,1/SQRT(Omega_m*(1+$J$1:$AD$1*B1653)^3+Omega_L)))*(1+B1653)*100000)</f>
        <v>43.372793041857356</v>
      </c>
      <c r="G1653" s="89">
        <f t="shared" si="25"/>
        <v>0.29029304185735327</v>
      </c>
    </row>
    <row r="1654" spans="1:7" x14ac:dyDescent="0.6">
      <c r="A1654" s="76" t="s">
        <v>1516</v>
      </c>
      <c r="B1654" s="87">
        <v>0.74573</v>
      </c>
      <c r="C1654" s="88">
        <v>43.167499999999997</v>
      </c>
      <c r="D1654" s="88">
        <v>0.19517999999999999</v>
      </c>
      <c r="E1654" s="76">
        <v>0</v>
      </c>
      <c r="F1654" s="89" cm="1">
        <f t="array" ref="F1654">5*LOG10(((c_light/1000/H_0_SAM)*(B1654/60)*SUMPRODUCT($J$2:$AD$2,1/SQRT(Omega_m*(1+$J$1:$AD$1*B1654)^3+Omega_L)))*(1+B1654)*100000)</f>
        <v>43.383363962687092</v>
      </c>
      <c r="G1654" s="89">
        <f t="shared" si="25"/>
        <v>0.21586396268709507</v>
      </c>
    </row>
    <row r="1655" spans="1:7" x14ac:dyDescent="0.6">
      <c r="A1655" s="76" t="s">
        <v>1517</v>
      </c>
      <c r="B1655" s="87">
        <v>0.74607000000000001</v>
      </c>
      <c r="C1655" s="88">
        <v>42.981699999999996</v>
      </c>
      <c r="D1655" s="88">
        <v>0.25474000000000002</v>
      </c>
      <c r="E1655" s="76">
        <v>0</v>
      </c>
      <c r="F1655" s="89" cm="1">
        <f t="array" ref="F1655">5*LOG10(((c_light/1000/H_0_SAM)*(B1655/60)*SUMPRODUCT($J$2:$AD$2,1/SQRT(Omega_m*(1+$J$1:$AD$1*B1655)^3+Omega_L)))*(1+B1655)*100000)</f>
        <v>43.384571518306736</v>
      </c>
      <c r="G1655" s="89">
        <f t="shared" si="25"/>
        <v>0.40287151830673906</v>
      </c>
    </row>
    <row r="1656" spans="1:7" x14ac:dyDescent="0.6">
      <c r="A1656" s="76" t="s">
        <v>1518</v>
      </c>
      <c r="B1656" s="87">
        <v>0.74911000000000005</v>
      </c>
      <c r="C1656" s="88">
        <v>42.939599999999999</v>
      </c>
      <c r="D1656" s="88">
        <v>0.26249</v>
      </c>
      <c r="E1656" s="76">
        <v>0</v>
      </c>
      <c r="F1656" s="89" cm="1">
        <f t="array" ref="F1656">5*LOG10(((c_light/1000/H_0_SAM)*(B1656/60)*SUMPRODUCT($J$2:$AD$2,1/SQRT(Omega_m*(1+$J$1:$AD$1*B1656)^3+Omega_L)))*(1+B1656)*100000)</f>
        <v>43.395345023711876</v>
      </c>
      <c r="G1656" s="89">
        <f t="shared" si="25"/>
        <v>0.4557450237118772</v>
      </c>
    </row>
    <row r="1657" spans="1:7" x14ac:dyDescent="0.6">
      <c r="A1657" s="76">
        <v>1285160</v>
      </c>
      <c r="B1657" s="87">
        <v>0.74929999999999997</v>
      </c>
      <c r="C1657" s="88">
        <v>43.177199999999999</v>
      </c>
      <c r="D1657" s="88">
        <v>0.16322999999999999</v>
      </c>
      <c r="E1657" s="76">
        <v>0</v>
      </c>
      <c r="F1657" s="89" cm="1">
        <f t="array" ref="F1657">5*LOG10(((c_light/1000/H_0_SAM)*(B1657/60)*SUMPRODUCT($J$2:$AD$2,1/SQRT(Omega_m*(1+$J$1:$AD$1*B1657)^3+Omega_L)))*(1+B1657)*100000)</f>
        <v>43.396016970650294</v>
      </c>
      <c r="G1657" s="89">
        <f t="shared" si="25"/>
        <v>0.21881697065029471</v>
      </c>
    </row>
    <row r="1658" spans="1:7" x14ac:dyDescent="0.6">
      <c r="A1658" s="76" t="s">
        <v>1519</v>
      </c>
      <c r="B1658" s="87">
        <v>0.75073999999999996</v>
      </c>
      <c r="C1658" s="88">
        <v>42.901200000000003</v>
      </c>
      <c r="D1658" s="88">
        <v>0.31872</v>
      </c>
      <c r="E1658" s="76">
        <v>0</v>
      </c>
      <c r="F1658" s="89" cm="1">
        <f t="array" ref="F1658">5*LOG10(((c_light/1000/H_0_SAM)*(B1658/60)*SUMPRODUCT($J$2:$AD$2,1/SQRT(Omega_m*(1+$J$1:$AD$1*B1658)^3+Omega_L)))*(1+B1658)*100000)</f>
        <v>43.401104298303594</v>
      </c>
      <c r="G1658" s="89">
        <f t="shared" si="25"/>
        <v>0.49990429830359062</v>
      </c>
    </row>
    <row r="1659" spans="1:7" x14ac:dyDescent="0.6">
      <c r="A1659" s="76" t="s">
        <v>1520</v>
      </c>
      <c r="B1659" s="87">
        <v>0.75899000000000005</v>
      </c>
      <c r="C1659" s="88">
        <v>43.246899999999997</v>
      </c>
      <c r="D1659" s="88">
        <v>0.23315</v>
      </c>
      <c r="E1659" s="76">
        <v>0</v>
      </c>
      <c r="F1659" s="89" cm="1">
        <f t="array" ref="F1659">5*LOG10(((c_light/1000/H_0_SAM)*(B1659/60)*SUMPRODUCT($J$2:$AD$2,1/SQRT(Omega_m*(1+$J$1:$AD$1*B1659)^3+Omega_L)))*(1+B1659)*100000)</f>
        <v>43.430070638998487</v>
      </c>
      <c r="G1659" s="89">
        <f t="shared" si="25"/>
        <v>0.18317063899849018</v>
      </c>
    </row>
    <row r="1660" spans="1:7" x14ac:dyDescent="0.6">
      <c r="A1660" s="76" t="s">
        <v>1521</v>
      </c>
      <c r="B1660" s="87">
        <v>0.76075999999999999</v>
      </c>
      <c r="C1660" s="88">
        <v>43.066699999999997</v>
      </c>
      <c r="D1660" s="88">
        <v>0.20116000000000001</v>
      </c>
      <c r="E1660" s="76">
        <v>0</v>
      </c>
      <c r="F1660" s="89" cm="1">
        <f t="array" ref="F1660">5*LOG10(((c_light/1000/H_0_SAM)*(B1660/60)*SUMPRODUCT($J$2:$AD$2,1/SQRT(Omega_m*(1+$J$1:$AD$1*B1660)^3+Omega_L)))*(1+B1660)*100000)</f>
        <v>43.436245722075888</v>
      </c>
      <c r="G1660" s="89">
        <f t="shared" si="25"/>
        <v>0.36954572207589109</v>
      </c>
    </row>
    <row r="1661" spans="1:7" x14ac:dyDescent="0.6">
      <c r="A1661" s="76" t="s">
        <v>1522</v>
      </c>
      <c r="B1661" s="87">
        <v>0.7611</v>
      </c>
      <c r="C1661" s="88">
        <v>43.176699999999997</v>
      </c>
      <c r="D1661" s="88">
        <v>0.23663000000000001</v>
      </c>
      <c r="E1661" s="76">
        <v>0</v>
      </c>
      <c r="F1661" s="89" cm="1">
        <f t="array" ref="F1661">5*LOG10(((c_light/1000/H_0_SAM)*(B1661/60)*SUMPRODUCT($J$2:$AD$2,1/SQRT(Omega_m*(1+$J$1:$AD$1*B1661)^3+Omega_L)))*(1+B1661)*100000)</f>
        <v>43.437430311523713</v>
      </c>
      <c r="G1661" s="89">
        <f t="shared" si="25"/>
        <v>0.26073031152371584</v>
      </c>
    </row>
    <row r="1662" spans="1:7" x14ac:dyDescent="0.6">
      <c r="A1662" s="76" t="s">
        <v>1523</v>
      </c>
      <c r="B1662" s="87">
        <v>0.76165000000000005</v>
      </c>
      <c r="C1662" s="88">
        <v>43.131</v>
      </c>
      <c r="D1662" s="88">
        <v>0.23987</v>
      </c>
      <c r="E1662" s="76">
        <v>0</v>
      </c>
      <c r="F1662" s="89" cm="1">
        <f t="array" ref="F1662">5*LOG10(((c_light/1000/H_0_SAM)*(B1662/60)*SUMPRODUCT($J$2:$AD$2,1/SQRT(Omega_m*(1+$J$1:$AD$1*B1662)^3+Omega_L)))*(1+B1662)*100000)</f>
        <v>43.439345480241265</v>
      </c>
      <c r="G1662" s="89">
        <f t="shared" si="25"/>
        <v>0.30834548024126462</v>
      </c>
    </row>
    <row r="1663" spans="1:7" x14ac:dyDescent="0.6">
      <c r="A1663" s="76" t="s">
        <v>1524</v>
      </c>
      <c r="B1663" s="87">
        <v>0.76566000000000001</v>
      </c>
      <c r="C1663" s="88">
        <v>43.236899999999999</v>
      </c>
      <c r="D1663" s="88">
        <v>0.22542999999999999</v>
      </c>
      <c r="E1663" s="76">
        <v>0</v>
      </c>
      <c r="F1663" s="89" cm="1">
        <f t="array" ref="F1663">5*LOG10(((c_light/1000/H_0_SAM)*(B1663/60)*SUMPRODUCT($J$2:$AD$2,1/SQRT(Omega_m*(1+$J$1:$AD$1*B1663)^3+Omega_L)))*(1+B1663)*100000)</f>
        <v>43.453268659168771</v>
      </c>
      <c r="G1663" s="89">
        <f t="shared" si="25"/>
        <v>0.21636865916877213</v>
      </c>
    </row>
    <row r="1664" spans="1:7" x14ac:dyDescent="0.6">
      <c r="A1664" s="76" t="s">
        <v>1525</v>
      </c>
      <c r="B1664" s="87">
        <v>0.76666000000000001</v>
      </c>
      <c r="C1664" s="88">
        <v>43.422400000000003</v>
      </c>
      <c r="D1664" s="88">
        <v>0.25015999999999999</v>
      </c>
      <c r="E1664" s="76">
        <v>0</v>
      </c>
      <c r="F1664" s="89" cm="1">
        <f t="array" ref="F1664">5*LOG10(((c_light/1000/H_0_SAM)*(B1664/60)*SUMPRODUCT($J$2:$AD$2,1/SQRT(Omega_m*(1+$J$1:$AD$1*B1664)^3+Omega_L)))*(1+B1664)*100000)</f>
        <v>43.456729825218083</v>
      </c>
      <c r="G1664" s="89">
        <f t="shared" si="25"/>
        <v>3.4329825218080146E-2</v>
      </c>
    </row>
    <row r="1665" spans="1:7" x14ac:dyDescent="0.6">
      <c r="A1665" s="76" t="s">
        <v>1526</v>
      </c>
      <c r="B1665" s="87">
        <v>0.76673999999999998</v>
      </c>
      <c r="C1665" s="88">
        <v>43.362299999999998</v>
      </c>
      <c r="D1665" s="88">
        <v>0.27024999999999999</v>
      </c>
      <c r="E1665" s="76">
        <v>0</v>
      </c>
      <c r="F1665" s="89" cm="1">
        <f t="array" ref="F1665">5*LOG10(((c_light/1000/H_0_SAM)*(B1665/60)*SUMPRODUCT($J$2:$AD$2,1/SQRT(Omega_m*(1+$J$1:$AD$1*B1665)^3+Omega_L)))*(1+B1665)*100000)</f>
        <v>43.457006530476235</v>
      </c>
      <c r="G1665" s="89">
        <f t="shared" si="25"/>
        <v>9.470653047623756E-2</v>
      </c>
    </row>
    <row r="1666" spans="1:7" x14ac:dyDescent="0.6">
      <c r="A1666" s="76" t="s">
        <v>1527</v>
      </c>
      <c r="B1666" s="87">
        <v>0.76709000000000005</v>
      </c>
      <c r="C1666" s="88">
        <v>43.558700000000002</v>
      </c>
      <c r="D1666" s="88">
        <v>0.25714999999999999</v>
      </c>
      <c r="E1666" s="76">
        <v>0</v>
      </c>
      <c r="F1666" s="89" cm="1">
        <f t="array" ref="F1666">5*LOG10(((c_light/1000/H_0_SAM)*(B1666/60)*SUMPRODUCT($J$2:$AD$2,1/SQRT(Omega_m*(1+$J$1:$AD$1*B1666)^3+Omega_L)))*(1+B1666)*100000)</f>
        <v>43.458216788841014</v>
      </c>
      <c r="G1666" s="89">
        <f t="shared" si="25"/>
        <v>-0.10048321115898773</v>
      </c>
    </row>
    <row r="1667" spans="1:7" x14ac:dyDescent="0.6">
      <c r="A1667" s="76" t="s">
        <v>1528</v>
      </c>
      <c r="B1667" s="87">
        <v>0.76865000000000006</v>
      </c>
      <c r="C1667" s="88">
        <v>43.292900000000003</v>
      </c>
      <c r="D1667" s="88">
        <v>0.31167</v>
      </c>
      <c r="E1667" s="76">
        <v>0</v>
      </c>
      <c r="F1667" s="89" cm="1">
        <f t="array" ref="F1667">5*LOG10(((c_light/1000/H_0_SAM)*(B1667/60)*SUMPRODUCT($J$2:$AD$2,1/SQRT(Omega_m*(1+$J$1:$AD$1*B1667)^3+Omega_L)))*(1+B1667)*100000)</f>
        <v>43.463604617053882</v>
      </c>
      <c r="G1667" s="89">
        <f t="shared" si="25"/>
        <v>0.17070461705387885</v>
      </c>
    </row>
    <row r="1668" spans="1:7" x14ac:dyDescent="0.6">
      <c r="A1668" s="76">
        <v>1329196</v>
      </c>
      <c r="B1668" s="87">
        <v>0.76932</v>
      </c>
      <c r="C1668" s="88">
        <v>43.216799999999999</v>
      </c>
      <c r="D1668" s="88">
        <v>0.16274</v>
      </c>
      <c r="E1668" s="76">
        <v>0</v>
      </c>
      <c r="F1668" s="89" cm="1">
        <f t="array" ref="F1668">5*LOG10(((c_light/1000/H_0_SAM)*(B1668/60)*SUMPRODUCT($J$2:$AD$2,1/SQRT(Omega_m*(1+$J$1:$AD$1*B1668)^3+Omega_L)))*(1+B1668)*100000)</f>
        <v>43.465915384567431</v>
      </c>
      <c r="G1668" s="89">
        <f t="shared" si="25"/>
        <v>0.24911538456743187</v>
      </c>
    </row>
    <row r="1669" spans="1:7" x14ac:dyDescent="0.6">
      <c r="A1669" s="76" t="s">
        <v>1529</v>
      </c>
      <c r="B1669" s="87">
        <v>0.77309000000000005</v>
      </c>
      <c r="C1669" s="88">
        <v>43.3568</v>
      </c>
      <c r="D1669" s="88">
        <v>0.29508000000000001</v>
      </c>
      <c r="E1669" s="76">
        <v>0</v>
      </c>
      <c r="F1669" s="89" cm="1">
        <f t="array" ref="F1669">5*LOG10(((c_light/1000/H_0_SAM)*(B1669/60)*SUMPRODUCT($J$2:$AD$2,1/SQRT(Omega_m*(1+$J$1:$AD$1*B1669)^3+Omega_L)))*(1+B1669)*100000)</f>
        <v>43.47888168971302</v>
      </c>
      <c r="G1669" s="89">
        <f t="shared" si="25"/>
        <v>0.12208168971302058</v>
      </c>
    </row>
    <row r="1670" spans="1:7" x14ac:dyDescent="0.6">
      <c r="A1670" s="76">
        <v>1325358</v>
      </c>
      <c r="B1670" s="87">
        <v>0.77929000000000004</v>
      </c>
      <c r="C1670" s="88">
        <v>43.039499999999997</v>
      </c>
      <c r="D1670" s="88">
        <v>0.31108999999999998</v>
      </c>
      <c r="E1670" s="76">
        <v>0</v>
      </c>
      <c r="F1670" s="89" cm="1">
        <f t="array" ref="F1670">5*LOG10(((c_light/1000/H_0_SAM)*(B1670/60)*SUMPRODUCT($J$2:$AD$2,1/SQRT(Omega_m*(1+$J$1:$AD$1*B1670)^3+Omega_L)))*(1+B1670)*100000)</f>
        <v>43.500073515417775</v>
      </c>
      <c r="G1670" s="89">
        <f t="shared" ref="G1670:G1705" si="26">F1670-C1670</f>
        <v>0.46057351541777791</v>
      </c>
    </row>
    <row r="1671" spans="1:7" x14ac:dyDescent="0.6">
      <c r="A1671" s="76" t="s">
        <v>1530</v>
      </c>
      <c r="B1671" s="87">
        <v>0.78807000000000005</v>
      </c>
      <c r="C1671" s="88">
        <v>43.304200000000002</v>
      </c>
      <c r="D1671" s="88">
        <v>0.23205000000000001</v>
      </c>
      <c r="E1671" s="76">
        <v>0</v>
      </c>
      <c r="F1671" s="89" cm="1">
        <f t="array" ref="F1671">5*LOG10(((c_light/1000/H_0_SAM)*(B1671/60)*SUMPRODUCT($J$2:$AD$2,1/SQRT(Omega_m*(1+$J$1:$AD$1*B1671)^3+Omega_L)))*(1+B1671)*100000)</f>
        <v>43.529807067464617</v>
      </c>
      <c r="G1671" s="89">
        <f t="shared" si="26"/>
        <v>0.22560706746461534</v>
      </c>
    </row>
    <row r="1672" spans="1:7" x14ac:dyDescent="0.6">
      <c r="A1672" s="76" t="s">
        <v>1531</v>
      </c>
      <c r="B1672" s="87">
        <v>0.78907000000000005</v>
      </c>
      <c r="C1672" s="88">
        <v>43.383699999999997</v>
      </c>
      <c r="D1672" s="88">
        <v>0.27117999999999998</v>
      </c>
      <c r="E1672" s="76">
        <v>0</v>
      </c>
      <c r="F1672" s="89" cm="1">
        <f t="array" ref="F1672">5*LOG10(((c_light/1000/H_0_SAM)*(B1672/60)*SUMPRODUCT($J$2:$AD$2,1/SQRT(Omega_m*(1+$J$1:$AD$1*B1672)^3+Omega_L)))*(1+B1672)*100000)</f>
        <v>43.533173255533796</v>
      </c>
      <c r="G1672" s="89">
        <f t="shared" si="26"/>
        <v>0.14947325553379898</v>
      </c>
    </row>
    <row r="1673" spans="1:7" x14ac:dyDescent="0.6">
      <c r="A1673" s="76">
        <v>1309749</v>
      </c>
      <c r="B1673" s="87">
        <v>0.78927999999999998</v>
      </c>
      <c r="C1673" s="88">
        <v>43.1995</v>
      </c>
      <c r="D1673" s="88">
        <v>0.16556000000000001</v>
      </c>
      <c r="E1673" s="76">
        <v>0</v>
      </c>
      <c r="F1673" s="89" cm="1">
        <f t="array" ref="F1673">5*LOG10(((c_light/1000/H_0_SAM)*(B1673/60)*SUMPRODUCT($J$2:$AD$2,1/SQRT(Omega_m*(1+$J$1:$AD$1*B1673)^3+Omega_L)))*(1+B1673)*100000)</f>
        <v>43.533879631239387</v>
      </c>
      <c r="G1673" s="89">
        <f t="shared" si="26"/>
        <v>0.3343796312393863</v>
      </c>
    </row>
    <row r="1674" spans="1:7" x14ac:dyDescent="0.6">
      <c r="A1674" s="76" t="s">
        <v>1532</v>
      </c>
      <c r="B1674" s="87">
        <v>0.79661999999999999</v>
      </c>
      <c r="C1674" s="88">
        <v>42.9026</v>
      </c>
      <c r="D1674" s="88">
        <v>0.37209999999999999</v>
      </c>
      <c r="E1674" s="76">
        <v>0</v>
      </c>
      <c r="F1674" s="89" cm="1">
        <f t="array" ref="F1674">5*LOG10(((c_light/1000/H_0_SAM)*(B1674/60)*SUMPRODUCT($J$2:$AD$2,1/SQRT(Omega_m*(1+$J$1:$AD$1*B1674)^3+Omega_L)))*(1+B1674)*100000)</f>
        <v>43.558455680152264</v>
      </c>
      <c r="G1674" s="89">
        <f t="shared" si="26"/>
        <v>0.65585568015226414</v>
      </c>
    </row>
    <row r="1675" spans="1:7" x14ac:dyDescent="0.6">
      <c r="A1675" s="76" t="s">
        <v>1533</v>
      </c>
      <c r="B1675" s="87">
        <v>0.79862999999999995</v>
      </c>
      <c r="C1675" s="88">
        <v>43.433799999999998</v>
      </c>
      <c r="D1675" s="88">
        <v>0.28814000000000001</v>
      </c>
      <c r="E1675" s="76">
        <v>0</v>
      </c>
      <c r="F1675" s="89" cm="1">
        <f t="array" ref="F1675">5*LOG10(((c_light/1000/H_0_SAM)*(B1675/60)*SUMPRODUCT($J$2:$AD$2,1/SQRT(Omega_m*(1+$J$1:$AD$1*B1675)^3+Omega_L)))*(1+B1675)*100000)</f>
        <v>43.565147443953308</v>
      </c>
      <c r="G1675" s="89">
        <f t="shared" si="26"/>
        <v>0.13134744395330955</v>
      </c>
    </row>
    <row r="1676" spans="1:7" x14ac:dyDescent="0.6">
      <c r="A1676" s="76" t="s">
        <v>1534</v>
      </c>
      <c r="B1676" s="87">
        <v>0.83980999999999995</v>
      </c>
      <c r="C1676" s="88">
        <v>43.36</v>
      </c>
      <c r="D1676" s="88">
        <v>0.21185000000000001</v>
      </c>
      <c r="E1676" s="76">
        <v>0</v>
      </c>
      <c r="F1676" s="89" cm="1">
        <f t="array" ref="F1676">5*LOG10(((c_light/1000/H_0_SAM)*(B1676/60)*SUMPRODUCT($J$2:$AD$2,1/SQRT(Omega_m*(1+$J$1:$AD$1*B1676)^3+Omega_L)))*(1+B1676)*100000)</f>
        <v>43.698769571139977</v>
      </c>
      <c r="G1676" s="89">
        <f t="shared" si="26"/>
        <v>0.33876957113997719</v>
      </c>
    </row>
    <row r="1677" spans="1:7" x14ac:dyDescent="0.6">
      <c r="A1677" s="76" t="s">
        <v>1535</v>
      </c>
      <c r="B1677" s="87">
        <v>0.83980999999999995</v>
      </c>
      <c r="C1677" s="88">
        <v>43.2012</v>
      </c>
      <c r="D1677" s="88">
        <v>0.39041999999999999</v>
      </c>
      <c r="E1677" s="76">
        <v>0</v>
      </c>
      <c r="F1677" s="89" cm="1">
        <f t="array" ref="F1677">5*LOG10(((c_light/1000/H_0_SAM)*(B1677/60)*SUMPRODUCT($J$2:$AD$2,1/SQRT(Omega_m*(1+$J$1:$AD$1*B1677)^3+Omega_L)))*(1+B1677)*100000)</f>
        <v>43.698769571139977</v>
      </c>
      <c r="G1677" s="89">
        <f t="shared" si="26"/>
        <v>0.49756957113997657</v>
      </c>
    </row>
    <row r="1678" spans="1:7" x14ac:dyDescent="0.6">
      <c r="A1678" s="76" t="s">
        <v>1536</v>
      </c>
      <c r="B1678" s="87">
        <v>0.85482000000000002</v>
      </c>
      <c r="C1678" s="88">
        <v>43.616799999999998</v>
      </c>
      <c r="D1678" s="88">
        <v>0.29991000000000001</v>
      </c>
      <c r="E1678" s="76">
        <v>0</v>
      </c>
      <c r="F1678" s="89" cm="1">
        <f t="array" ref="F1678">5*LOG10(((c_light/1000/H_0_SAM)*(B1678/60)*SUMPRODUCT($J$2:$AD$2,1/SQRT(Omega_m*(1+$J$1:$AD$1*B1678)^3+Omega_L)))*(1+B1678)*100000)</f>
        <v>43.74589761508151</v>
      </c>
      <c r="G1678" s="89">
        <f t="shared" si="26"/>
        <v>0.12909761508151263</v>
      </c>
    </row>
    <row r="1679" spans="1:7" x14ac:dyDescent="0.6">
      <c r="A1679" s="76" t="s">
        <v>1537</v>
      </c>
      <c r="B1679" s="87">
        <v>0.93584999999999996</v>
      </c>
      <c r="C1679" s="88">
        <v>43.533099999999997</v>
      </c>
      <c r="D1679" s="88">
        <v>0.23993999999999999</v>
      </c>
      <c r="E1679" s="76">
        <v>0</v>
      </c>
      <c r="F1679" s="89" cm="1">
        <f t="array" ref="F1679">5*LOG10(((c_light/1000/H_0_SAM)*(B1679/60)*SUMPRODUCT($J$2:$AD$2,1/SQRT(Omega_m*(1+$J$1:$AD$1*B1679)^3+Omega_L)))*(1+B1679)*100000)</f>
        <v>43.987148022353622</v>
      </c>
      <c r="G1679" s="89">
        <f t="shared" si="26"/>
        <v>0.45404802235362496</v>
      </c>
    </row>
    <row r="1680" spans="1:7" x14ac:dyDescent="0.6">
      <c r="A1680" s="76" t="s">
        <v>1538</v>
      </c>
      <c r="B1680" s="87">
        <v>0.97423000000000004</v>
      </c>
      <c r="C1680" s="88">
        <v>44.1111</v>
      </c>
      <c r="D1680" s="88">
        <v>0.20152</v>
      </c>
      <c r="E1680" s="76">
        <v>0</v>
      </c>
      <c r="F1680" s="89" cm="1">
        <f t="array" ref="F1680">5*LOG10(((c_light/1000/H_0_SAM)*(B1680/60)*SUMPRODUCT($J$2:$AD$2,1/SQRT(Omega_m*(1+$J$1:$AD$1*B1680)^3+Omega_L)))*(1+B1680)*100000)</f>
        <v>44.094356446643594</v>
      </c>
      <c r="G1680" s="89">
        <f t="shared" si="26"/>
        <v>-1.6743553356405982E-2</v>
      </c>
    </row>
    <row r="1681" spans="1:7" x14ac:dyDescent="0.6">
      <c r="A1681" s="76" t="s">
        <v>1539</v>
      </c>
      <c r="B1681" s="87">
        <v>1.0124200000000001</v>
      </c>
      <c r="C1681" s="88">
        <v>44.117699999999999</v>
      </c>
      <c r="D1681" s="88">
        <v>0.36708000000000002</v>
      </c>
      <c r="E1681" s="76">
        <v>0</v>
      </c>
      <c r="F1681" s="89" cm="1">
        <f t="array" ref="F1681">5*LOG10(((c_light/1000/H_0_SAM)*(B1681/60)*SUMPRODUCT($J$2:$AD$2,1/SQRT(Omega_m*(1+$J$1:$AD$1*B1681)^3+Omega_L)))*(1+B1681)*100000)</f>
        <v>44.196983302585984</v>
      </c>
      <c r="G1681" s="89">
        <f t="shared" si="26"/>
        <v>7.9283302585984927E-2</v>
      </c>
    </row>
    <row r="1682" spans="1:7" x14ac:dyDescent="0.6">
      <c r="A1682" s="76" t="s">
        <v>1540</v>
      </c>
      <c r="B1682" s="87">
        <v>1.0198799999999999</v>
      </c>
      <c r="C1682" s="88">
        <v>44.275700000000001</v>
      </c>
      <c r="D1682" s="88">
        <v>0.22589999999999999</v>
      </c>
      <c r="E1682" s="76">
        <v>0</v>
      </c>
      <c r="F1682" s="89" cm="1">
        <f t="array" ref="F1682">5*LOG10(((c_light/1000/H_0_SAM)*(B1682/60)*SUMPRODUCT($J$2:$AD$2,1/SQRT(Omega_m*(1+$J$1:$AD$1*B1682)^3+Omega_L)))*(1+B1682)*100000)</f>
        <v>44.216583480136372</v>
      </c>
      <c r="G1682" s="89">
        <f t="shared" si="26"/>
        <v>-5.911651986362898E-2</v>
      </c>
    </row>
    <row r="1683" spans="1:7" x14ac:dyDescent="0.6">
      <c r="A1683" s="76" t="s">
        <v>1541</v>
      </c>
      <c r="B1683" s="87">
        <v>1.02088</v>
      </c>
      <c r="C1683" s="88">
        <v>43.970599999999997</v>
      </c>
      <c r="D1683" s="88">
        <v>0.47547</v>
      </c>
      <c r="E1683" s="76">
        <v>0</v>
      </c>
      <c r="F1683" s="89" cm="1">
        <f t="array" ref="F1683">5*LOG10(((c_light/1000/H_0_SAM)*(B1683/60)*SUMPRODUCT($J$2:$AD$2,1/SQRT(Omega_m*(1+$J$1:$AD$1*B1683)^3+Omega_L)))*(1+B1683)*100000)</f>
        <v>44.219200071651194</v>
      </c>
      <c r="G1683" s="89">
        <f t="shared" si="26"/>
        <v>0.24860007165119669</v>
      </c>
    </row>
    <row r="1684" spans="1:7" x14ac:dyDescent="0.6">
      <c r="A1684" s="76" t="s">
        <v>1542</v>
      </c>
      <c r="B1684" s="87">
        <v>1.02789</v>
      </c>
      <c r="C1684" s="88">
        <v>44.5364</v>
      </c>
      <c r="D1684" s="88">
        <v>0.35338999999999998</v>
      </c>
      <c r="E1684" s="76">
        <v>0</v>
      </c>
      <c r="F1684" s="89" cm="1">
        <f t="array" ref="F1684">5*LOG10(((c_light/1000/H_0_SAM)*(B1684/60)*SUMPRODUCT($J$2:$AD$2,1/SQRT(Omega_m*(1+$J$1:$AD$1*B1684)^3+Omega_L)))*(1+B1684)*100000)</f>
        <v>44.237471526495142</v>
      </c>
      <c r="G1684" s="89">
        <f t="shared" si="26"/>
        <v>-0.29892847350485852</v>
      </c>
    </row>
    <row r="1685" spans="1:7" x14ac:dyDescent="0.6">
      <c r="A1685" s="76" t="s">
        <v>1543</v>
      </c>
      <c r="B1685" s="87">
        <v>1.04817</v>
      </c>
      <c r="C1685" s="88">
        <v>44.422899999999998</v>
      </c>
      <c r="D1685" s="88">
        <v>0.48875999999999997</v>
      </c>
      <c r="E1685" s="76">
        <v>0</v>
      </c>
      <c r="F1685" s="89" cm="1">
        <f t="array" ref="F1685">5*LOG10(((c_light/1000/H_0_SAM)*(B1685/60)*SUMPRODUCT($J$2:$AD$2,1/SQRT(Omega_m*(1+$J$1:$AD$1*B1685)^3+Omega_L)))*(1+B1685)*100000)</f>
        <v>44.289644712093818</v>
      </c>
      <c r="G1685" s="89">
        <f t="shared" si="26"/>
        <v>-0.1332552879061808</v>
      </c>
    </row>
    <row r="1686" spans="1:7" x14ac:dyDescent="0.6">
      <c r="A1686" s="76" t="s">
        <v>1544</v>
      </c>
      <c r="B1686" s="87">
        <v>1.1209199999999999</v>
      </c>
      <c r="C1686" s="88">
        <v>44.4405</v>
      </c>
      <c r="D1686" s="88">
        <v>0.22363</v>
      </c>
      <c r="E1686" s="76">
        <v>0</v>
      </c>
      <c r="F1686" s="89" cm="1">
        <f t="array" ref="F1686">5*LOG10(((c_light/1000/H_0_SAM)*(B1686/60)*SUMPRODUCT($J$2:$AD$2,1/SQRT(Omega_m*(1+$J$1:$AD$1*B1686)^3+Omega_L)))*(1+B1686)*100000)</f>
        <v>44.468897915974196</v>
      </c>
      <c r="G1686" s="89">
        <f t="shared" si="26"/>
        <v>2.8397915974196053E-2</v>
      </c>
    </row>
    <row r="1687" spans="1:7" x14ac:dyDescent="0.6">
      <c r="A1687" s="76" t="s">
        <v>1545</v>
      </c>
      <c r="B1687" s="87">
        <v>1.2322500000000001</v>
      </c>
      <c r="C1687" s="88">
        <v>44.320700000000002</v>
      </c>
      <c r="D1687" s="88">
        <v>0.61050000000000004</v>
      </c>
      <c r="E1687" s="76">
        <v>0</v>
      </c>
      <c r="F1687" s="89" cm="1">
        <f t="array" ref="F1687">5*LOG10(((c_light/1000/H_0_SAM)*(B1687/60)*SUMPRODUCT($J$2:$AD$2,1/SQRT(Omega_m*(1+$J$1:$AD$1*B1687)^3+Omega_L)))*(1+B1687)*100000)</f>
        <v>44.721897891811906</v>
      </c>
      <c r="G1687" s="89">
        <f t="shared" si="26"/>
        <v>0.40119789181190413</v>
      </c>
    </row>
    <row r="1688" spans="1:7" x14ac:dyDescent="0.6">
      <c r="A1688" s="76" t="s">
        <v>1546</v>
      </c>
      <c r="B1688" s="87">
        <v>1.23597</v>
      </c>
      <c r="C1688" s="88">
        <v>44.905000000000001</v>
      </c>
      <c r="D1688" s="88">
        <v>0.27373999999999998</v>
      </c>
      <c r="E1688" s="76">
        <v>0</v>
      </c>
      <c r="F1688" s="89" cm="1">
        <f t="array" ref="F1688">5*LOG10(((c_light/1000/H_0_SAM)*(B1688/60)*SUMPRODUCT($J$2:$AD$2,1/SQRT(Omega_m*(1+$J$1:$AD$1*B1688)^3+Omega_L)))*(1+B1688)*100000)</f>
        <v>44.72995083170148</v>
      </c>
      <c r="G1688" s="89">
        <f t="shared" si="26"/>
        <v>-0.17504916829852135</v>
      </c>
    </row>
    <row r="1689" spans="1:7" x14ac:dyDescent="0.6">
      <c r="A1689" s="76" t="s">
        <v>1547</v>
      </c>
      <c r="B1689" s="87">
        <v>1.29911</v>
      </c>
      <c r="C1689" s="88">
        <v>44.864100000000001</v>
      </c>
      <c r="D1689" s="88">
        <v>0.27528999999999998</v>
      </c>
      <c r="E1689" s="76">
        <v>0</v>
      </c>
      <c r="F1689" s="89" cm="1">
        <f t="array" ref="F1689">5*LOG10(((c_light/1000/H_0_SAM)*(B1689/60)*SUMPRODUCT($J$2:$AD$2,1/SQRT(Omega_m*(1+$J$1:$AD$1*B1689)^3+Omega_L)))*(1+B1689)*100000)</f>
        <v>44.863036164289255</v>
      </c>
      <c r="G1689" s="89">
        <f t="shared" si="26"/>
        <v>-1.0638357107453089E-3</v>
      </c>
    </row>
    <row r="1690" spans="1:7" x14ac:dyDescent="0.6">
      <c r="A1690" s="76" t="s">
        <v>1548</v>
      </c>
      <c r="B1690" s="87">
        <v>1.3041</v>
      </c>
      <c r="C1690" s="88">
        <v>44.720599999999997</v>
      </c>
      <c r="D1690" s="88">
        <v>0.31652000000000002</v>
      </c>
      <c r="E1690" s="76">
        <v>0</v>
      </c>
      <c r="F1690" s="89" cm="1">
        <f t="array" ref="F1690">5*LOG10(((c_light/1000/H_0_SAM)*(B1690/60)*SUMPRODUCT($J$2:$AD$2,1/SQRT(Omega_m*(1+$J$1:$AD$1*B1690)^3+Omega_L)))*(1+B1690)*100000)</f>
        <v>44.873274602107813</v>
      </c>
      <c r="G1690" s="89">
        <f t="shared" si="26"/>
        <v>0.15267460210781536</v>
      </c>
    </row>
    <row r="1691" spans="1:7" x14ac:dyDescent="0.6">
      <c r="A1691" s="76" t="s">
        <v>1549</v>
      </c>
      <c r="B1691" s="87">
        <v>1.3061100000000001</v>
      </c>
      <c r="C1691" s="88">
        <v>45.0197</v>
      </c>
      <c r="D1691" s="88">
        <v>0.44516</v>
      </c>
      <c r="E1691" s="76">
        <v>0</v>
      </c>
      <c r="F1691" s="89" cm="1">
        <f t="array" ref="F1691">5*LOG10(((c_light/1000/H_0_SAM)*(B1691/60)*SUMPRODUCT($J$2:$AD$2,1/SQRT(Omega_m*(1+$J$1:$AD$1*B1691)^3+Omega_L)))*(1+B1691)*100000)</f>
        <v>44.877387541443099</v>
      </c>
      <c r="G1691" s="89">
        <f t="shared" si="26"/>
        <v>-0.14231245855690133</v>
      </c>
    </row>
    <row r="1692" spans="1:7" x14ac:dyDescent="0.6">
      <c r="A1692" s="76" t="s">
        <v>1550</v>
      </c>
      <c r="B1692" s="87">
        <v>1.3131699999999999</v>
      </c>
      <c r="C1692" s="88">
        <v>44.786700000000003</v>
      </c>
      <c r="D1692" s="88">
        <v>0.31635000000000002</v>
      </c>
      <c r="E1692" s="76">
        <v>0</v>
      </c>
      <c r="F1692" s="89" cm="1">
        <f t="array" ref="F1692">5*LOG10(((c_light/1000/H_0_SAM)*(B1692/60)*SUMPRODUCT($J$2:$AD$2,1/SQRT(Omega_m*(1+$J$1:$AD$1*B1692)^3+Omega_L)))*(1+B1692)*100000)</f>
        <v>44.891783542047499</v>
      </c>
      <c r="G1692" s="89">
        <f t="shared" si="26"/>
        <v>0.10508354204749537</v>
      </c>
    </row>
    <row r="1693" spans="1:7" x14ac:dyDescent="0.6">
      <c r="A1693" s="76" t="s">
        <v>1551</v>
      </c>
      <c r="B1693" s="87">
        <v>1.3290999999999999</v>
      </c>
      <c r="C1693" s="88">
        <v>44.874499999999998</v>
      </c>
      <c r="D1693" s="88">
        <v>0.23834</v>
      </c>
      <c r="E1693" s="76">
        <v>0</v>
      </c>
      <c r="F1693" s="89" cm="1">
        <f t="array" ref="F1693">5*LOG10(((c_light/1000/H_0_SAM)*(B1693/60)*SUMPRODUCT($J$2:$AD$2,1/SQRT(Omega_m*(1+$J$1:$AD$1*B1693)^3+Omega_L)))*(1+B1693)*100000)</f>
        <v>44.923981319279989</v>
      </c>
      <c r="G1693" s="89">
        <f t="shared" si="26"/>
        <v>4.9481319279990998E-2</v>
      </c>
    </row>
    <row r="1694" spans="1:7" x14ac:dyDescent="0.6">
      <c r="A1694" s="76" t="s">
        <v>1552</v>
      </c>
      <c r="B1694" s="87">
        <v>1.34101</v>
      </c>
      <c r="C1694" s="88">
        <v>44.754100000000001</v>
      </c>
      <c r="D1694" s="88">
        <v>0.30639</v>
      </c>
      <c r="E1694" s="76">
        <v>0</v>
      </c>
      <c r="F1694" s="89" cm="1">
        <f t="array" ref="F1694">5*LOG10(((c_light/1000/H_0_SAM)*(B1694/60)*SUMPRODUCT($J$2:$AD$2,1/SQRT(Omega_m*(1+$J$1:$AD$1*B1694)^3+Omega_L)))*(1+B1694)*100000)</f>
        <v>44.947800196875562</v>
      </c>
      <c r="G1694" s="89">
        <f t="shared" si="26"/>
        <v>0.19370019687556095</v>
      </c>
    </row>
    <row r="1695" spans="1:7" x14ac:dyDescent="0.6">
      <c r="A1695" s="76" t="s">
        <v>1553</v>
      </c>
      <c r="B1695" s="87">
        <v>1.3513599999999999</v>
      </c>
      <c r="C1695" s="88">
        <v>44.549199999999999</v>
      </c>
      <c r="D1695" s="88">
        <v>0.31846000000000002</v>
      </c>
      <c r="E1695" s="76">
        <v>0</v>
      </c>
      <c r="F1695" s="89" cm="1">
        <f t="array" ref="F1695">5*LOG10(((c_light/1000/H_0_SAM)*(B1695/60)*SUMPRODUCT($J$2:$AD$2,1/SQRT(Omega_m*(1+$J$1:$AD$1*B1695)^3+Omega_L)))*(1+B1695)*100000)</f>
        <v>44.96832620016022</v>
      </c>
      <c r="G1695" s="89">
        <f t="shared" si="26"/>
        <v>0.41912620016022117</v>
      </c>
    </row>
    <row r="1696" spans="1:7" x14ac:dyDescent="0.6">
      <c r="A1696" s="76" t="s">
        <v>1554</v>
      </c>
      <c r="B1696" s="87">
        <v>1.35608</v>
      </c>
      <c r="C1696" s="88">
        <v>44.809399999999997</v>
      </c>
      <c r="D1696" s="88">
        <v>0.23827999999999999</v>
      </c>
      <c r="E1696" s="76">
        <v>0</v>
      </c>
      <c r="F1696" s="89" cm="1">
        <f t="array" ref="F1696">5*LOG10(((c_light/1000/H_0_SAM)*(B1696/60)*SUMPRODUCT($J$2:$AD$2,1/SQRT(Omega_m*(1+$J$1:$AD$1*B1696)^3+Omega_L)))*(1+B1696)*100000)</f>
        <v>44.977634121597603</v>
      </c>
      <c r="G1696" s="89">
        <f t="shared" si="26"/>
        <v>0.16823412159760665</v>
      </c>
    </row>
    <row r="1697" spans="1:7" x14ac:dyDescent="0.6">
      <c r="A1697" s="76" t="s">
        <v>1555</v>
      </c>
      <c r="B1697" s="87">
        <v>1.39103</v>
      </c>
      <c r="C1697" s="88">
        <v>44.794400000000003</v>
      </c>
      <c r="D1697" s="88">
        <v>0.37434000000000001</v>
      </c>
      <c r="E1697" s="76">
        <v>0</v>
      </c>
      <c r="F1697" s="89" cm="1">
        <f t="array" ref="F1697">5*LOG10(((c_light/1000/H_0_SAM)*(B1697/60)*SUMPRODUCT($J$2:$AD$2,1/SQRT(Omega_m*(1+$J$1:$AD$1*B1697)^3+Omega_L)))*(1+B1697)*100000)</f>
        <v>45.045552424569557</v>
      </c>
      <c r="G1697" s="89">
        <f t="shared" si="26"/>
        <v>0.251152424569554</v>
      </c>
    </row>
    <row r="1698" spans="1:7" x14ac:dyDescent="0.6">
      <c r="A1698" s="76" t="s">
        <v>1556</v>
      </c>
      <c r="B1698" s="87">
        <v>1.4163300000000001</v>
      </c>
      <c r="C1698" s="88">
        <v>44.457900000000002</v>
      </c>
      <c r="D1698" s="88">
        <v>0.73577999999999999</v>
      </c>
      <c r="E1698" s="76">
        <v>0</v>
      </c>
      <c r="F1698" s="89" cm="1">
        <f t="array" ref="F1698">5*LOG10(((c_light/1000/H_0_SAM)*(B1698/60)*SUMPRODUCT($J$2:$AD$2,1/SQRT(Omega_m*(1+$J$1:$AD$1*B1698)^3+Omega_L)))*(1+B1698)*100000)</f>
        <v>45.093647477301658</v>
      </c>
      <c r="G1698" s="89">
        <f t="shared" si="26"/>
        <v>0.63574747730165626</v>
      </c>
    </row>
    <row r="1699" spans="1:7" x14ac:dyDescent="0.6">
      <c r="A1699" s="76" t="s">
        <v>1557</v>
      </c>
      <c r="B1699" s="87">
        <v>1.5428999999999999</v>
      </c>
      <c r="C1699" s="88">
        <v>45.090200000000003</v>
      </c>
      <c r="D1699" s="88">
        <v>0.37101000000000001</v>
      </c>
      <c r="E1699" s="76">
        <v>0</v>
      </c>
      <c r="F1699" s="89" cm="1">
        <f t="array" ref="F1699">5*LOG10(((c_light/1000/H_0_SAM)*(B1699/60)*SUMPRODUCT($J$2:$AD$2,1/SQRT(Omega_m*(1+$J$1:$AD$1*B1699)^3+Omega_L)))*(1+B1699)*100000)</f>
        <v>45.321847764199404</v>
      </c>
      <c r="G1699" s="89">
        <f t="shared" si="26"/>
        <v>0.23164776419940125</v>
      </c>
    </row>
    <row r="1700" spans="1:7" x14ac:dyDescent="0.6">
      <c r="A1700" s="76" t="s">
        <v>1558</v>
      </c>
      <c r="B1700" s="87">
        <v>1.54901</v>
      </c>
      <c r="C1700" s="88">
        <v>45.292999999999999</v>
      </c>
      <c r="D1700" s="88">
        <v>0.23377000000000001</v>
      </c>
      <c r="E1700" s="76">
        <v>0</v>
      </c>
      <c r="F1700" s="89" cm="1">
        <f t="array" ref="F1700">5*LOG10(((c_light/1000/H_0_SAM)*(B1700/60)*SUMPRODUCT($J$2:$AD$2,1/SQRT(Omega_m*(1+$J$1:$AD$1*B1700)^3+Omega_L)))*(1+B1700)*100000)</f>
        <v>45.332375872843485</v>
      </c>
      <c r="G1700" s="89">
        <f t="shared" si="26"/>
        <v>3.9375872843486093E-2</v>
      </c>
    </row>
    <row r="1701" spans="1:7" x14ac:dyDescent="0.6">
      <c r="A1701" s="76" t="s">
        <v>1559</v>
      </c>
      <c r="B1701" s="87">
        <v>1.6150500000000001</v>
      </c>
      <c r="C1701" s="88">
        <v>45.159500000000001</v>
      </c>
      <c r="D1701" s="88">
        <v>0.33301999999999998</v>
      </c>
      <c r="E1701" s="76">
        <v>0</v>
      </c>
      <c r="F1701" s="89" cm="1">
        <f t="array" ref="F1701">5*LOG10(((c_light/1000/H_0_SAM)*(B1701/60)*SUMPRODUCT($J$2:$AD$2,1/SQRT(Omega_m*(1+$J$1:$AD$1*B1701)^3+Omega_L)))*(1+B1701)*100000)</f>
        <v>45.443535672293081</v>
      </c>
      <c r="G1701" s="89">
        <f t="shared" si="26"/>
        <v>0.28403567229307924</v>
      </c>
    </row>
    <row r="1702" spans="1:7" x14ac:dyDescent="0.6">
      <c r="A1702" s="76" t="s">
        <v>1560</v>
      </c>
      <c r="B1702" s="87">
        <v>1.69706</v>
      </c>
      <c r="C1702" s="88">
        <v>45.286299999999997</v>
      </c>
      <c r="D1702" s="88">
        <v>0.38047999999999998</v>
      </c>
      <c r="E1702" s="76">
        <v>0</v>
      </c>
      <c r="F1702" s="89" cm="1">
        <f t="array" ref="F1702">5*LOG10(((c_light/1000/H_0_SAM)*(B1702/60)*SUMPRODUCT($J$2:$AD$2,1/SQRT(Omega_m*(1+$J$1:$AD$1*B1702)^3+Omega_L)))*(1+B1702)*100000)</f>
        <v>45.575273340007605</v>
      </c>
      <c r="G1702" s="89">
        <f t="shared" si="26"/>
        <v>0.28897334000760821</v>
      </c>
    </row>
    <row r="1703" spans="1:7" x14ac:dyDescent="0.6">
      <c r="A1703" s="76" t="s">
        <v>1561</v>
      </c>
      <c r="B1703" s="87">
        <v>1.8011900000000001</v>
      </c>
      <c r="C1703" s="88">
        <v>45.486499999999999</v>
      </c>
      <c r="D1703" s="88">
        <v>0.28198000000000001</v>
      </c>
      <c r="E1703" s="76">
        <v>0</v>
      </c>
      <c r="F1703" s="89" cm="1">
        <f t="array" ref="F1703">5*LOG10(((c_light/1000/H_0_SAM)*(B1703/60)*SUMPRODUCT($J$2:$AD$2,1/SQRT(Omega_m*(1+$J$1:$AD$1*B1703)^3+Omega_L)))*(1+B1703)*100000)</f>
        <v>45.733431576292396</v>
      </c>
      <c r="G1703" s="89">
        <f t="shared" si="26"/>
        <v>0.24693157629239693</v>
      </c>
    </row>
    <row r="1704" spans="1:7" x14ac:dyDescent="0.6">
      <c r="A1704" s="76" t="s">
        <v>1562</v>
      </c>
      <c r="B1704" s="87">
        <v>1.9116500000000001</v>
      </c>
      <c r="C1704" s="88">
        <v>45.423299999999998</v>
      </c>
      <c r="D1704" s="88">
        <v>0.35864000000000001</v>
      </c>
      <c r="E1704" s="76">
        <v>0</v>
      </c>
      <c r="F1704" s="89" cm="1">
        <f t="array" ref="F1704">5*LOG10(((c_light/1000/H_0_SAM)*(B1704/60)*SUMPRODUCT($J$2:$AD$2,1/SQRT(Omega_m*(1+$J$1:$AD$1*B1704)^3+Omega_L)))*(1+B1704)*100000)</f>
        <v>45.891233585602365</v>
      </c>
      <c r="G1704" s="89">
        <f t="shared" si="26"/>
        <v>0.46793358560236697</v>
      </c>
    </row>
    <row r="1705" spans="1:7" x14ac:dyDescent="0.6">
      <c r="A1705" s="76" t="s">
        <v>1563</v>
      </c>
      <c r="B1705" s="87">
        <v>2.2613699999999999</v>
      </c>
      <c r="C1705" s="88">
        <v>46.1828</v>
      </c>
      <c r="D1705" s="88">
        <v>0.28131</v>
      </c>
      <c r="E1705" s="76">
        <v>0</v>
      </c>
      <c r="F1705" s="89" cm="1">
        <f t="array" ref="F1705">5*LOG10(((c_light/1000/H_0_SAM)*(B1705/60)*SUMPRODUCT($J$2:$AD$2,1/SQRT(Omega_m*(1+$J$1:$AD$1*B1705)^3+Omega_L)))*(1+B1705)*100000)</f>
        <v>46.334970312887279</v>
      </c>
      <c r="G1705" s="89">
        <f t="shared" si="26"/>
        <v>0.15217031288727867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67</vt:i4>
      </vt:variant>
    </vt:vector>
  </HeadingPairs>
  <TitlesOfParts>
    <vt:vector size="83" baseType="lpstr">
      <vt:lpstr>Constants</vt:lpstr>
      <vt:lpstr>A_Kernel</vt:lpstr>
      <vt:lpstr>GPS_Clocks</vt:lpstr>
      <vt:lpstr>Distances_Parameter_Free</vt:lpstr>
      <vt:lpstr>BAO_Distances</vt:lpstr>
      <vt:lpstr>CMB</vt:lpstr>
      <vt:lpstr>CMB_Shape_Closure</vt:lpstr>
      <vt:lpstr>Baryon_Inventory</vt:lpstr>
      <vt:lpstr>Galaxy_Halos</vt:lpstr>
      <vt:lpstr>Galaxy_Mass</vt:lpstr>
      <vt:lpstr>Particle_Closure</vt:lpstr>
      <vt:lpstr>Element_Data</vt:lpstr>
      <vt:lpstr>Big_Bang_Thermal_Ladder</vt:lpstr>
      <vt:lpstr>Fate</vt:lpstr>
      <vt:lpstr>Homes</vt:lpstr>
      <vt:lpstr>Pantheon_SN_Compare</vt:lpstr>
      <vt:lpstr>A_0</vt:lpstr>
      <vt:lpstr>A_neg</vt:lpstr>
      <vt:lpstr>A_pos</vt:lpstr>
      <vt:lpstr>A_s_SAM</vt:lpstr>
      <vt:lpstr>A_share</vt:lpstr>
      <vt:lpstr>A_side</vt:lpstr>
      <vt:lpstr>bigrade_sum</vt:lpstr>
      <vt:lpstr>c_light</vt:lpstr>
      <vt:lpstr>c_minus</vt:lpstr>
      <vt:lpstr>c_plus</vt:lpstr>
      <vt:lpstr>chi</vt:lpstr>
      <vt:lpstr>d_hat</vt:lpstr>
      <vt:lpstr>d_sq</vt:lpstr>
      <vt:lpstr>dm31_sq</vt:lpstr>
      <vt:lpstr>dQ_coef</vt:lpstr>
      <vt:lpstr>eta_SAM</vt:lpstr>
      <vt:lpstr>F_face</vt:lpstr>
      <vt:lpstr>four_kappa</vt:lpstr>
      <vt:lpstr>g_const</vt:lpstr>
      <vt:lpstr>G_newton</vt:lpstr>
      <vt:lpstr>H_0_SAM</vt:lpstr>
      <vt:lpstr>H_100_si</vt:lpstr>
      <vt:lpstr>h_hat</vt:lpstr>
      <vt:lpstr>h_planck</vt:lpstr>
      <vt:lpstr>h_SAM</vt:lpstr>
      <vt:lpstr>h_SAM_sq</vt:lpstr>
      <vt:lpstr>hbar</vt:lpstr>
      <vt:lpstr>k_B</vt:lpstr>
      <vt:lpstr>K_eta_omegab</vt:lpstr>
      <vt:lpstr>k_pivot</vt:lpstr>
      <vt:lpstr>kappa_floor</vt:lpstr>
      <vt:lpstr>L_12</vt:lpstr>
      <vt:lpstr>L_6</vt:lpstr>
      <vt:lpstr>L_ledger</vt:lpstr>
      <vt:lpstr>M_mass</vt:lpstr>
      <vt:lpstr>m_nu_1</vt:lpstr>
      <vt:lpstr>m_nu_2</vt:lpstr>
      <vt:lpstr>m_nu_3</vt:lpstr>
      <vt:lpstr>m_nu_baseline</vt:lpstr>
      <vt:lpstr>m_nu_sum_SAM</vt:lpstr>
      <vt:lpstr>m_p</vt:lpstr>
      <vt:lpstr>Mpc_m</vt:lpstr>
      <vt:lpstr>N_eff</vt:lpstr>
      <vt:lpstr>n_gamma</vt:lpstr>
      <vt:lpstr>n_s_SAM</vt:lpstr>
      <vt:lpstr>nu_ratio</vt:lpstr>
      <vt:lpstr>Omega_b</vt:lpstr>
      <vt:lpstr>omega_b_SAM</vt:lpstr>
      <vt:lpstr>Omega_c</vt:lpstr>
      <vt:lpstr>omega_c_SAM</vt:lpstr>
      <vt:lpstr>Omega_L</vt:lpstr>
      <vt:lpstr>Omega_m</vt:lpstr>
      <vt:lpstr>pi_val</vt:lpstr>
      <vt:lpstr>R_radix</vt:lpstr>
      <vt:lpstr>R_sq</vt:lpstr>
      <vt:lpstr>retained_share</vt:lpstr>
      <vt:lpstr>rho_crit_h1</vt:lpstr>
      <vt:lpstr>S_split</vt:lpstr>
      <vt:lpstr>six_id</vt:lpstr>
      <vt:lpstr>T_CMB</vt:lpstr>
      <vt:lpstr>tau_SAM</vt:lpstr>
      <vt:lpstr>tensor_share</vt:lpstr>
      <vt:lpstr>Theta_bridge</vt:lpstr>
      <vt:lpstr>V_cell</vt:lpstr>
      <vt:lpstr>X_inf</vt:lpstr>
      <vt:lpstr>z_eq_factor</vt:lpstr>
      <vt:lpstr>zeta_3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Brady</cp:lastModifiedBy>
  <dcterms:created xsi:type="dcterms:W3CDTF">2026-06-29T03:32:46Z</dcterms:created>
  <dcterms:modified xsi:type="dcterms:W3CDTF">2026-06-29T05:02:09Z</dcterms:modified>
</cp:coreProperties>
</file>